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tables/table1.xml" ContentType="application/vnd.openxmlformats-officedocument.spreadsheetml.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27795" windowHeight="12195"/>
  </bookViews>
  <sheets>
    <sheet name="orders" sheetId="1" r:id="rId1"/>
    <sheet name="order_details" sheetId="2" r:id="rId2"/>
    <sheet name="customers" sheetId="3" r:id="rId3"/>
    <sheet name="products" sheetId="4" r:id="rId4"/>
    <sheet name="categories" sheetId="5" r:id="rId5"/>
    <sheet name="employees" sheetId="6" r:id="rId6"/>
    <sheet name="shippers" sheetId="7" r:id="rId7"/>
    <sheet name="Data_Page1" sheetId="10" r:id="rId8"/>
    <sheet name="Pivot table 1" sheetId="13" r:id="rId9"/>
    <sheet name="Dashboard_Page1" sheetId="8" r:id="rId10"/>
    <sheet name="Dashboard_Page2" sheetId="11" r:id="rId11"/>
    <sheet name="Dashboard_Page3" sheetId="12" r:id="rId12"/>
  </sheets>
  <externalReferences>
    <externalReference r:id="rId13"/>
  </externalReferences>
  <definedNames>
    <definedName name="categories" localSheetId="4">categories!$A$1:$C$9</definedName>
    <definedName name="customers" localSheetId="2">customers!$A$1:$F$92</definedName>
    <definedName name="employees" localSheetId="5">employees!$A$1:$F$10</definedName>
    <definedName name="orders" localSheetId="0">orders!$A$1:$H$831</definedName>
    <definedName name="products" localSheetId="3">products!$A$1:$F$78</definedName>
    <definedName name="shippers" localSheetId="6">shippers!$A$1:$B$4</definedName>
    <definedName name="Slicer_Category">#N/A</definedName>
    <definedName name="Slicer_Country">#N/A</definedName>
    <definedName name="Slicer_Year">#N/A</definedName>
  </definedNames>
  <calcPr calcId="144525"/>
  <pivotCaches>
    <pivotCache cacheId="1" r:id="rId14"/>
    <pivotCache cacheId="11" r:id="rId15"/>
  </pivotCaches>
  <fileRecoveryPr repairLoad="1"/>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F7" i="8" l="1"/>
  <c r="D7" i="8"/>
  <c r="B7" i="8"/>
  <c r="F2157" i="2"/>
  <c r="K2156" i="2"/>
  <c r="J2156" i="2"/>
  <c r="I2156" i="2"/>
  <c r="H2156" i="2"/>
  <c r="G2156" i="2"/>
  <c r="F2156" i="2"/>
  <c r="K2155" i="2"/>
  <c r="J2155" i="2"/>
  <c r="I2155" i="2"/>
  <c r="H2155" i="2"/>
  <c r="G2155" i="2"/>
  <c r="F2155" i="2"/>
  <c r="K2154" i="2"/>
  <c r="J2154" i="2"/>
  <c r="I2154" i="2"/>
  <c r="H2154" i="2"/>
  <c r="G2154" i="2"/>
  <c r="F2154" i="2"/>
  <c r="K2153" i="2"/>
  <c r="J2153" i="2"/>
  <c r="I2153" i="2"/>
  <c r="H2153" i="2"/>
  <c r="G2153" i="2"/>
  <c r="F2153" i="2"/>
  <c r="K2152" i="2"/>
  <c r="J2152" i="2"/>
  <c r="I2152" i="2"/>
  <c r="H2152" i="2"/>
  <c r="G2152" i="2"/>
  <c r="F2152" i="2"/>
  <c r="K2151" i="2"/>
  <c r="J2151" i="2"/>
  <c r="I2151" i="2"/>
  <c r="H2151" i="2"/>
  <c r="G2151" i="2"/>
  <c r="F2151" i="2"/>
  <c r="K2150" i="2"/>
  <c r="J2150" i="2"/>
  <c r="I2150" i="2"/>
  <c r="H2150" i="2"/>
  <c r="G2150" i="2"/>
  <c r="F2150" i="2"/>
  <c r="K2149" i="2"/>
  <c r="J2149" i="2"/>
  <c r="I2149" i="2"/>
  <c r="H2149" i="2"/>
  <c r="G2149" i="2"/>
  <c r="F2149" i="2"/>
  <c r="K2148" i="2"/>
  <c r="J2148" i="2"/>
  <c r="I2148" i="2"/>
  <c r="H2148" i="2"/>
  <c r="G2148" i="2"/>
  <c r="F2148" i="2"/>
  <c r="K2147" i="2"/>
  <c r="J2147" i="2"/>
  <c r="I2147" i="2"/>
  <c r="H2147" i="2"/>
  <c r="G2147" i="2"/>
  <c r="F2147" i="2"/>
  <c r="K2146" i="2"/>
  <c r="J2146" i="2"/>
  <c r="I2146" i="2"/>
  <c r="H2146" i="2"/>
  <c r="G2146" i="2"/>
  <c r="F2146" i="2"/>
  <c r="K2145" i="2"/>
  <c r="J2145" i="2"/>
  <c r="I2145" i="2"/>
  <c r="H2145" i="2"/>
  <c r="G2145" i="2"/>
  <c r="F2145" i="2"/>
  <c r="K2144" i="2"/>
  <c r="J2144" i="2"/>
  <c r="I2144" i="2"/>
  <c r="H2144" i="2"/>
  <c r="G2144" i="2"/>
  <c r="F2144" i="2"/>
  <c r="K2143" i="2"/>
  <c r="J2143" i="2"/>
  <c r="I2143" i="2"/>
  <c r="H2143" i="2"/>
  <c r="G2143" i="2"/>
  <c r="F2143" i="2"/>
  <c r="K2142" i="2"/>
  <c r="J2142" i="2"/>
  <c r="I2142" i="2"/>
  <c r="H2142" i="2"/>
  <c r="G2142" i="2"/>
  <c r="F2142" i="2"/>
  <c r="K2141" i="2"/>
  <c r="J2141" i="2"/>
  <c r="I2141" i="2"/>
  <c r="H2141" i="2"/>
  <c r="G2141" i="2"/>
  <c r="F2141" i="2"/>
  <c r="K2140" i="2"/>
  <c r="J2140" i="2"/>
  <c r="I2140" i="2"/>
  <c r="H2140" i="2"/>
  <c r="G2140" i="2"/>
  <c r="F2140" i="2"/>
  <c r="K2139" i="2"/>
  <c r="J2139" i="2"/>
  <c r="I2139" i="2"/>
  <c r="H2139" i="2"/>
  <c r="G2139" i="2"/>
  <c r="F2139" i="2"/>
  <c r="K2138" i="2"/>
  <c r="J2138" i="2"/>
  <c r="I2138" i="2"/>
  <c r="H2138" i="2"/>
  <c r="G2138" i="2"/>
  <c r="F2138" i="2"/>
  <c r="K2137" i="2"/>
  <c r="J2137" i="2"/>
  <c r="I2137" i="2"/>
  <c r="H2137" i="2"/>
  <c r="G2137" i="2"/>
  <c r="F2137" i="2"/>
  <c r="K2136" i="2"/>
  <c r="J2136" i="2"/>
  <c r="I2136" i="2"/>
  <c r="H2136" i="2"/>
  <c r="G2136" i="2"/>
  <c r="F2136" i="2"/>
  <c r="K2135" i="2"/>
  <c r="J2135" i="2"/>
  <c r="I2135" i="2"/>
  <c r="H2135" i="2"/>
  <c r="G2135" i="2"/>
  <c r="F2135" i="2"/>
  <c r="K2134" i="2"/>
  <c r="J2134" i="2"/>
  <c r="I2134" i="2"/>
  <c r="H2134" i="2"/>
  <c r="G2134" i="2"/>
  <c r="F2134" i="2"/>
  <c r="K2133" i="2"/>
  <c r="J2133" i="2"/>
  <c r="I2133" i="2"/>
  <c r="H2133" i="2"/>
  <c r="G2133" i="2"/>
  <c r="F2133" i="2"/>
  <c r="K2132" i="2"/>
  <c r="J2132" i="2"/>
  <c r="I2132" i="2"/>
  <c r="H2132" i="2"/>
  <c r="G2132" i="2"/>
  <c r="F2132" i="2"/>
  <c r="K2131" i="2"/>
  <c r="J2131" i="2"/>
  <c r="I2131" i="2"/>
  <c r="H2131" i="2"/>
  <c r="G2131" i="2"/>
  <c r="F2131" i="2"/>
  <c r="K2130" i="2"/>
  <c r="J2130" i="2"/>
  <c r="I2130" i="2"/>
  <c r="H2130" i="2"/>
  <c r="G2130" i="2"/>
  <c r="F2130" i="2"/>
  <c r="K2129" i="2"/>
  <c r="J2129" i="2"/>
  <c r="I2129" i="2"/>
  <c r="H2129" i="2"/>
  <c r="G2129" i="2"/>
  <c r="F2129" i="2"/>
  <c r="K2128" i="2"/>
  <c r="J2128" i="2"/>
  <c r="I2128" i="2"/>
  <c r="H2128" i="2"/>
  <c r="G2128" i="2"/>
  <c r="F2128" i="2"/>
  <c r="K2127" i="2"/>
  <c r="J2127" i="2"/>
  <c r="I2127" i="2"/>
  <c r="H2127" i="2"/>
  <c r="G2127" i="2"/>
  <c r="F2127" i="2"/>
  <c r="K2126" i="2"/>
  <c r="J2126" i="2"/>
  <c r="I2126" i="2"/>
  <c r="H2126" i="2"/>
  <c r="G2126" i="2"/>
  <c r="F2126" i="2"/>
  <c r="K2125" i="2"/>
  <c r="J2125" i="2"/>
  <c r="I2125" i="2"/>
  <c r="H2125" i="2"/>
  <c r="G2125" i="2"/>
  <c r="F2125" i="2"/>
  <c r="K2124" i="2"/>
  <c r="J2124" i="2"/>
  <c r="I2124" i="2"/>
  <c r="H2124" i="2"/>
  <c r="G2124" i="2"/>
  <c r="F2124" i="2"/>
  <c r="K2123" i="2"/>
  <c r="J2123" i="2"/>
  <c r="I2123" i="2"/>
  <c r="H2123" i="2"/>
  <c r="G2123" i="2"/>
  <c r="F2123" i="2"/>
  <c r="K2122" i="2"/>
  <c r="J2122" i="2"/>
  <c r="I2122" i="2"/>
  <c r="H2122" i="2"/>
  <c r="G2122" i="2"/>
  <c r="F2122" i="2"/>
  <c r="K2121" i="2"/>
  <c r="J2121" i="2"/>
  <c r="I2121" i="2"/>
  <c r="H2121" i="2"/>
  <c r="G2121" i="2"/>
  <c r="F2121" i="2"/>
  <c r="K2120" i="2"/>
  <c r="J2120" i="2"/>
  <c r="I2120" i="2"/>
  <c r="H2120" i="2"/>
  <c r="G2120" i="2"/>
  <c r="F2120" i="2"/>
  <c r="K2119" i="2"/>
  <c r="J2119" i="2"/>
  <c r="I2119" i="2"/>
  <c r="H2119" i="2"/>
  <c r="G2119" i="2"/>
  <c r="F2119" i="2"/>
  <c r="K2118" i="2"/>
  <c r="J2118" i="2"/>
  <c r="I2118" i="2"/>
  <c r="H2118" i="2"/>
  <c r="G2118" i="2"/>
  <c r="F2118" i="2"/>
  <c r="K2117" i="2"/>
  <c r="J2117" i="2"/>
  <c r="I2117" i="2"/>
  <c r="H2117" i="2"/>
  <c r="G2117" i="2"/>
  <c r="F2117" i="2"/>
  <c r="K2116" i="2"/>
  <c r="J2116" i="2"/>
  <c r="I2116" i="2"/>
  <c r="H2116" i="2"/>
  <c r="G2116" i="2"/>
  <c r="F2116" i="2"/>
  <c r="K2115" i="2"/>
  <c r="J2115" i="2"/>
  <c r="I2115" i="2"/>
  <c r="H2115" i="2"/>
  <c r="G2115" i="2"/>
  <c r="F2115" i="2"/>
  <c r="K2114" i="2"/>
  <c r="J2114" i="2"/>
  <c r="I2114" i="2"/>
  <c r="H2114" i="2"/>
  <c r="G2114" i="2"/>
  <c r="F2114" i="2"/>
  <c r="K2113" i="2"/>
  <c r="J2113" i="2"/>
  <c r="I2113" i="2"/>
  <c r="H2113" i="2"/>
  <c r="G2113" i="2"/>
  <c r="F2113" i="2"/>
  <c r="K2112" i="2"/>
  <c r="J2112" i="2"/>
  <c r="I2112" i="2"/>
  <c r="H2112" i="2"/>
  <c r="G2112" i="2"/>
  <c r="F2112" i="2"/>
  <c r="K2111" i="2"/>
  <c r="J2111" i="2"/>
  <c r="I2111" i="2"/>
  <c r="H2111" i="2"/>
  <c r="G2111" i="2"/>
  <c r="F2111" i="2"/>
  <c r="K2110" i="2"/>
  <c r="J2110" i="2"/>
  <c r="I2110" i="2"/>
  <c r="H2110" i="2"/>
  <c r="G2110" i="2"/>
  <c r="F2110" i="2"/>
  <c r="K2109" i="2"/>
  <c r="J2109" i="2"/>
  <c r="I2109" i="2"/>
  <c r="H2109" i="2"/>
  <c r="G2109" i="2"/>
  <c r="F2109" i="2"/>
  <c r="K2108" i="2"/>
  <c r="J2108" i="2"/>
  <c r="I2108" i="2"/>
  <c r="H2108" i="2"/>
  <c r="G2108" i="2"/>
  <c r="F2108" i="2"/>
  <c r="K2107" i="2"/>
  <c r="J2107" i="2"/>
  <c r="I2107" i="2"/>
  <c r="H2107" i="2"/>
  <c r="G2107" i="2"/>
  <c r="F2107" i="2"/>
  <c r="K2106" i="2"/>
  <c r="J2106" i="2"/>
  <c r="I2106" i="2"/>
  <c r="H2106" i="2"/>
  <c r="G2106" i="2"/>
  <c r="F2106" i="2"/>
  <c r="K2105" i="2"/>
  <c r="J2105" i="2"/>
  <c r="I2105" i="2"/>
  <c r="H2105" i="2"/>
  <c r="G2105" i="2"/>
  <c r="F2105" i="2"/>
  <c r="K2104" i="2"/>
  <c r="J2104" i="2"/>
  <c r="I2104" i="2"/>
  <c r="H2104" i="2"/>
  <c r="G2104" i="2"/>
  <c r="F2104" i="2"/>
  <c r="K2103" i="2"/>
  <c r="J2103" i="2"/>
  <c r="I2103" i="2"/>
  <c r="H2103" i="2"/>
  <c r="G2103" i="2"/>
  <c r="F2103" i="2"/>
  <c r="K2102" i="2"/>
  <c r="J2102" i="2"/>
  <c r="I2102" i="2"/>
  <c r="H2102" i="2"/>
  <c r="G2102" i="2"/>
  <c r="F2102" i="2"/>
  <c r="K2101" i="2"/>
  <c r="J2101" i="2"/>
  <c r="I2101" i="2"/>
  <c r="H2101" i="2"/>
  <c r="G2101" i="2"/>
  <c r="F2101" i="2"/>
  <c r="K2100" i="2"/>
  <c r="J2100" i="2"/>
  <c r="I2100" i="2"/>
  <c r="H2100" i="2"/>
  <c r="G2100" i="2"/>
  <c r="F2100" i="2"/>
  <c r="K2099" i="2"/>
  <c r="J2099" i="2"/>
  <c r="I2099" i="2"/>
  <c r="H2099" i="2"/>
  <c r="G2099" i="2"/>
  <c r="F2099" i="2"/>
  <c r="K2098" i="2"/>
  <c r="J2098" i="2"/>
  <c r="I2098" i="2"/>
  <c r="H2098" i="2"/>
  <c r="G2098" i="2"/>
  <c r="F2098" i="2"/>
  <c r="K2097" i="2"/>
  <c r="J2097" i="2"/>
  <c r="I2097" i="2"/>
  <c r="H2097" i="2"/>
  <c r="G2097" i="2"/>
  <c r="F2097" i="2"/>
  <c r="K2096" i="2"/>
  <c r="J2096" i="2"/>
  <c r="I2096" i="2"/>
  <c r="H2096" i="2"/>
  <c r="G2096" i="2"/>
  <c r="F2096" i="2"/>
  <c r="K2095" i="2"/>
  <c r="J2095" i="2"/>
  <c r="I2095" i="2"/>
  <c r="H2095" i="2"/>
  <c r="G2095" i="2"/>
  <c r="F2095" i="2"/>
  <c r="K2094" i="2"/>
  <c r="J2094" i="2"/>
  <c r="I2094" i="2"/>
  <c r="H2094" i="2"/>
  <c r="G2094" i="2"/>
  <c r="F2094" i="2"/>
  <c r="K2093" i="2"/>
  <c r="J2093" i="2"/>
  <c r="I2093" i="2"/>
  <c r="H2093" i="2"/>
  <c r="G2093" i="2"/>
  <c r="F2093" i="2"/>
  <c r="K2092" i="2"/>
  <c r="J2092" i="2"/>
  <c r="I2092" i="2"/>
  <c r="H2092" i="2"/>
  <c r="G2092" i="2"/>
  <c r="F2092" i="2"/>
  <c r="K2091" i="2"/>
  <c r="J2091" i="2"/>
  <c r="I2091" i="2"/>
  <c r="H2091" i="2"/>
  <c r="G2091" i="2"/>
  <c r="F2091" i="2"/>
  <c r="K2090" i="2"/>
  <c r="J2090" i="2"/>
  <c r="I2090" i="2"/>
  <c r="H2090" i="2"/>
  <c r="G2090" i="2"/>
  <c r="F2090" i="2"/>
  <c r="K2089" i="2"/>
  <c r="J2089" i="2"/>
  <c r="I2089" i="2"/>
  <c r="H2089" i="2"/>
  <c r="G2089" i="2"/>
  <c r="F2089" i="2"/>
  <c r="K2088" i="2"/>
  <c r="J2088" i="2"/>
  <c r="I2088" i="2"/>
  <c r="H2088" i="2"/>
  <c r="G2088" i="2"/>
  <c r="F2088" i="2"/>
  <c r="K2087" i="2"/>
  <c r="J2087" i="2"/>
  <c r="I2087" i="2"/>
  <c r="H2087" i="2"/>
  <c r="G2087" i="2"/>
  <c r="F2087" i="2"/>
  <c r="K2086" i="2"/>
  <c r="J2086" i="2"/>
  <c r="I2086" i="2"/>
  <c r="H2086" i="2"/>
  <c r="G2086" i="2"/>
  <c r="F2086" i="2"/>
  <c r="K2085" i="2"/>
  <c r="J2085" i="2"/>
  <c r="I2085" i="2"/>
  <c r="H2085" i="2"/>
  <c r="G2085" i="2"/>
  <c r="F2085" i="2"/>
  <c r="K2084" i="2"/>
  <c r="J2084" i="2"/>
  <c r="I2084" i="2"/>
  <c r="H2084" i="2"/>
  <c r="G2084" i="2"/>
  <c r="F2084" i="2"/>
  <c r="K2083" i="2"/>
  <c r="J2083" i="2"/>
  <c r="I2083" i="2"/>
  <c r="H2083" i="2"/>
  <c r="G2083" i="2"/>
  <c r="F2083" i="2"/>
  <c r="K2082" i="2"/>
  <c r="J2082" i="2"/>
  <c r="I2082" i="2"/>
  <c r="H2082" i="2"/>
  <c r="G2082" i="2"/>
  <c r="F2082" i="2"/>
  <c r="K2081" i="2"/>
  <c r="J2081" i="2"/>
  <c r="I2081" i="2"/>
  <c r="H2081" i="2"/>
  <c r="G2081" i="2"/>
  <c r="F2081" i="2"/>
  <c r="K2080" i="2"/>
  <c r="J2080" i="2"/>
  <c r="I2080" i="2"/>
  <c r="H2080" i="2"/>
  <c r="G2080" i="2"/>
  <c r="F2080" i="2"/>
  <c r="K2079" i="2"/>
  <c r="J2079" i="2"/>
  <c r="I2079" i="2"/>
  <c r="H2079" i="2"/>
  <c r="G2079" i="2"/>
  <c r="F2079" i="2"/>
  <c r="K2078" i="2"/>
  <c r="J2078" i="2"/>
  <c r="I2078" i="2"/>
  <c r="H2078" i="2"/>
  <c r="G2078" i="2"/>
  <c r="F2078" i="2"/>
  <c r="K2077" i="2"/>
  <c r="J2077" i="2"/>
  <c r="I2077" i="2"/>
  <c r="H2077" i="2"/>
  <c r="G2077" i="2"/>
  <c r="F2077" i="2"/>
  <c r="K2076" i="2"/>
  <c r="J2076" i="2"/>
  <c r="I2076" i="2"/>
  <c r="H2076" i="2"/>
  <c r="G2076" i="2"/>
  <c r="F2076" i="2"/>
  <c r="K2075" i="2"/>
  <c r="J2075" i="2"/>
  <c r="I2075" i="2"/>
  <c r="H2075" i="2"/>
  <c r="G2075" i="2"/>
  <c r="F2075" i="2"/>
  <c r="K2074" i="2"/>
  <c r="J2074" i="2"/>
  <c r="I2074" i="2"/>
  <c r="H2074" i="2"/>
  <c r="G2074" i="2"/>
  <c r="F2074" i="2"/>
  <c r="K2073" i="2"/>
  <c r="J2073" i="2"/>
  <c r="I2073" i="2"/>
  <c r="H2073" i="2"/>
  <c r="G2073" i="2"/>
  <c r="F2073" i="2"/>
  <c r="K2072" i="2"/>
  <c r="J2072" i="2"/>
  <c r="I2072" i="2"/>
  <c r="H2072" i="2"/>
  <c r="G2072" i="2"/>
  <c r="F2072" i="2"/>
  <c r="K2071" i="2"/>
  <c r="J2071" i="2"/>
  <c r="I2071" i="2"/>
  <c r="H2071" i="2"/>
  <c r="G2071" i="2"/>
  <c r="F2071" i="2"/>
  <c r="K2070" i="2"/>
  <c r="J2070" i="2"/>
  <c r="I2070" i="2"/>
  <c r="H2070" i="2"/>
  <c r="G2070" i="2"/>
  <c r="F2070" i="2"/>
  <c r="K2069" i="2"/>
  <c r="J2069" i="2"/>
  <c r="I2069" i="2"/>
  <c r="H2069" i="2"/>
  <c r="G2069" i="2"/>
  <c r="F2069" i="2"/>
  <c r="K2068" i="2"/>
  <c r="J2068" i="2"/>
  <c r="I2068" i="2"/>
  <c r="H2068" i="2"/>
  <c r="G2068" i="2"/>
  <c r="F2068" i="2"/>
  <c r="K2067" i="2"/>
  <c r="J2067" i="2"/>
  <c r="I2067" i="2"/>
  <c r="H2067" i="2"/>
  <c r="G2067" i="2"/>
  <c r="F2067" i="2"/>
  <c r="K2066" i="2"/>
  <c r="J2066" i="2"/>
  <c r="I2066" i="2"/>
  <c r="H2066" i="2"/>
  <c r="G2066" i="2"/>
  <c r="F2066" i="2"/>
  <c r="K2065" i="2"/>
  <c r="J2065" i="2"/>
  <c r="I2065" i="2"/>
  <c r="H2065" i="2"/>
  <c r="G2065" i="2"/>
  <c r="F2065" i="2"/>
  <c r="K2064" i="2"/>
  <c r="J2064" i="2"/>
  <c r="I2064" i="2"/>
  <c r="H2064" i="2"/>
  <c r="G2064" i="2"/>
  <c r="F2064" i="2"/>
  <c r="K2063" i="2"/>
  <c r="J2063" i="2"/>
  <c r="I2063" i="2"/>
  <c r="H2063" i="2"/>
  <c r="G2063" i="2"/>
  <c r="F2063" i="2"/>
  <c r="K2062" i="2"/>
  <c r="J2062" i="2"/>
  <c r="I2062" i="2"/>
  <c r="H2062" i="2"/>
  <c r="G2062" i="2"/>
  <c r="F2062" i="2"/>
  <c r="K2061" i="2"/>
  <c r="J2061" i="2"/>
  <c r="I2061" i="2"/>
  <c r="H2061" i="2"/>
  <c r="G2061" i="2"/>
  <c r="F2061" i="2"/>
  <c r="K2060" i="2"/>
  <c r="J2060" i="2"/>
  <c r="I2060" i="2"/>
  <c r="H2060" i="2"/>
  <c r="G2060" i="2"/>
  <c r="F2060" i="2"/>
  <c r="K2059" i="2"/>
  <c r="J2059" i="2"/>
  <c r="I2059" i="2"/>
  <c r="H2059" i="2"/>
  <c r="G2059" i="2"/>
  <c r="F2059" i="2"/>
  <c r="K2058" i="2"/>
  <c r="J2058" i="2"/>
  <c r="I2058" i="2"/>
  <c r="H2058" i="2"/>
  <c r="G2058" i="2"/>
  <c r="F2058" i="2"/>
  <c r="K2057" i="2"/>
  <c r="J2057" i="2"/>
  <c r="I2057" i="2"/>
  <c r="H2057" i="2"/>
  <c r="G2057" i="2"/>
  <c r="F2057" i="2"/>
  <c r="K2056" i="2"/>
  <c r="J2056" i="2"/>
  <c r="I2056" i="2"/>
  <c r="H2056" i="2"/>
  <c r="G2056" i="2"/>
  <c r="F2056" i="2"/>
  <c r="K2055" i="2"/>
  <c r="J2055" i="2"/>
  <c r="I2055" i="2"/>
  <c r="H2055" i="2"/>
  <c r="G2055" i="2"/>
  <c r="F2055" i="2"/>
  <c r="K2054" i="2"/>
  <c r="J2054" i="2"/>
  <c r="I2054" i="2"/>
  <c r="H2054" i="2"/>
  <c r="G2054" i="2"/>
  <c r="F2054" i="2"/>
  <c r="K2053" i="2"/>
  <c r="J2053" i="2"/>
  <c r="I2053" i="2"/>
  <c r="H2053" i="2"/>
  <c r="G2053" i="2"/>
  <c r="F2053" i="2"/>
  <c r="K2052" i="2"/>
  <c r="J2052" i="2"/>
  <c r="I2052" i="2"/>
  <c r="H2052" i="2"/>
  <c r="G2052" i="2"/>
  <c r="F2052" i="2"/>
  <c r="K2051" i="2"/>
  <c r="J2051" i="2"/>
  <c r="I2051" i="2"/>
  <c r="H2051" i="2"/>
  <c r="G2051" i="2"/>
  <c r="F2051" i="2"/>
  <c r="K2050" i="2"/>
  <c r="J2050" i="2"/>
  <c r="I2050" i="2"/>
  <c r="H2050" i="2"/>
  <c r="G2050" i="2"/>
  <c r="F2050" i="2"/>
  <c r="K2049" i="2"/>
  <c r="J2049" i="2"/>
  <c r="I2049" i="2"/>
  <c r="H2049" i="2"/>
  <c r="G2049" i="2"/>
  <c r="F2049" i="2"/>
  <c r="K2048" i="2"/>
  <c r="J2048" i="2"/>
  <c r="I2048" i="2"/>
  <c r="H2048" i="2"/>
  <c r="G2048" i="2"/>
  <c r="F2048" i="2"/>
  <c r="K2047" i="2"/>
  <c r="J2047" i="2"/>
  <c r="I2047" i="2"/>
  <c r="H2047" i="2"/>
  <c r="G2047" i="2"/>
  <c r="F2047" i="2"/>
  <c r="K2046" i="2"/>
  <c r="J2046" i="2"/>
  <c r="I2046" i="2"/>
  <c r="H2046" i="2"/>
  <c r="G2046" i="2"/>
  <c r="F2046" i="2"/>
  <c r="K2045" i="2"/>
  <c r="J2045" i="2"/>
  <c r="I2045" i="2"/>
  <c r="H2045" i="2"/>
  <c r="G2045" i="2"/>
  <c r="F2045" i="2"/>
  <c r="K2044" i="2"/>
  <c r="J2044" i="2"/>
  <c r="I2044" i="2"/>
  <c r="H2044" i="2"/>
  <c r="G2044" i="2"/>
  <c r="F2044" i="2"/>
  <c r="K2043" i="2"/>
  <c r="J2043" i="2"/>
  <c r="I2043" i="2"/>
  <c r="H2043" i="2"/>
  <c r="G2043" i="2"/>
  <c r="F2043" i="2"/>
  <c r="K2042" i="2"/>
  <c r="J2042" i="2"/>
  <c r="I2042" i="2"/>
  <c r="H2042" i="2"/>
  <c r="G2042" i="2"/>
  <c r="F2042" i="2"/>
  <c r="K2041" i="2"/>
  <c r="J2041" i="2"/>
  <c r="I2041" i="2"/>
  <c r="H2041" i="2"/>
  <c r="G2041" i="2"/>
  <c r="F2041" i="2"/>
  <c r="K2040" i="2"/>
  <c r="J2040" i="2"/>
  <c r="I2040" i="2"/>
  <c r="H2040" i="2"/>
  <c r="G2040" i="2"/>
  <c r="F2040" i="2"/>
  <c r="K2039" i="2"/>
  <c r="J2039" i="2"/>
  <c r="I2039" i="2"/>
  <c r="H2039" i="2"/>
  <c r="G2039" i="2"/>
  <c r="F2039" i="2"/>
  <c r="K2038" i="2"/>
  <c r="J2038" i="2"/>
  <c r="I2038" i="2"/>
  <c r="H2038" i="2"/>
  <c r="G2038" i="2"/>
  <c r="F2038" i="2"/>
  <c r="K2037" i="2"/>
  <c r="J2037" i="2"/>
  <c r="I2037" i="2"/>
  <c r="H2037" i="2"/>
  <c r="G2037" i="2"/>
  <c r="F2037" i="2"/>
  <c r="K2036" i="2"/>
  <c r="J2036" i="2"/>
  <c r="I2036" i="2"/>
  <c r="H2036" i="2"/>
  <c r="G2036" i="2"/>
  <c r="F2036" i="2"/>
  <c r="K2035" i="2"/>
  <c r="J2035" i="2"/>
  <c r="I2035" i="2"/>
  <c r="H2035" i="2"/>
  <c r="G2035" i="2"/>
  <c r="F2035" i="2"/>
  <c r="K2034" i="2"/>
  <c r="J2034" i="2"/>
  <c r="I2034" i="2"/>
  <c r="H2034" i="2"/>
  <c r="G2034" i="2"/>
  <c r="F2034" i="2"/>
  <c r="K2033" i="2"/>
  <c r="J2033" i="2"/>
  <c r="I2033" i="2"/>
  <c r="H2033" i="2"/>
  <c r="G2033" i="2"/>
  <c r="F2033" i="2"/>
  <c r="K2032" i="2"/>
  <c r="J2032" i="2"/>
  <c r="I2032" i="2"/>
  <c r="H2032" i="2"/>
  <c r="G2032" i="2"/>
  <c r="F2032" i="2"/>
  <c r="K2031" i="2"/>
  <c r="J2031" i="2"/>
  <c r="I2031" i="2"/>
  <c r="H2031" i="2"/>
  <c r="G2031" i="2"/>
  <c r="F2031" i="2"/>
  <c r="K2030" i="2"/>
  <c r="J2030" i="2"/>
  <c r="I2030" i="2"/>
  <c r="H2030" i="2"/>
  <c r="G2030" i="2"/>
  <c r="F2030" i="2"/>
  <c r="K2029" i="2"/>
  <c r="J2029" i="2"/>
  <c r="I2029" i="2"/>
  <c r="H2029" i="2"/>
  <c r="G2029" i="2"/>
  <c r="F2029" i="2"/>
  <c r="K2028" i="2"/>
  <c r="J2028" i="2"/>
  <c r="I2028" i="2"/>
  <c r="H2028" i="2"/>
  <c r="G2028" i="2"/>
  <c r="F2028" i="2"/>
  <c r="K2027" i="2"/>
  <c r="J2027" i="2"/>
  <c r="I2027" i="2"/>
  <c r="H2027" i="2"/>
  <c r="G2027" i="2"/>
  <c r="F2027" i="2"/>
  <c r="K2026" i="2"/>
  <c r="J2026" i="2"/>
  <c r="I2026" i="2"/>
  <c r="H2026" i="2"/>
  <c r="G2026" i="2"/>
  <c r="F2026" i="2"/>
  <c r="K2025" i="2"/>
  <c r="J2025" i="2"/>
  <c r="I2025" i="2"/>
  <c r="H2025" i="2"/>
  <c r="G2025" i="2"/>
  <c r="F2025" i="2"/>
  <c r="K2024" i="2"/>
  <c r="J2024" i="2"/>
  <c r="I2024" i="2"/>
  <c r="H2024" i="2"/>
  <c r="G2024" i="2"/>
  <c r="F2024" i="2"/>
  <c r="K2023" i="2"/>
  <c r="J2023" i="2"/>
  <c r="I2023" i="2"/>
  <c r="H2023" i="2"/>
  <c r="G2023" i="2"/>
  <c r="F2023" i="2"/>
  <c r="K2022" i="2"/>
  <c r="J2022" i="2"/>
  <c r="I2022" i="2"/>
  <c r="H2022" i="2"/>
  <c r="G2022" i="2"/>
  <c r="F2022" i="2"/>
  <c r="K2021" i="2"/>
  <c r="J2021" i="2"/>
  <c r="I2021" i="2"/>
  <c r="H2021" i="2"/>
  <c r="G2021" i="2"/>
  <c r="F2021" i="2"/>
  <c r="K2020" i="2"/>
  <c r="J2020" i="2"/>
  <c r="I2020" i="2"/>
  <c r="H2020" i="2"/>
  <c r="G2020" i="2"/>
  <c r="F2020" i="2"/>
  <c r="K2019" i="2"/>
  <c r="J2019" i="2"/>
  <c r="I2019" i="2"/>
  <c r="H2019" i="2"/>
  <c r="G2019" i="2"/>
  <c r="F2019" i="2"/>
  <c r="K2018" i="2"/>
  <c r="J2018" i="2"/>
  <c r="I2018" i="2"/>
  <c r="H2018" i="2"/>
  <c r="G2018" i="2"/>
  <c r="F2018" i="2"/>
  <c r="K2017" i="2"/>
  <c r="J2017" i="2"/>
  <c r="I2017" i="2"/>
  <c r="H2017" i="2"/>
  <c r="G2017" i="2"/>
  <c r="F2017" i="2"/>
  <c r="K2016" i="2"/>
  <c r="J2016" i="2"/>
  <c r="I2016" i="2"/>
  <c r="H2016" i="2"/>
  <c r="G2016" i="2"/>
  <c r="F2016" i="2"/>
  <c r="K2015" i="2"/>
  <c r="J2015" i="2"/>
  <c r="I2015" i="2"/>
  <c r="H2015" i="2"/>
  <c r="G2015" i="2"/>
  <c r="F2015" i="2"/>
  <c r="K2014" i="2"/>
  <c r="J2014" i="2"/>
  <c r="I2014" i="2"/>
  <c r="H2014" i="2"/>
  <c r="G2014" i="2"/>
  <c r="F2014" i="2"/>
  <c r="K2013" i="2"/>
  <c r="J2013" i="2"/>
  <c r="I2013" i="2"/>
  <c r="H2013" i="2"/>
  <c r="G2013" i="2"/>
  <c r="F2013" i="2"/>
  <c r="K2012" i="2"/>
  <c r="J2012" i="2"/>
  <c r="I2012" i="2"/>
  <c r="H2012" i="2"/>
  <c r="G2012" i="2"/>
  <c r="F2012" i="2"/>
  <c r="K2011" i="2"/>
  <c r="J2011" i="2"/>
  <c r="I2011" i="2"/>
  <c r="H2011" i="2"/>
  <c r="G2011" i="2"/>
  <c r="F2011" i="2"/>
  <c r="K2010" i="2"/>
  <c r="J2010" i="2"/>
  <c r="I2010" i="2"/>
  <c r="H2010" i="2"/>
  <c r="G2010" i="2"/>
  <c r="F2010" i="2"/>
  <c r="K2009" i="2"/>
  <c r="J2009" i="2"/>
  <c r="I2009" i="2"/>
  <c r="H2009" i="2"/>
  <c r="G2009" i="2"/>
  <c r="F2009" i="2"/>
  <c r="K2008" i="2"/>
  <c r="J2008" i="2"/>
  <c r="I2008" i="2"/>
  <c r="H2008" i="2"/>
  <c r="G2008" i="2"/>
  <c r="F2008" i="2"/>
  <c r="K2007" i="2"/>
  <c r="J2007" i="2"/>
  <c r="I2007" i="2"/>
  <c r="H2007" i="2"/>
  <c r="G2007" i="2"/>
  <c r="F2007" i="2"/>
  <c r="K2006" i="2"/>
  <c r="J2006" i="2"/>
  <c r="I2006" i="2"/>
  <c r="H2006" i="2"/>
  <c r="G2006" i="2"/>
  <c r="F2006" i="2"/>
  <c r="K2005" i="2"/>
  <c r="J2005" i="2"/>
  <c r="I2005" i="2"/>
  <c r="H2005" i="2"/>
  <c r="G2005" i="2"/>
  <c r="F2005" i="2"/>
  <c r="K2004" i="2"/>
  <c r="J2004" i="2"/>
  <c r="I2004" i="2"/>
  <c r="H2004" i="2"/>
  <c r="G2004" i="2"/>
  <c r="F2004" i="2"/>
  <c r="K2003" i="2"/>
  <c r="J2003" i="2"/>
  <c r="I2003" i="2"/>
  <c r="H2003" i="2"/>
  <c r="G2003" i="2"/>
  <c r="F2003" i="2"/>
  <c r="K2002" i="2"/>
  <c r="J2002" i="2"/>
  <c r="I2002" i="2"/>
  <c r="H2002" i="2"/>
  <c r="G2002" i="2"/>
  <c r="F2002" i="2"/>
  <c r="K2001" i="2"/>
  <c r="J2001" i="2"/>
  <c r="I2001" i="2"/>
  <c r="H2001" i="2"/>
  <c r="G2001" i="2"/>
  <c r="F2001" i="2"/>
  <c r="K2000" i="2"/>
  <c r="J2000" i="2"/>
  <c r="I2000" i="2"/>
  <c r="H2000" i="2"/>
  <c r="G2000" i="2"/>
  <c r="F2000" i="2"/>
  <c r="K1999" i="2"/>
  <c r="J1999" i="2"/>
  <c r="I1999" i="2"/>
  <c r="H1999" i="2"/>
  <c r="G1999" i="2"/>
  <c r="F1999" i="2"/>
  <c r="K1998" i="2"/>
  <c r="J1998" i="2"/>
  <c r="I1998" i="2"/>
  <c r="H1998" i="2"/>
  <c r="G1998" i="2"/>
  <c r="F1998" i="2"/>
  <c r="K1997" i="2"/>
  <c r="J1997" i="2"/>
  <c r="I1997" i="2"/>
  <c r="H1997" i="2"/>
  <c r="G1997" i="2"/>
  <c r="F1997" i="2"/>
  <c r="K1996" i="2"/>
  <c r="J1996" i="2"/>
  <c r="I1996" i="2"/>
  <c r="H1996" i="2"/>
  <c r="G1996" i="2"/>
  <c r="F1996" i="2"/>
  <c r="K1995" i="2"/>
  <c r="J1995" i="2"/>
  <c r="I1995" i="2"/>
  <c r="H1995" i="2"/>
  <c r="G1995" i="2"/>
  <c r="F1995" i="2"/>
  <c r="K1994" i="2"/>
  <c r="J1994" i="2"/>
  <c r="I1994" i="2"/>
  <c r="H1994" i="2"/>
  <c r="G1994" i="2"/>
  <c r="F1994" i="2"/>
  <c r="K1993" i="2"/>
  <c r="J1993" i="2"/>
  <c r="I1993" i="2"/>
  <c r="H1993" i="2"/>
  <c r="G1993" i="2"/>
  <c r="F1993" i="2"/>
  <c r="K1992" i="2"/>
  <c r="J1992" i="2"/>
  <c r="I1992" i="2"/>
  <c r="H1992" i="2"/>
  <c r="G1992" i="2"/>
  <c r="F1992" i="2"/>
  <c r="K1991" i="2"/>
  <c r="J1991" i="2"/>
  <c r="I1991" i="2"/>
  <c r="H1991" i="2"/>
  <c r="G1991" i="2"/>
  <c r="F1991" i="2"/>
  <c r="K1990" i="2"/>
  <c r="J1990" i="2"/>
  <c r="I1990" i="2"/>
  <c r="H1990" i="2"/>
  <c r="G1990" i="2"/>
  <c r="F1990" i="2"/>
  <c r="K1989" i="2"/>
  <c r="J1989" i="2"/>
  <c r="I1989" i="2"/>
  <c r="H1989" i="2"/>
  <c r="G1989" i="2"/>
  <c r="F1989" i="2"/>
  <c r="K1988" i="2"/>
  <c r="J1988" i="2"/>
  <c r="I1988" i="2"/>
  <c r="H1988" i="2"/>
  <c r="G1988" i="2"/>
  <c r="F1988" i="2"/>
  <c r="K1987" i="2"/>
  <c r="J1987" i="2"/>
  <c r="I1987" i="2"/>
  <c r="H1987" i="2"/>
  <c r="G1987" i="2"/>
  <c r="F1987" i="2"/>
  <c r="K1986" i="2"/>
  <c r="J1986" i="2"/>
  <c r="I1986" i="2"/>
  <c r="H1986" i="2"/>
  <c r="G1986" i="2"/>
  <c r="F1986" i="2"/>
  <c r="K1985" i="2"/>
  <c r="J1985" i="2"/>
  <c r="I1985" i="2"/>
  <c r="H1985" i="2"/>
  <c r="G1985" i="2"/>
  <c r="F1985" i="2"/>
  <c r="K1984" i="2"/>
  <c r="J1984" i="2"/>
  <c r="I1984" i="2"/>
  <c r="H1984" i="2"/>
  <c r="G1984" i="2"/>
  <c r="F1984" i="2"/>
  <c r="K1983" i="2"/>
  <c r="J1983" i="2"/>
  <c r="I1983" i="2"/>
  <c r="H1983" i="2"/>
  <c r="G1983" i="2"/>
  <c r="F1983" i="2"/>
  <c r="K1982" i="2"/>
  <c r="J1982" i="2"/>
  <c r="I1982" i="2"/>
  <c r="H1982" i="2"/>
  <c r="G1982" i="2"/>
  <c r="F1982" i="2"/>
  <c r="K1981" i="2"/>
  <c r="J1981" i="2"/>
  <c r="I1981" i="2"/>
  <c r="H1981" i="2"/>
  <c r="G1981" i="2"/>
  <c r="F1981" i="2"/>
  <c r="K1980" i="2"/>
  <c r="J1980" i="2"/>
  <c r="I1980" i="2"/>
  <c r="H1980" i="2"/>
  <c r="G1980" i="2"/>
  <c r="F1980" i="2"/>
  <c r="K1979" i="2"/>
  <c r="J1979" i="2"/>
  <c r="I1979" i="2"/>
  <c r="H1979" i="2"/>
  <c r="G1979" i="2"/>
  <c r="F1979" i="2"/>
  <c r="K1978" i="2"/>
  <c r="J1978" i="2"/>
  <c r="I1978" i="2"/>
  <c r="H1978" i="2"/>
  <c r="G1978" i="2"/>
  <c r="F1978" i="2"/>
  <c r="K1977" i="2"/>
  <c r="J1977" i="2"/>
  <c r="I1977" i="2"/>
  <c r="H1977" i="2"/>
  <c r="G1977" i="2"/>
  <c r="F1977" i="2"/>
  <c r="K1976" i="2"/>
  <c r="J1976" i="2"/>
  <c r="I1976" i="2"/>
  <c r="H1976" i="2"/>
  <c r="G1976" i="2"/>
  <c r="F1976" i="2"/>
  <c r="K1975" i="2"/>
  <c r="J1975" i="2"/>
  <c r="I1975" i="2"/>
  <c r="H1975" i="2"/>
  <c r="G1975" i="2"/>
  <c r="F1975" i="2"/>
  <c r="K1974" i="2"/>
  <c r="J1974" i="2"/>
  <c r="I1974" i="2"/>
  <c r="H1974" i="2"/>
  <c r="G1974" i="2"/>
  <c r="F1974" i="2"/>
  <c r="K1973" i="2"/>
  <c r="J1973" i="2"/>
  <c r="I1973" i="2"/>
  <c r="H1973" i="2"/>
  <c r="G1973" i="2"/>
  <c r="F1973" i="2"/>
  <c r="K1972" i="2"/>
  <c r="J1972" i="2"/>
  <c r="I1972" i="2"/>
  <c r="H1972" i="2"/>
  <c r="G1972" i="2"/>
  <c r="F1972" i="2"/>
  <c r="K1971" i="2"/>
  <c r="J1971" i="2"/>
  <c r="I1971" i="2"/>
  <c r="H1971" i="2"/>
  <c r="G1971" i="2"/>
  <c r="F1971" i="2"/>
  <c r="K1970" i="2"/>
  <c r="J1970" i="2"/>
  <c r="I1970" i="2"/>
  <c r="H1970" i="2"/>
  <c r="G1970" i="2"/>
  <c r="F1970" i="2"/>
  <c r="K1969" i="2"/>
  <c r="J1969" i="2"/>
  <c r="I1969" i="2"/>
  <c r="H1969" i="2"/>
  <c r="G1969" i="2"/>
  <c r="F1969" i="2"/>
  <c r="K1968" i="2"/>
  <c r="J1968" i="2"/>
  <c r="I1968" i="2"/>
  <c r="H1968" i="2"/>
  <c r="G1968" i="2"/>
  <c r="F1968" i="2"/>
  <c r="K1967" i="2"/>
  <c r="J1967" i="2"/>
  <c r="I1967" i="2"/>
  <c r="H1967" i="2"/>
  <c r="G1967" i="2"/>
  <c r="F1967" i="2"/>
  <c r="K1966" i="2"/>
  <c r="J1966" i="2"/>
  <c r="I1966" i="2"/>
  <c r="H1966" i="2"/>
  <c r="G1966" i="2"/>
  <c r="F1966" i="2"/>
  <c r="K1965" i="2"/>
  <c r="J1965" i="2"/>
  <c r="I1965" i="2"/>
  <c r="H1965" i="2"/>
  <c r="G1965" i="2"/>
  <c r="F1965" i="2"/>
  <c r="K1964" i="2"/>
  <c r="J1964" i="2"/>
  <c r="I1964" i="2"/>
  <c r="H1964" i="2"/>
  <c r="G1964" i="2"/>
  <c r="F1964" i="2"/>
  <c r="K1963" i="2"/>
  <c r="J1963" i="2"/>
  <c r="I1963" i="2"/>
  <c r="H1963" i="2"/>
  <c r="G1963" i="2"/>
  <c r="F1963" i="2"/>
  <c r="K1962" i="2"/>
  <c r="J1962" i="2"/>
  <c r="I1962" i="2"/>
  <c r="H1962" i="2"/>
  <c r="G1962" i="2"/>
  <c r="F1962" i="2"/>
  <c r="K1961" i="2"/>
  <c r="J1961" i="2"/>
  <c r="I1961" i="2"/>
  <c r="H1961" i="2"/>
  <c r="G1961" i="2"/>
  <c r="F1961" i="2"/>
  <c r="K1960" i="2"/>
  <c r="J1960" i="2"/>
  <c r="I1960" i="2"/>
  <c r="H1960" i="2"/>
  <c r="G1960" i="2"/>
  <c r="F1960" i="2"/>
  <c r="K1959" i="2"/>
  <c r="J1959" i="2"/>
  <c r="I1959" i="2"/>
  <c r="H1959" i="2"/>
  <c r="G1959" i="2"/>
  <c r="F1959" i="2"/>
  <c r="K1958" i="2"/>
  <c r="J1958" i="2"/>
  <c r="I1958" i="2"/>
  <c r="H1958" i="2"/>
  <c r="G1958" i="2"/>
  <c r="F1958" i="2"/>
  <c r="K1957" i="2"/>
  <c r="J1957" i="2"/>
  <c r="I1957" i="2"/>
  <c r="H1957" i="2"/>
  <c r="G1957" i="2"/>
  <c r="F1957" i="2"/>
  <c r="K1956" i="2"/>
  <c r="J1956" i="2"/>
  <c r="I1956" i="2"/>
  <c r="H1956" i="2"/>
  <c r="G1956" i="2"/>
  <c r="F1956" i="2"/>
  <c r="K1955" i="2"/>
  <c r="J1955" i="2"/>
  <c r="I1955" i="2"/>
  <c r="H1955" i="2"/>
  <c r="G1955" i="2"/>
  <c r="F1955" i="2"/>
  <c r="K1954" i="2"/>
  <c r="J1954" i="2"/>
  <c r="I1954" i="2"/>
  <c r="H1954" i="2"/>
  <c r="G1954" i="2"/>
  <c r="F1954" i="2"/>
  <c r="K1953" i="2"/>
  <c r="J1953" i="2"/>
  <c r="I1953" i="2"/>
  <c r="H1953" i="2"/>
  <c r="G1953" i="2"/>
  <c r="F1953" i="2"/>
  <c r="K1952" i="2"/>
  <c r="J1952" i="2"/>
  <c r="I1952" i="2"/>
  <c r="H1952" i="2"/>
  <c r="G1952" i="2"/>
  <c r="F1952" i="2"/>
  <c r="K1951" i="2"/>
  <c r="J1951" i="2"/>
  <c r="I1951" i="2"/>
  <c r="H1951" i="2"/>
  <c r="G1951" i="2"/>
  <c r="F1951" i="2"/>
  <c r="K1950" i="2"/>
  <c r="J1950" i="2"/>
  <c r="I1950" i="2"/>
  <c r="H1950" i="2"/>
  <c r="G1950" i="2"/>
  <c r="F1950" i="2"/>
  <c r="K1949" i="2"/>
  <c r="J1949" i="2"/>
  <c r="I1949" i="2"/>
  <c r="H1949" i="2"/>
  <c r="G1949" i="2"/>
  <c r="F1949" i="2"/>
  <c r="K1948" i="2"/>
  <c r="J1948" i="2"/>
  <c r="I1948" i="2"/>
  <c r="H1948" i="2"/>
  <c r="G1948" i="2"/>
  <c r="F1948" i="2"/>
  <c r="K1947" i="2"/>
  <c r="J1947" i="2"/>
  <c r="I1947" i="2"/>
  <c r="H1947" i="2"/>
  <c r="G1947" i="2"/>
  <c r="F1947" i="2"/>
  <c r="K1946" i="2"/>
  <c r="J1946" i="2"/>
  <c r="I1946" i="2"/>
  <c r="H1946" i="2"/>
  <c r="G1946" i="2"/>
  <c r="F1946" i="2"/>
  <c r="K1945" i="2"/>
  <c r="J1945" i="2"/>
  <c r="I1945" i="2"/>
  <c r="H1945" i="2"/>
  <c r="G1945" i="2"/>
  <c r="F1945" i="2"/>
  <c r="K1944" i="2"/>
  <c r="J1944" i="2"/>
  <c r="I1944" i="2"/>
  <c r="H1944" i="2"/>
  <c r="G1944" i="2"/>
  <c r="F1944" i="2"/>
  <c r="K1943" i="2"/>
  <c r="J1943" i="2"/>
  <c r="I1943" i="2"/>
  <c r="H1943" i="2"/>
  <c r="G1943" i="2"/>
  <c r="F1943" i="2"/>
  <c r="K1942" i="2"/>
  <c r="J1942" i="2"/>
  <c r="I1942" i="2"/>
  <c r="H1942" i="2"/>
  <c r="G1942" i="2"/>
  <c r="F1942" i="2"/>
  <c r="K1941" i="2"/>
  <c r="J1941" i="2"/>
  <c r="I1941" i="2"/>
  <c r="H1941" i="2"/>
  <c r="G1941" i="2"/>
  <c r="F1941" i="2"/>
  <c r="K1940" i="2"/>
  <c r="J1940" i="2"/>
  <c r="I1940" i="2"/>
  <c r="H1940" i="2"/>
  <c r="G1940" i="2"/>
  <c r="F1940" i="2"/>
  <c r="K1939" i="2"/>
  <c r="J1939" i="2"/>
  <c r="I1939" i="2"/>
  <c r="H1939" i="2"/>
  <c r="G1939" i="2"/>
  <c r="F1939" i="2"/>
  <c r="K1938" i="2"/>
  <c r="J1938" i="2"/>
  <c r="I1938" i="2"/>
  <c r="H1938" i="2"/>
  <c r="G1938" i="2"/>
  <c r="F1938" i="2"/>
  <c r="K1937" i="2"/>
  <c r="J1937" i="2"/>
  <c r="I1937" i="2"/>
  <c r="H1937" i="2"/>
  <c r="G1937" i="2"/>
  <c r="F1937" i="2"/>
  <c r="K1936" i="2"/>
  <c r="J1936" i="2"/>
  <c r="I1936" i="2"/>
  <c r="H1936" i="2"/>
  <c r="G1936" i="2"/>
  <c r="F1936" i="2"/>
  <c r="K1935" i="2"/>
  <c r="J1935" i="2"/>
  <c r="I1935" i="2"/>
  <c r="H1935" i="2"/>
  <c r="G1935" i="2"/>
  <c r="F1935" i="2"/>
  <c r="K1934" i="2"/>
  <c r="J1934" i="2"/>
  <c r="I1934" i="2"/>
  <c r="H1934" i="2"/>
  <c r="G1934" i="2"/>
  <c r="F1934" i="2"/>
  <c r="K1933" i="2"/>
  <c r="J1933" i="2"/>
  <c r="I1933" i="2"/>
  <c r="H1933" i="2"/>
  <c r="G1933" i="2"/>
  <c r="F1933" i="2"/>
  <c r="K1932" i="2"/>
  <c r="J1932" i="2"/>
  <c r="I1932" i="2"/>
  <c r="H1932" i="2"/>
  <c r="G1932" i="2"/>
  <c r="F1932" i="2"/>
  <c r="K1931" i="2"/>
  <c r="J1931" i="2"/>
  <c r="I1931" i="2"/>
  <c r="H1931" i="2"/>
  <c r="G1931" i="2"/>
  <c r="F1931" i="2"/>
  <c r="K1930" i="2"/>
  <c r="J1930" i="2"/>
  <c r="I1930" i="2"/>
  <c r="H1930" i="2"/>
  <c r="G1930" i="2"/>
  <c r="F1930" i="2"/>
  <c r="K1929" i="2"/>
  <c r="J1929" i="2"/>
  <c r="I1929" i="2"/>
  <c r="H1929" i="2"/>
  <c r="G1929" i="2"/>
  <c r="F1929" i="2"/>
  <c r="K1928" i="2"/>
  <c r="J1928" i="2"/>
  <c r="I1928" i="2"/>
  <c r="H1928" i="2"/>
  <c r="G1928" i="2"/>
  <c r="F1928" i="2"/>
  <c r="K1927" i="2"/>
  <c r="J1927" i="2"/>
  <c r="I1927" i="2"/>
  <c r="H1927" i="2"/>
  <c r="G1927" i="2"/>
  <c r="F1927" i="2"/>
  <c r="K1926" i="2"/>
  <c r="J1926" i="2"/>
  <c r="I1926" i="2"/>
  <c r="H1926" i="2"/>
  <c r="G1926" i="2"/>
  <c r="F1926" i="2"/>
  <c r="K1925" i="2"/>
  <c r="J1925" i="2"/>
  <c r="I1925" i="2"/>
  <c r="H1925" i="2"/>
  <c r="G1925" i="2"/>
  <c r="F1925" i="2"/>
  <c r="K1924" i="2"/>
  <c r="J1924" i="2"/>
  <c r="I1924" i="2"/>
  <c r="H1924" i="2"/>
  <c r="G1924" i="2"/>
  <c r="F1924" i="2"/>
  <c r="K1923" i="2"/>
  <c r="J1923" i="2"/>
  <c r="I1923" i="2"/>
  <c r="H1923" i="2"/>
  <c r="G1923" i="2"/>
  <c r="F1923" i="2"/>
  <c r="K1922" i="2"/>
  <c r="J1922" i="2"/>
  <c r="I1922" i="2"/>
  <c r="H1922" i="2"/>
  <c r="G1922" i="2"/>
  <c r="F1922" i="2"/>
  <c r="K1921" i="2"/>
  <c r="J1921" i="2"/>
  <c r="I1921" i="2"/>
  <c r="H1921" i="2"/>
  <c r="G1921" i="2"/>
  <c r="F1921" i="2"/>
  <c r="K1920" i="2"/>
  <c r="J1920" i="2"/>
  <c r="I1920" i="2"/>
  <c r="H1920" i="2"/>
  <c r="G1920" i="2"/>
  <c r="F1920" i="2"/>
  <c r="K1919" i="2"/>
  <c r="J1919" i="2"/>
  <c r="I1919" i="2"/>
  <c r="H1919" i="2"/>
  <c r="G1919" i="2"/>
  <c r="F1919" i="2"/>
  <c r="K1918" i="2"/>
  <c r="J1918" i="2"/>
  <c r="I1918" i="2"/>
  <c r="H1918" i="2"/>
  <c r="G1918" i="2"/>
  <c r="F1918" i="2"/>
  <c r="K1917" i="2"/>
  <c r="J1917" i="2"/>
  <c r="I1917" i="2"/>
  <c r="H1917" i="2"/>
  <c r="G1917" i="2"/>
  <c r="F1917" i="2"/>
  <c r="K1916" i="2"/>
  <c r="J1916" i="2"/>
  <c r="I1916" i="2"/>
  <c r="H1916" i="2"/>
  <c r="G1916" i="2"/>
  <c r="F1916" i="2"/>
  <c r="K1915" i="2"/>
  <c r="J1915" i="2"/>
  <c r="I1915" i="2"/>
  <c r="H1915" i="2"/>
  <c r="G1915" i="2"/>
  <c r="F1915" i="2"/>
  <c r="K1914" i="2"/>
  <c r="J1914" i="2"/>
  <c r="I1914" i="2"/>
  <c r="H1914" i="2"/>
  <c r="G1914" i="2"/>
  <c r="F1914" i="2"/>
  <c r="K1913" i="2"/>
  <c r="J1913" i="2"/>
  <c r="I1913" i="2"/>
  <c r="H1913" i="2"/>
  <c r="G1913" i="2"/>
  <c r="F1913" i="2"/>
  <c r="K1912" i="2"/>
  <c r="J1912" i="2"/>
  <c r="I1912" i="2"/>
  <c r="H1912" i="2"/>
  <c r="G1912" i="2"/>
  <c r="F1912" i="2"/>
  <c r="K1911" i="2"/>
  <c r="J1911" i="2"/>
  <c r="I1911" i="2"/>
  <c r="H1911" i="2"/>
  <c r="G1911" i="2"/>
  <c r="F1911" i="2"/>
  <c r="K1910" i="2"/>
  <c r="J1910" i="2"/>
  <c r="I1910" i="2"/>
  <c r="H1910" i="2"/>
  <c r="G1910" i="2"/>
  <c r="F1910" i="2"/>
  <c r="K1909" i="2"/>
  <c r="J1909" i="2"/>
  <c r="I1909" i="2"/>
  <c r="H1909" i="2"/>
  <c r="G1909" i="2"/>
  <c r="F1909" i="2"/>
  <c r="K1908" i="2"/>
  <c r="J1908" i="2"/>
  <c r="I1908" i="2"/>
  <c r="H1908" i="2"/>
  <c r="G1908" i="2"/>
  <c r="F1908" i="2"/>
  <c r="K1907" i="2"/>
  <c r="J1907" i="2"/>
  <c r="I1907" i="2"/>
  <c r="H1907" i="2"/>
  <c r="G1907" i="2"/>
  <c r="F1907" i="2"/>
  <c r="K1906" i="2"/>
  <c r="J1906" i="2"/>
  <c r="I1906" i="2"/>
  <c r="H1906" i="2"/>
  <c r="G1906" i="2"/>
  <c r="F1906" i="2"/>
  <c r="K1905" i="2"/>
  <c r="J1905" i="2"/>
  <c r="I1905" i="2"/>
  <c r="H1905" i="2"/>
  <c r="G1905" i="2"/>
  <c r="F1905" i="2"/>
  <c r="K1904" i="2"/>
  <c r="J1904" i="2"/>
  <c r="I1904" i="2"/>
  <c r="H1904" i="2"/>
  <c r="G1904" i="2"/>
  <c r="F1904" i="2"/>
  <c r="K1903" i="2"/>
  <c r="J1903" i="2"/>
  <c r="I1903" i="2"/>
  <c r="H1903" i="2"/>
  <c r="G1903" i="2"/>
  <c r="F1903" i="2"/>
  <c r="K1902" i="2"/>
  <c r="J1902" i="2"/>
  <c r="I1902" i="2"/>
  <c r="H1902" i="2"/>
  <c r="G1902" i="2"/>
  <c r="F1902" i="2"/>
  <c r="K1901" i="2"/>
  <c r="J1901" i="2"/>
  <c r="I1901" i="2"/>
  <c r="H1901" i="2"/>
  <c r="G1901" i="2"/>
  <c r="F1901" i="2"/>
  <c r="K1900" i="2"/>
  <c r="J1900" i="2"/>
  <c r="I1900" i="2"/>
  <c r="H1900" i="2"/>
  <c r="G1900" i="2"/>
  <c r="F1900" i="2"/>
  <c r="K1899" i="2"/>
  <c r="J1899" i="2"/>
  <c r="I1899" i="2"/>
  <c r="H1899" i="2"/>
  <c r="G1899" i="2"/>
  <c r="F1899" i="2"/>
  <c r="K1898" i="2"/>
  <c r="J1898" i="2"/>
  <c r="I1898" i="2"/>
  <c r="H1898" i="2"/>
  <c r="G1898" i="2"/>
  <c r="F1898" i="2"/>
  <c r="K1897" i="2"/>
  <c r="J1897" i="2"/>
  <c r="I1897" i="2"/>
  <c r="H1897" i="2"/>
  <c r="G1897" i="2"/>
  <c r="F1897" i="2"/>
  <c r="K1896" i="2"/>
  <c r="J1896" i="2"/>
  <c r="I1896" i="2"/>
  <c r="H1896" i="2"/>
  <c r="G1896" i="2"/>
  <c r="F1896" i="2"/>
  <c r="K1895" i="2"/>
  <c r="J1895" i="2"/>
  <c r="I1895" i="2"/>
  <c r="H1895" i="2"/>
  <c r="G1895" i="2"/>
  <c r="F1895" i="2"/>
  <c r="K1894" i="2"/>
  <c r="J1894" i="2"/>
  <c r="I1894" i="2"/>
  <c r="H1894" i="2"/>
  <c r="G1894" i="2"/>
  <c r="F1894" i="2"/>
  <c r="K1893" i="2"/>
  <c r="J1893" i="2"/>
  <c r="I1893" i="2"/>
  <c r="H1893" i="2"/>
  <c r="G1893" i="2"/>
  <c r="F1893" i="2"/>
  <c r="K1892" i="2"/>
  <c r="J1892" i="2"/>
  <c r="I1892" i="2"/>
  <c r="H1892" i="2"/>
  <c r="G1892" i="2"/>
  <c r="F1892" i="2"/>
  <c r="K1891" i="2"/>
  <c r="J1891" i="2"/>
  <c r="I1891" i="2"/>
  <c r="H1891" i="2"/>
  <c r="G1891" i="2"/>
  <c r="F1891" i="2"/>
  <c r="K1890" i="2"/>
  <c r="J1890" i="2"/>
  <c r="I1890" i="2"/>
  <c r="H1890" i="2"/>
  <c r="G1890" i="2"/>
  <c r="F1890" i="2"/>
  <c r="K1889" i="2"/>
  <c r="J1889" i="2"/>
  <c r="I1889" i="2"/>
  <c r="H1889" i="2"/>
  <c r="G1889" i="2"/>
  <c r="F1889" i="2"/>
  <c r="K1888" i="2"/>
  <c r="J1888" i="2"/>
  <c r="I1888" i="2"/>
  <c r="H1888" i="2"/>
  <c r="G1888" i="2"/>
  <c r="F1888" i="2"/>
  <c r="K1887" i="2"/>
  <c r="J1887" i="2"/>
  <c r="I1887" i="2"/>
  <c r="H1887" i="2"/>
  <c r="G1887" i="2"/>
  <c r="F1887" i="2"/>
  <c r="K1886" i="2"/>
  <c r="J1886" i="2"/>
  <c r="I1886" i="2"/>
  <c r="H1886" i="2"/>
  <c r="G1886" i="2"/>
  <c r="F1886" i="2"/>
  <c r="K1885" i="2"/>
  <c r="J1885" i="2"/>
  <c r="I1885" i="2"/>
  <c r="H1885" i="2"/>
  <c r="G1885" i="2"/>
  <c r="F1885" i="2"/>
  <c r="K1884" i="2"/>
  <c r="J1884" i="2"/>
  <c r="I1884" i="2"/>
  <c r="H1884" i="2"/>
  <c r="G1884" i="2"/>
  <c r="F1884" i="2"/>
  <c r="K1883" i="2"/>
  <c r="J1883" i="2"/>
  <c r="I1883" i="2"/>
  <c r="H1883" i="2"/>
  <c r="G1883" i="2"/>
  <c r="F1883" i="2"/>
  <c r="K1882" i="2"/>
  <c r="J1882" i="2"/>
  <c r="I1882" i="2"/>
  <c r="H1882" i="2"/>
  <c r="G1882" i="2"/>
  <c r="F1882" i="2"/>
  <c r="K1881" i="2"/>
  <c r="J1881" i="2"/>
  <c r="I1881" i="2"/>
  <c r="H1881" i="2"/>
  <c r="G1881" i="2"/>
  <c r="F1881" i="2"/>
  <c r="K1880" i="2"/>
  <c r="J1880" i="2"/>
  <c r="I1880" i="2"/>
  <c r="H1880" i="2"/>
  <c r="G1880" i="2"/>
  <c r="F1880" i="2"/>
  <c r="K1879" i="2"/>
  <c r="J1879" i="2"/>
  <c r="I1879" i="2"/>
  <c r="H1879" i="2"/>
  <c r="G1879" i="2"/>
  <c r="F1879" i="2"/>
  <c r="K1878" i="2"/>
  <c r="J1878" i="2"/>
  <c r="I1878" i="2"/>
  <c r="H1878" i="2"/>
  <c r="G1878" i="2"/>
  <c r="F1878" i="2"/>
  <c r="K1877" i="2"/>
  <c r="J1877" i="2"/>
  <c r="I1877" i="2"/>
  <c r="H1877" i="2"/>
  <c r="G1877" i="2"/>
  <c r="F1877" i="2"/>
  <c r="K1876" i="2"/>
  <c r="J1876" i="2"/>
  <c r="I1876" i="2"/>
  <c r="H1876" i="2"/>
  <c r="G1876" i="2"/>
  <c r="F1876" i="2"/>
  <c r="K1875" i="2"/>
  <c r="J1875" i="2"/>
  <c r="I1875" i="2"/>
  <c r="H1875" i="2"/>
  <c r="G1875" i="2"/>
  <c r="F1875" i="2"/>
  <c r="K1874" i="2"/>
  <c r="J1874" i="2"/>
  <c r="I1874" i="2"/>
  <c r="H1874" i="2"/>
  <c r="G1874" i="2"/>
  <c r="F1874" i="2"/>
  <c r="K1873" i="2"/>
  <c r="J1873" i="2"/>
  <c r="I1873" i="2"/>
  <c r="H1873" i="2"/>
  <c r="G1873" i="2"/>
  <c r="F1873" i="2"/>
  <c r="K1872" i="2"/>
  <c r="J1872" i="2"/>
  <c r="I1872" i="2"/>
  <c r="H1872" i="2"/>
  <c r="G1872" i="2"/>
  <c r="F1872" i="2"/>
  <c r="K1871" i="2"/>
  <c r="J1871" i="2"/>
  <c r="I1871" i="2"/>
  <c r="H1871" i="2"/>
  <c r="G1871" i="2"/>
  <c r="F1871" i="2"/>
  <c r="K1870" i="2"/>
  <c r="J1870" i="2"/>
  <c r="I1870" i="2"/>
  <c r="H1870" i="2"/>
  <c r="G1870" i="2"/>
  <c r="F1870" i="2"/>
  <c r="K1869" i="2"/>
  <c r="J1869" i="2"/>
  <c r="I1869" i="2"/>
  <c r="H1869" i="2"/>
  <c r="G1869" i="2"/>
  <c r="F1869" i="2"/>
  <c r="K1868" i="2"/>
  <c r="J1868" i="2"/>
  <c r="I1868" i="2"/>
  <c r="H1868" i="2"/>
  <c r="G1868" i="2"/>
  <c r="F1868" i="2"/>
  <c r="K1867" i="2"/>
  <c r="J1867" i="2"/>
  <c r="I1867" i="2"/>
  <c r="H1867" i="2"/>
  <c r="G1867" i="2"/>
  <c r="F1867" i="2"/>
  <c r="K1866" i="2"/>
  <c r="J1866" i="2"/>
  <c r="I1866" i="2"/>
  <c r="H1866" i="2"/>
  <c r="G1866" i="2"/>
  <c r="F1866" i="2"/>
  <c r="K1865" i="2"/>
  <c r="J1865" i="2"/>
  <c r="I1865" i="2"/>
  <c r="H1865" i="2"/>
  <c r="G1865" i="2"/>
  <c r="F1865" i="2"/>
  <c r="K1864" i="2"/>
  <c r="J1864" i="2"/>
  <c r="I1864" i="2"/>
  <c r="H1864" i="2"/>
  <c r="G1864" i="2"/>
  <c r="F1864" i="2"/>
  <c r="K1863" i="2"/>
  <c r="J1863" i="2"/>
  <c r="I1863" i="2"/>
  <c r="H1863" i="2"/>
  <c r="G1863" i="2"/>
  <c r="F1863" i="2"/>
  <c r="K1862" i="2"/>
  <c r="J1862" i="2"/>
  <c r="I1862" i="2"/>
  <c r="H1862" i="2"/>
  <c r="G1862" i="2"/>
  <c r="F1862" i="2"/>
  <c r="K1861" i="2"/>
  <c r="J1861" i="2"/>
  <c r="I1861" i="2"/>
  <c r="H1861" i="2"/>
  <c r="G1861" i="2"/>
  <c r="F1861" i="2"/>
  <c r="K1860" i="2"/>
  <c r="J1860" i="2"/>
  <c r="I1860" i="2"/>
  <c r="H1860" i="2"/>
  <c r="G1860" i="2"/>
  <c r="F1860" i="2"/>
  <c r="K1859" i="2"/>
  <c r="J1859" i="2"/>
  <c r="I1859" i="2"/>
  <c r="H1859" i="2"/>
  <c r="G1859" i="2"/>
  <c r="F1859" i="2"/>
  <c r="K1858" i="2"/>
  <c r="J1858" i="2"/>
  <c r="I1858" i="2"/>
  <c r="H1858" i="2"/>
  <c r="G1858" i="2"/>
  <c r="F1858" i="2"/>
  <c r="K1857" i="2"/>
  <c r="J1857" i="2"/>
  <c r="I1857" i="2"/>
  <c r="H1857" i="2"/>
  <c r="G1857" i="2"/>
  <c r="F1857" i="2"/>
  <c r="K1856" i="2"/>
  <c r="J1856" i="2"/>
  <c r="I1856" i="2"/>
  <c r="H1856" i="2"/>
  <c r="G1856" i="2"/>
  <c r="F1856" i="2"/>
  <c r="K1855" i="2"/>
  <c r="J1855" i="2"/>
  <c r="I1855" i="2"/>
  <c r="H1855" i="2"/>
  <c r="G1855" i="2"/>
  <c r="F1855" i="2"/>
  <c r="K1854" i="2"/>
  <c r="J1854" i="2"/>
  <c r="I1854" i="2"/>
  <c r="H1854" i="2"/>
  <c r="G1854" i="2"/>
  <c r="F1854" i="2"/>
  <c r="K1853" i="2"/>
  <c r="J1853" i="2"/>
  <c r="I1853" i="2"/>
  <c r="H1853" i="2"/>
  <c r="G1853" i="2"/>
  <c r="F1853" i="2"/>
  <c r="K1852" i="2"/>
  <c r="J1852" i="2"/>
  <c r="I1852" i="2"/>
  <c r="H1852" i="2"/>
  <c r="G1852" i="2"/>
  <c r="F1852" i="2"/>
  <c r="K1851" i="2"/>
  <c r="J1851" i="2"/>
  <c r="I1851" i="2"/>
  <c r="H1851" i="2"/>
  <c r="G1851" i="2"/>
  <c r="F1851" i="2"/>
  <c r="K1850" i="2"/>
  <c r="J1850" i="2"/>
  <c r="I1850" i="2"/>
  <c r="H1850" i="2"/>
  <c r="G1850" i="2"/>
  <c r="F1850" i="2"/>
  <c r="K1849" i="2"/>
  <c r="J1849" i="2"/>
  <c r="I1849" i="2"/>
  <c r="H1849" i="2"/>
  <c r="G1849" i="2"/>
  <c r="F1849" i="2"/>
  <c r="K1848" i="2"/>
  <c r="J1848" i="2"/>
  <c r="I1848" i="2"/>
  <c r="H1848" i="2"/>
  <c r="G1848" i="2"/>
  <c r="F1848" i="2"/>
  <c r="K1847" i="2"/>
  <c r="J1847" i="2"/>
  <c r="I1847" i="2"/>
  <c r="H1847" i="2"/>
  <c r="G1847" i="2"/>
  <c r="F1847" i="2"/>
  <c r="K1846" i="2"/>
  <c r="J1846" i="2"/>
  <c r="I1846" i="2"/>
  <c r="H1846" i="2"/>
  <c r="G1846" i="2"/>
  <c r="F1846" i="2"/>
  <c r="K1845" i="2"/>
  <c r="J1845" i="2"/>
  <c r="I1845" i="2"/>
  <c r="H1845" i="2"/>
  <c r="G1845" i="2"/>
  <c r="F1845" i="2"/>
  <c r="K1844" i="2"/>
  <c r="J1844" i="2"/>
  <c r="I1844" i="2"/>
  <c r="H1844" i="2"/>
  <c r="G1844" i="2"/>
  <c r="F1844" i="2"/>
  <c r="K1843" i="2"/>
  <c r="J1843" i="2"/>
  <c r="I1843" i="2"/>
  <c r="H1843" i="2"/>
  <c r="G1843" i="2"/>
  <c r="F1843" i="2"/>
  <c r="K1842" i="2"/>
  <c r="J1842" i="2"/>
  <c r="I1842" i="2"/>
  <c r="H1842" i="2"/>
  <c r="G1842" i="2"/>
  <c r="F1842" i="2"/>
  <c r="K1841" i="2"/>
  <c r="J1841" i="2"/>
  <c r="I1841" i="2"/>
  <c r="H1841" i="2"/>
  <c r="G1841" i="2"/>
  <c r="F1841" i="2"/>
  <c r="K1840" i="2"/>
  <c r="J1840" i="2"/>
  <c r="I1840" i="2"/>
  <c r="H1840" i="2"/>
  <c r="G1840" i="2"/>
  <c r="F1840" i="2"/>
  <c r="K1839" i="2"/>
  <c r="J1839" i="2"/>
  <c r="I1839" i="2"/>
  <c r="H1839" i="2"/>
  <c r="G1839" i="2"/>
  <c r="F1839" i="2"/>
  <c r="K1838" i="2"/>
  <c r="J1838" i="2"/>
  <c r="I1838" i="2"/>
  <c r="H1838" i="2"/>
  <c r="G1838" i="2"/>
  <c r="F1838" i="2"/>
  <c r="K1837" i="2"/>
  <c r="J1837" i="2"/>
  <c r="I1837" i="2"/>
  <c r="H1837" i="2"/>
  <c r="G1837" i="2"/>
  <c r="F1837" i="2"/>
  <c r="K1836" i="2"/>
  <c r="J1836" i="2"/>
  <c r="I1836" i="2"/>
  <c r="H1836" i="2"/>
  <c r="G1836" i="2"/>
  <c r="F1836" i="2"/>
  <c r="K1835" i="2"/>
  <c r="J1835" i="2"/>
  <c r="I1835" i="2"/>
  <c r="H1835" i="2"/>
  <c r="G1835" i="2"/>
  <c r="F1835" i="2"/>
  <c r="K1834" i="2"/>
  <c r="J1834" i="2"/>
  <c r="I1834" i="2"/>
  <c r="H1834" i="2"/>
  <c r="G1834" i="2"/>
  <c r="F1834" i="2"/>
  <c r="K1833" i="2"/>
  <c r="J1833" i="2"/>
  <c r="I1833" i="2"/>
  <c r="H1833" i="2"/>
  <c r="G1833" i="2"/>
  <c r="F1833" i="2"/>
  <c r="K1832" i="2"/>
  <c r="J1832" i="2"/>
  <c r="I1832" i="2"/>
  <c r="H1832" i="2"/>
  <c r="G1832" i="2"/>
  <c r="F1832" i="2"/>
  <c r="K1831" i="2"/>
  <c r="J1831" i="2"/>
  <c r="I1831" i="2"/>
  <c r="H1831" i="2"/>
  <c r="G1831" i="2"/>
  <c r="F1831" i="2"/>
  <c r="K1830" i="2"/>
  <c r="J1830" i="2"/>
  <c r="I1830" i="2"/>
  <c r="H1830" i="2"/>
  <c r="G1830" i="2"/>
  <c r="F1830" i="2"/>
  <c r="K1829" i="2"/>
  <c r="J1829" i="2"/>
  <c r="I1829" i="2"/>
  <c r="H1829" i="2"/>
  <c r="G1829" i="2"/>
  <c r="F1829" i="2"/>
  <c r="K1828" i="2"/>
  <c r="J1828" i="2"/>
  <c r="I1828" i="2"/>
  <c r="H1828" i="2"/>
  <c r="G1828" i="2"/>
  <c r="F1828" i="2"/>
  <c r="K1827" i="2"/>
  <c r="J1827" i="2"/>
  <c r="I1827" i="2"/>
  <c r="H1827" i="2"/>
  <c r="G1827" i="2"/>
  <c r="F1827" i="2"/>
  <c r="K1826" i="2"/>
  <c r="J1826" i="2"/>
  <c r="I1826" i="2"/>
  <c r="H1826" i="2"/>
  <c r="G1826" i="2"/>
  <c r="F1826" i="2"/>
  <c r="K1825" i="2"/>
  <c r="J1825" i="2"/>
  <c r="I1825" i="2"/>
  <c r="H1825" i="2"/>
  <c r="G1825" i="2"/>
  <c r="F1825" i="2"/>
  <c r="K1824" i="2"/>
  <c r="J1824" i="2"/>
  <c r="I1824" i="2"/>
  <c r="H1824" i="2"/>
  <c r="G1824" i="2"/>
  <c r="F1824" i="2"/>
  <c r="K1823" i="2"/>
  <c r="J1823" i="2"/>
  <c r="I1823" i="2"/>
  <c r="H1823" i="2"/>
  <c r="G1823" i="2"/>
  <c r="F1823" i="2"/>
  <c r="K1822" i="2"/>
  <c r="J1822" i="2"/>
  <c r="I1822" i="2"/>
  <c r="H1822" i="2"/>
  <c r="G1822" i="2"/>
  <c r="F1822" i="2"/>
  <c r="K1821" i="2"/>
  <c r="J1821" i="2"/>
  <c r="I1821" i="2"/>
  <c r="H1821" i="2"/>
  <c r="G1821" i="2"/>
  <c r="F1821" i="2"/>
  <c r="K1820" i="2"/>
  <c r="J1820" i="2"/>
  <c r="I1820" i="2"/>
  <c r="H1820" i="2"/>
  <c r="G1820" i="2"/>
  <c r="F1820" i="2"/>
  <c r="K1819" i="2"/>
  <c r="J1819" i="2"/>
  <c r="I1819" i="2"/>
  <c r="H1819" i="2"/>
  <c r="G1819" i="2"/>
  <c r="F1819" i="2"/>
  <c r="K1818" i="2"/>
  <c r="J1818" i="2"/>
  <c r="I1818" i="2"/>
  <c r="H1818" i="2"/>
  <c r="G1818" i="2"/>
  <c r="F1818" i="2"/>
  <c r="K1817" i="2"/>
  <c r="J1817" i="2"/>
  <c r="I1817" i="2"/>
  <c r="H1817" i="2"/>
  <c r="G1817" i="2"/>
  <c r="F1817" i="2"/>
  <c r="K1816" i="2"/>
  <c r="J1816" i="2"/>
  <c r="I1816" i="2"/>
  <c r="H1816" i="2"/>
  <c r="G1816" i="2"/>
  <c r="F1816" i="2"/>
  <c r="K1815" i="2"/>
  <c r="J1815" i="2"/>
  <c r="I1815" i="2"/>
  <c r="H1815" i="2"/>
  <c r="G1815" i="2"/>
  <c r="F1815" i="2"/>
  <c r="K1814" i="2"/>
  <c r="J1814" i="2"/>
  <c r="I1814" i="2"/>
  <c r="H1814" i="2"/>
  <c r="G1814" i="2"/>
  <c r="F1814" i="2"/>
  <c r="K1813" i="2"/>
  <c r="J1813" i="2"/>
  <c r="I1813" i="2"/>
  <c r="H1813" i="2"/>
  <c r="G1813" i="2"/>
  <c r="F1813" i="2"/>
  <c r="K1812" i="2"/>
  <c r="J1812" i="2"/>
  <c r="I1812" i="2"/>
  <c r="H1812" i="2"/>
  <c r="G1812" i="2"/>
  <c r="F1812" i="2"/>
  <c r="K1811" i="2"/>
  <c r="J1811" i="2"/>
  <c r="I1811" i="2"/>
  <c r="H1811" i="2"/>
  <c r="G1811" i="2"/>
  <c r="F1811" i="2"/>
  <c r="K1810" i="2"/>
  <c r="J1810" i="2"/>
  <c r="I1810" i="2"/>
  <c r="H1810" i="2"/>
  <c r="G1810" i="2"/>
  <c r="F1810" i="2"/>
  <c r="K1809" i="2"/>
  <c r="J1809" i="2"/>
  <c r="I1809" i="2"/>
  <c r="H1809" i="2"/>
  <c r="G1809" i="2"/>
  <c r="F1809" i="2"/>
  <c r="K1808" i="2"/>
  <c r="J1808" i="2"/>
  <c r="I1808" i="2"/>
  <c r="H1808" i="2"/>
  <c r="G1808" i="2"/>
  <c r="F1808" i="2"/>
  <c r="K1807" i="2"/>
  <c r="J1807" i="2"/>
  <c r="I1807" i="2"/>
  <c r="H1807" i="2"/>
  <c r="G1807" i="2"/>
  <c r="F1807" i="2"/>
  <c r="K1806" i="2"/>
  <c r="J1806" i="2"/>
  <c r="I1806" i="2"/>
  <c r="H1806" i="2"/>
  <c r="G1806" i="2"/>
  <c r="F1806" i="2"/>
  <c r="K1805" i="2"/>
  <c r="J1805" i="2"/>
  <c r="I1805" i="2"/>
  <c r="H1805" i="2"/>
  <c r="G1805" i="2"/>
  <c r="F1805" i="2"/>
  <c r="K1804" i="2"/>
  <c r="J1804" i="2"/>
  <c r="I1804" i="2"/>
  <c r="H1804" i="2"/>
  <c r="G1804" i="2"/>
  <c r="F1804" i="2"/>
  <c r="K1803" i="2"/>
  <c r="J1803" i="2"/>
  <c r="I1803" i="2"/>
  <c r="H1803" i="2"/>
  <c r="G1803" i="2"/>
  <c r="F1803" i="2"/>
  <c r="K1802" i="2"/>
  <c r="J1802" i="2"/>
  <c r="I1802" i="2"/>
  <c r="H1802" i="2"/>
  <c r="G1802" i="2"/>
  <c r="F1802" i="2"/>
  <c r="K1801" i="2"/>
  <c r="J1801" i="2"/>
  <c r="I1801" i="2"/>
  <c r="H1801" i="2"/>
  <c r="G1801" i="2"/>
  <c r="F1801" i="2"/>
  <c r="K1800" i="2"/>
  <c r="J1800" i="2"/>
  <c r="I1800" i="2"/>
  <c r="H1800" i="2"/>
  <c r="G1800" i="2"/>
  <c r="F1800" i="2"/>
  <c r="K1799" i="2"/>
  <c r="J1799" i="2"/>
  <c r="I1799" i="2"/>
  <c r="H1799" i="2"/>
  <c r="G1799" i="2"/>
  <c r="F1799" i="2"/>
  <c r="K1798" i="2"/>
  <c r="J1798" i="2"/>
  <c r="I1798" i="2"/>
  <c r="H1798" i="2"/>
  <c r="G1798" i="2"/>
  <c r="F1798" i="2"/>
  <c r="K1797" i="2"/>
  <c r="J1797" i="2"/>
  <c r="I1797" i="2"/>
  <c r="H1797" i="2"/>
  <c r="G1797" i="2"/>
  <c r="F1797" i="2"/>
  <c r="K1796" i="2"/>
  <c r="J1796" i="2"/>
  <c r="I1796" i="2"/>
  <c r="H1796" i="2"/>
  <c r="G1796" i="2"/>
  <c r="F1796" i="2"/>
  <c r="K1795" i="2"/>
  <c r="J1795" i="2"/>
  <c r="I1795" i="2"/>
  <c r="H1795" i="2"/>
  <c r="G1795" i="2"/>
  <c r="F1795" i="2"/>
  <c r="K1794" i="2"/>
  <c r="J1794" i="2"/>
  <c r="I1794" i="2"/>
  <c r="H1794" i="2"/>
  <c r="G1794" i="2"/>
  <c r="F1794" i="2"/>
  <c r="K1793" i="2"/>
  <c r="J1793" i="2"/>
  <c r="I1793" i="2"/>
  <c r="H1793" i="2"/>
  <c r="G1793" i="2"/>
  <c r="F1793" i="2"/>
  <c r="K1792" i="2"/>
  <c r="J1792" i="2"/>
  <c r="I1792" i="2"/>
  <c r="H1792" i="2"/>
  <c r="G1792" i="2"/>
  <c r="F1792" i="2"/>
  <c r="K1791" i="2"/>
  <c r="J1791" i="2"/>
  <c r="I1791" i="2"/>
  <c r="H1791" i="2"/>
  <c r="G1791" i="2"/>
  <c r="F1791" i="2"/>
  <c r="K1790" i="2"/>
  <c r="J1790" i="2"/>
  <c r="I1790" i="2"/>
  <c r="H1790" i="2"/>
  <c r="G1790" i="2"/>
  <c r="F1790" i="2"/>
  <c r="K1789" i="2"/>
  <c r="J1789" i="2"/>
  <c r="I1789" i="2"/>
  <c r="H1789" i="2"/>
  <c r="G1789" i="2"/>
  <c r="F1789" i="2"/>
  <c r="K1788" i="2"/>
  <c r="J1788" i="2"/>
  <c r="I1788" i="2"/>
  <c r="H1788" i="2"/>
  <c r="G1788" i="2"/>
  <c r="F1788" i="2"/>
  <c r="K1787" i="2"/>
  <c r="J1787" i="2"/>
  <c r="I1787" i="2"/>
  <c r="H1787" i="2"/>
  <c r="G1787" i="2"/>
  <c r="F1787" i="2"/>
  <c r="K1786" i="2"/>
  <c r="J1786" i="2"/>
  <c r="I1786" i="2"/>
  <c r="H1786" i="2"/>
  <c r="G1786" i="2"/>
  <c r="F1786" i="2"/>
  <c r="K1785" i="2"/>
  <c r="J1785" i="2"/>
  <c r="I1785" i="2"/>
  <c r="H1785" i="2"/>
  <c r="G1785" i="2"/>
  <c r="F1785" i="2"/>
  <c r="K1784" i="2"/>
  <c r="J1784" i="2"/>
  <c r="I1784" i="2"/>
  <c r="H1784" i="2"/>
  <c r="G1784" i="2"/>
  <c r="F1784" i="2"/>
  <c r="K1783" i="2"/>
  <c r="J1783" i="2"/>
  <c r="I1783" i="2"/>
  <c r="H1783" i="2"/>
  <c r="G1783" i="2"/>
  <c r="F1783" i="2"/>
  <c r="K1782" i="2"/>
  <c r="J1782" i="2"/>
  <c r="I1782" i="2"/>
  <c r="H1782" i="2"/>
  <c r="G1782" i="2"/>
  <c r="F1782" i="2"/>
  <c r="K1781" i="2"/>
  <c r="J1781" i="2"/>
  <c r="I1781" i="2"/>
  <c r="H1781" i="2"/>
  <c r="G1781" i="2"/>
  <c r="F1781" i="2"/>
  <c r="K1780" i="2"/>
  <c r="J1780" i="2"/>
  <c r="I1780" i="2"/>
  <c r="H1780" i="2"/>
  <c r="G1780" i="2"/>
  <c r="F1780" i="2"/>
  <c r="K1779" i="2"/>
  <c r="J1779" i="2"/>
  <c r="I1779" i="2"/>
  <c r="H1779" i="2"/>
  <c r="G1779" i="2"/>
  <c r="F1779" i="2"/>
  <c r="K1778" i="2"/>
  <c r="J1778" i="2"/>
  <c r="I1778" i="2"/>
  <c r="H1778" i="2"/>
  <c r="G1778" i="2"/>
  <c r="F1778" i="2"/>
  <c r="K1777" i="2"/>
  <c r="J1777" i="2"/>
  <c r="I1777" i="2"/>
  <c r="H1777" i="2"/>
  <c r="G1777" i="2"/>
  <c r="F1777" i="2"/>
  <c r="K1776" i="2"/>
  <c r="J1776" i="2"/>
  <c r="I1776" i="2"/>
  <c r="H1776" i="2"/>
  <c r="G1776" i="2"/>
  <c r="F1776" i="2"/>
  <c r="K1775" i="2"/>
  <c r="J1775" i="2"/>
  <c r="I1775" i="2"/>
  <c r="H1775" i="2"/>
  <c r="G1775" i="2"/>
  <c r="F1775" i="2"/>
  <c r="K1774" i="2"/>
  <c r="J1774" i="2"/>
  <c r="I1774" i="2"/>
  <c r="H1774" i="2"/>
  <c r="G1774" i="2"/>
  <c r="F1774" i="2"/>
  <c r="K1773" i="2"/>
  <c r="J1773" i="2"/>
  <c r="I1773" i="2"/>
  <c r="H1773" i="2"/>
  <c r="G1773" i="2"/>
  <c r="F1773" i="2"/>
  <c r="K1772" i="2"/>
  <c r="J1772" i="2"/>
  <c r="I1772" i="2"/>
  <c r="H1772" i="2"/>
  <c r="G1772" i="2"/>
  <c r="F1772" i="2"/>
  <c r="K1771" i="2"/>
  <c r="J1771" i="2"/>
  <c r="I1771" i="2"/>
  <c r="H1771" i="2"/>
  <c r="G1771" i="2"/>
  <c r="F1771" i="2"/>
  <c r="K1770" i="2"/>
  <c r="J1770" i="2"/>
  <c r="I1770" i="2"/>
  <c r="H1770" i="2"/>
  <c r="G1770" i="2"/>
  <c r="F1770" i="2"/>
  <c r="K1769" i="2"/>
  <c r="J1769" i="2"/>
  <c r="I1769" i="2"/>
  <c r="H1769" i="2"/>
  <c r="G1769" i="2"/>
  <c r="F1769" i="2"/>
  <c r="K1768" i="2"/>
  <c r="J1768" i="2"/>
  <c r="I1768" i="2"/>
  <c r="H1768" i="2"/>
  <c r="G1768" i="2"/>
  <c r="F1768" i="2"/>
  <c r="K1767" i="2"/>
  <c r="J1767" i="2"/>
  <c r="I1767" i="2"/>
  <c r="H1767" i="2"/>
  <c r="G1767" i="2"/>
  <c r="F1767" i="2"/>
  <c r="K1766" i="2"/>
  <c r="J1766" i="2"/>
  <c r="I1766" i="2"/>
  <c r="H1766" i="2"/>
  <c r="G1766" i="2"/>
  <c r="F1766" i="2"/>
  <c r="K1765" i="2"/>
  <c r="J1765" i="2"/>
  <c r="I1765" i="2"/>
  <c r="H1765" i="2"/>
  <c r="G1765" i="2"/>
  <c r="F1765" i="2"/>
  <c r="K1764" i="2"/>
  <c r="J1764" i="2"/>
  <c r="I1764" i="2"/>
  <c r="H1764" i="2"/>
  <c r="G1764" i="2"/>
  <c r="F1764" i="2"/>
  <c r="K1763" i="2"/>
  <c r="J1763" i="2"/>
  <c r="I1763" i="2"/>
  <c r="H1763" i="2"/>
  <c r="G1763" i="2"/>
  <c r="F1763" i="2"/>
  <c r="K1762" i="2"/>
  <c r="J1762" i="2"/>
  <c r="I1762" i="2"/>
  <c r="H1762" i="2"/>
  <c r="G1762" i="2"/>
  <c r="F1762" i="2"/>
  <c r="K1761" i="2"/>
  <c r="J1761" i="2"/>
  <c r="I1761" i="2"/>
  <c r="H1761" i="2"/>
  <c r="G1761" i="2"/>
  <c r="F1761" i="2"/>
  <c r="K1760" i="2"/>
  <c r="J1760" i="2"/>
  <c r="I1760" i="2"/>
  <c r="H1760" i="2"/>
  <c r="G1760" i="2"/>
  <c r="F1760" i="2"/>
  <c r="K1759" i="2"/>
  <c r="J1759" i="2"/>
  <c r="I1759" i="2"/>
  <c r="H1759" i="2"/>
  <c r="G1759" i="2"/>
  <c r="F1759" i="2"/>
  <c r="K1758" i="2"/>
  <c r="J1758" i="2"/>
  <c r="I1758" i="2"/>
  <c r="H1758" i="2"/>
  <c r="G1758" i="2"/>
  <c r="F1758" i="2"/>
  <c r="K1757" i="2"/>
  <c r="J1757" i="2"/>
  <c r="I1757" i="2"/>
  <c r="H1757" i="2"/>
  <c r="G1757" i="2"/>
  <c r="F1757" i="2"/>
  <c r="K1756" i="2"/>
  <c r="J1756" i="2"/>
  <c r="I1756" i="2"/>
  <c r="H1756" i="2"/>
  <c r="G1756" i="2"/>
  <c r="F1756" i="2"/>
  <c r="K1755" i="2"/>
  <c r="J1755" i="2"/>
  <c r="I1755" i="2"/>
  <c r="H1755" i="2"/>
  <c r="G1755" i="2"/>
  <c r="F1755" i="2"/>
  <c r="K1754" i="2"/>
  <c r="J1754" i="2"/>
  <c r="I1754" i="2"/>
  <c r="H1754" i="2"/>
  <c r="G1754" i="2"/>
  <c r="F1754" i="2"/>
  <c r="K1753" i="2"/>
  <c r="J1753" i="2"/>
  <c r="I1753" i="2"/>
  <c r="H1753" i="2"/>
  <c r="G1753" i="2"/>
  <c r="F1753" i="2"/>
  <c r="K1752" i="2"/>
  <c r="J1752" i="2"/>
  <c r="I1752" i="2"/>
  <c r="H1752" i="2"/>
  <c r="G1752" i="2"/>
  <c r="F1752" i="2"/>
  <c r="K1751" i="2"/>
  <c r="J1751" i="2"/>
  <c r="I1751" i="2"/>
  <c r="H1751" i="2"/>
  <c r="G1751" i="2"/>
  <c r="F1751" i="2"/>
  <c r="K1750" i="2"/>
  <c r="J1750" i="2"/>
  <c r="I1750" i="2"/>
  <c r="H1750" i="2"/>
  <c r="G1750" i="2"/>
  <c r="F1750" i="2"/>
  <c r="K1749" i="2"/>
  <c r="J1749" i="2"/>
  <c r="I1749" i="2"/>
  <c r="H1749" i="2"/>
  <c r="G1749" i="2"/>
  <c r="F1749" i="2"/>
  <c r="K1748" i="2"/>
  <c r="J1748" i="2"/>
  <c r="I1748" i="2"/>
  <c r="H1748" i="2"/>
  <c r="G1748" i="2"/>
  <c r="F1748" i="2"/>
  <c r="K1747" i="2"/>
  <c r="J1747" i="2"/>
  <c r="I1747" i="2"/>
  <c r="H1747" i="2"/>
  <c r="G1747" i="2"/>
  <c r="F1747" i="2"/>
  <c r="K1746" i="2"/>
  <c r="J1746" i="2"/>
  <c r="I1746" i="2"/>
  <c r="H1746" i="2"/>
  <c r="G1746" i="2"/>
  <c r="F1746" i="2"/>
  <c r="K1745" i="2"/>
  <c r="J1745" i="2"/>
  <c r="I1745" i="2"/>
  <c r="H1745" i="2"/>
  <c r="G1745" i="2"/>
  <c r="F1745" i="2"/>
  <c r="K1744" i="2"/>
  <c r="J1744" i="2"/>
  <c r="I1744" i="2"/>
  <c r="H1744" i="2"/>
  <c r="G1744" i="2"/>
  <c r="F1744" i="2"/>
  <c r="K1743" i="2"/>
  <c r="J1743" i="2"/>
  <c r="I1743" i="2"/>
  <c r="H1743" i="2"/>
  <c r="G1743" i="2"/>
  <c r="F1743" i="2"/>
  <c r="K1742" i="2"/>
  <c r="J1742" i="2"/>
  <c r="I1742" i="2"/>
  <c r="H1742" i="2"/>
  <c r="G1742" i="2"/>
  <c r="F1742" i="2"/>
  <c r="K1741" i="2"/>
  <c r="J1741" i="2"/>
  <c r="I1741" i="2"/>
  <c r="H1741" i="2"/>
  <c r="G1741" i="2"/>
  <c r="F1741" i="2"/>
  <c r="K1740" i="2"/>
  <c r="J1740" i="2"/>
  <c r="I1740" i="2"/>
  <c r="H1740" i="2"/>
  <c r="G1740" i="2"/>
  <c r="F1740" i="2"/>
  <c r="K1739" i="2"/>
  <c r="J1739" i="2"/>
  <c r="I1739" i="2"/>
  <c r="H1739" i="2"/>
  <c r="G1739" i="2"/>
  <c r="F1739" i="2"/>
  <c r="K1738" i="2"/>
  <c r="J1738" i="2"/>
  <c r="I1738" i="2"/>
  <c r="H1738" i="2"/>
  <c r="G1738" i="2"/>
  <c r="F1738" i="2"/>
  <c r="K1737" i="2"/>
  <c r="J1737" i="2"/>
  <c r="I1737" i="2"/>
  <c r="H1737" i="2"/>
  <c r="G1737" i="2"/>
  <c r="F1737" i="2"/>
  <c r="K1736" i="2"/>
  <c r="J1736" i="2"/>
  <c r="I1736" i="2"/>
  <c r="H1736" i="2"/>
  <c r="G1736" i="2"/>
  <c r="F1736" i="2"/>
  <c r="K1735" i="2"/>
  <c r="J1735" i="2"/>
  <c r="I1735" i="2"/>
  <c r="H1735" i="2"/>
  <c r="G1735" i="2"/>
  <c r="F1735" i="2"/>
  <c r="K1734" i="2"/>
  <c r="J1734" i="2"/>
  <c r="I1734" i="2"/>
  <c r="H1734" i="2"/>
  <c r="G1734" i="2"/>
  <c r="F1734" i="2"/>
  <c r="K1733" i="2"/>
  <c r="J1733" i="2"/>
  <c r="I1733" i="2"/>
  <c r="H1733" i="2"/>
  <c r="G1733" i="2"/>
  <c r="F1733" i="2"/>
  <c r="K1732" i="2"/>
  <c r="J1732" i="2"/>
  <c r="I1732" i="2"/>
  <c r="H1732" i="2"/>
  <c r="G1732" i="2"/>
  <c r="F1732" i="2"/>
  <c r="K1731" i="2"/>
  <c r="J1731" i="2"/>
  <c r="I1731" i="2"/>
  <c r="H1731" i="2"/>
  <c r="G1731" i="2"/>
  <c r="F1731" i="2"/>
  <c r="K1730" i="2"/>
  <c r="J1730" i="2"/>
  <c r="I1730" i="2"/>
  <c r="H1730" i="2"/>
  <c r="G1730" i="2"/>
  <c r="F1730" i="2"/>
  <c r="K1729" i="2"/>
  <c r="J1729" i="2"/>
  <c r="I1729" i="2"/>
  <c r="H1729" i="2"/>
  <c r="G1729" i="2"/>
  <c r="F1729" i="2"/>
  <c r="K1728" i="2"/>
  <c r="J1728" i="2"/>
  <c r="I1728" i="2"/>
  <c r="H1728" i="2"/>
  <c r="G1728" i="2"/>
  <c r="F1728" i="2"/>
  <c r="K1727" i="2"/>
  <c r="J1727" i="2"/>
  <c r="I1727" i="2"/>
  <c r="H1727" i="2"/>
  <c r="G1727" i="2"/>
  <c r="F1727" i="2"/>
  <c r="K1726" i="2"/>
  <c r="J1726" i="2"/>
  <c r="I1726" i="2"/>
  <c r="H1726" i="2"/>
  <c r="G1726" i="2"/>
  <c r="F1726" i="2"/>
  <c r="K1725" i="2"/>
  <c r="J1725" i="2"/>
  <c r="I1725" i="2"/>
  <c r="H1725" i="2"/>
  <c r="G1725" i="2"/>
  <c r="F1725" i="2"/>
  <c r="K1724" i="2"/>
  <c r="J1724" i="2"/>
  <c r="I1724" i="2"/>
  <c r="H1724" i="2"/>
  <c r="G1724" i="2"/>
  <c r="F1724" i="2"/>
  <c r="K1723" i="2"/>
  <c r="J1723" i="2"/>
  <c r="I1723" i="2"/>
  <c r="H1723" i="2"/>
  <c r="G1723" i="2"/>
  <c r="F1723" i="2"/>
  <c r="K1722" i="2"/>
  <c r="J1722" i="2"/>
  <c r="I1722" i="2"/>
  <c r="H1722" i="2"/>
  <c r="G1722" i="2"/>
  <c r="F1722" i="2"/>
  <c r="K1721" i="2"/>
  <c r="J1721" i="2"/>
  <c r="I1721" i="2"/>
  <c r="H1721" i="2"/>
  <c r="G1721" i="2"/>
  <c r="F1721" i="2"/>
  <c r="K1720" i="2"/>
  <c r="J1720" i="2"/>
  <c r="I1720" i="2"/>
  <c r="H1720" i="2"/>
  <c r="G1720" i="2"/>
  <c r="F1720" i="2"/>
  <c r="K1719" i="2"/>
  <c r="J1719" i="2"/>
  <c r="I1719" i="2"/>
  <c r="H1719" i="2"/>
  <c r="G1719" i="2"/>
  <c r="F1719" i="2"/>
  <c r="K1718" i="2"/>
  <c r="J1718" i="2"/>
  <c r="I1718" i="2"/>
  <c r="H1718" i="2"/>
  <c r="G1718" i="2"/>
  <c r="F1718" i="2"/>
  <c r="K1717" i="2"/>
  <c r="J1717" i="2"/>
  <c r="I1717" i="2"/>
  <c r="H1717" i="2"/>
  <c r="G1717" i="2"/>
  <c r="F1717" i="2"/>
  <c r="K1716" i="2"/>
  <c r="J1716" i="2"/>
  <c r="I1716" i="2"/>
  <c r="H1716" i="2"/>
  <c r="G1716" i="2"/>
  <c r="F1716" i="2"/>
  <c r="K1715" i="2"/>
  <c r="J1715" i="2"/>
  <c r="I1715" i="2"/>
  <c r="H1715" i="2"/>
  <c r="G1715" i="2"/>
  <c r="F1715" i="2"/>
  <c r="K1714" i="2"/>
  <c r="J1714" i="2"/>
  <c r="I1714" i="2"/>
  <c r="H1714" i="2"/>
  <c r="G1714" i="2"/>
  <c r="F1714" i="2"/>
  <c r="K1713" i="2"/>
  <c r="J1713" i="2"/>
  <c r="I1713" i="2"/>
  <c r="H1713" i="2"/>
  <c r="G1713" i="2"/>
  <c r="F1713" i="2"/>
  <c r="K1712" i="2"/>
  <c r="J1712" i="2"/>
  <c r="I1712" i="2"/>
  <c r="H1712" i="2"/>
  <c r="G1712" i="2"/>
  <c r="F1712" i="2"/>
  <c r="K1711" i="2"/>
  <c r="J1711" i="2"/>
  <c r="I1711" i="2"/>
  <c r="H1711" i="2"/>
  <c r="G1711" i="2"/>
  <c r="F1711" i="2"/>
  <c r="K1710" i="2"/>
  <c r="J1710" i="2"/>
  <c r="I1710" i="2"/>
  <c r="H1710" i="2"/>
  <c r="G1710" i="2"/>
  <c r="F1710" i="2"/>
  <c r="K1709" i="2"/>
  <c r="J1709" i="2"/>
  <c r="I1709" i="2"/>
  <c r="H1709" i="2"/>
  <c r="G1709" i="2"/>
  <c r="F1709" i="2"/>
  <c r="K1708" i="2"/>
  <c r="J1708" i="2"/>
  <c r="I1708" i="2"/>
  <c r="H1708" i="2"/>
  <c r="G1708" i="2"/>
  <c r="F1708" i="2"/>
  <c r="K1707" i="2"/>
  <c r="J1707" i="2"/>
  <c r="I1707" i="2"/>
  <c r="H1707" i="2"/>
  <c r="G1707" i="2"/>
  <c r="F1707" i="2"/>
  <c r="K1706" i="2"/>
  <c r="J1706" i="2"/>
  <c r="I1706" i="2"/>
  <c r="H1706" i="2"/>
  <c r="G1706" i="2"/>
  <c r="F1706" i="2"/>
  <c r="K1705" i="2"/>
  <c r="J1705" i="2"/>
  <c r="I1705" i="2"/>
  <c r="H1705" i="2"/>
  <c r="G1705" i="2"/>
  <c r="F1705" i="2"/>
  <c r="K1704" i="2"/>
  <c r="J1704" i="2"/>
  <c r="I1704" i="2"/>
  <c r="H1704" i="2"/>
  <c r="G1704" i="2"/>
  <c r="F1704" i="2"/>
  <c r="K1703" i="2"/>
  <c r="J1703" i="2"/>
  <c r="I1703" i="2"/>
  <c r="H1703" i="2"/>
  <c r="G1703" i="2"/>
  <c r="F1703" i="2"/>
  <c r="K1702" i="2"/>
  <c r="J1702" i="2"/>
  <c r="I1702" i="2"/>
  <c r="H1702" i="2"/>
  <c r="G1702" i="2"/>
  <c r="F1702" i="2"/>
  <c r="K1701" i="2"/>
  <c r="J1701" i="2"/>
  <c r="I1701" i="2"/>
  <c r="H1701" i="2"/>
  <c r="G1701" i="2"/>
  <c r="F1701" i="2"/>
  <c r="K1700" i="2"/>
  <c r="J1700" i="2"/>
  <c r="I1700" i="2"/>
  <c r="H1700" i="2"/>
  <c r="G1700" i="2"/>
  <c r="F1700" i="2"/>
  <c r="K1699" i="2"/>
  <c r="J1699" i="2"/>
  <c r="I1699" i="2"/>
  <c r="H1699" i="2"/>
  <c r="G1699" i="2"/>
  <c r="F1699" i="2"/>
  <c r="K1698" i="2"/>
  <c r="J1698" i="2"/>
  <c r="I1698" i="2"/>
  <c r="H1698" i="2"/>
  <c r="G1698" i="2"/>
  <c r="F1698" i="2"/>
  <c r="K1697" i="2"/>
  <c r="J1697" i="2"/>
  <c r="I1697" i="2"/>
  <c r="H1697" i="2"/>
  <c r="G1697" i="2"/>
  <c r="F1697" i="2"/>
  <c r="K1696" i="2"/>
  <c r="J1696" i="2"/>
  <c r="I1696" i="2"/>
  <c r="H1696" i="2"/>
  <c r="G1696" i="2"/>
  <c r="F1696" i="2"/>
  <c r="K1695" i="2"/>
  <c r="J1695" i="2"/>
  <c r="I1695" i="2"/>
  <c r="H1695" i="2"/>
  <c r="G1695" i="2"/>
  <c r="F1695" i="2"/>
  <c r="K1694" i="2"/>
  <c r="J1694" i="2"/>
  <c r="I1694" i="2"/>
  <c r="H1694" i="2"/>
  <c r="G1694" i="2"/>
  <c r="F1694" i="2"/>
  <c r="K1693" i="2"/>
  <c r="J1693" i="2"/>
  <c r="I1693" i="2"/>
  <c r="H1693" i="2"/>
  <c r="G1693" i="2"/>
  <c r="F1693" i="2"/>
  <c r="K1692" i="2"/>
  <c r="J1692" i="2"/>
  <c r="I1692" i="2"/>
  <c r="H1692" i="2"/>
  <c r="G1692" i="2"/>
  <c r="F1692" i="2"/>
  <c r="K1691" i="2"/>
  <c r="J1691" i="2"/>
  <c r="I1691" i="2"/>
  <c r="H1691" i="2"/>
  <c r="G1691" i="2"/>
  <c r="F1691" i="2"/>
  <c r="K1690" i="2"/>
  <c r="J1690" i="2"/>
  <c r="I1690" i="2"/>
  <c r="H1690" i="2"/>
  <c r="G1690" i="2"/>
  <c r="F1690" i="2"/>
  <c r="K1689" i="2"/>
  <c r="J1689" i="2"/>
  <c r="I1689" i="2"/>
  <c r="H1689" i="2"/>
  <c r="G1689" i="2"/>
  <c r="F1689" i="2"/>
  <c r="K1688" i="2"/>
  <c r="J1688" i="2"/>
  <c r="I1688" i="2"/>
  <c r="H1688" i="2"/>
  <c r="G1688" i="2"/>
  <c r="F1688" i="2"/>
  <c r="K1687" i="2"/>
  <c r="J1687" i="2"/>
  <c r="I1687" i="2"/>
  <c r="H1687" i="2"/>
  <c r="G1687" i="2"/>
  <c r="F1687" i="2"/>
  <c r="K1686" i="2"/>
  <c r="J1686" i="2"/>
  <c r="I1686" i="2"/>
  <c r="H1686" i="2"/>
  <c r="G1686" i="2"/>
  <c r="F1686" i="2"/>
  <c r="K1685" i="2"/>
  <c r="J1685" i="2"/>
  <c r="I1685" i="2"/>
  <c r="H1685" i="2"/>
  <c r="G1685" i="2"/>
  <c r="F1685" i="2"/>
  <c r="K1684" i="2"/>
  <c r="J1684" i="2"/>
  <c r="I1684" i="2"/>
  <c r="H1684" i="2"/>
  <c r="G1684" i="2"/>
  <c r="F1684" i="2"/>
  <c r="K1683" i="2"/>
  <c r="J1683" i="2"/>
  <c r="I1683" i="2"/>
  <c r="H1683" i="2"/>
  <c r="G1683" i="2"/>
  <c r="F1683" i="2"/>
  <c r="K1682" i="2"/>
  <c r="J1682" i="2"/>
  <c r="I1682" i="2"/>
  <c r="H1682" i="2"/>
  <c r="G1682" i="2"/>
  <c r="F1682" i="2"/>
  <c r="K1681" i="2"/>
  <c r="J1681" i="2"/>
  <c r="I1681" i="2"/>
  <c r="H1681" i="2"/>
  <c r="G1681" i="2"/>
  <c r="F1681" i="2"/>
  <c r="K1680" i="2"/>
  <c r="J1680" i="2"/>
  <c r="I1680" i="2"/>
  <c r="H1680" i="2"/>
  <c r="G1680" i="2"/>
  <c r="F1680" i="2"/>
  <c r="K1679" i="2"/>
  <c r="J1679" i="2"/>
  <c r="I1679" i="2"/>
  <c r="H1679" i="2"/>
  <c r="G1679" i="2"/>
  <c r="F1679" i="2"/>
  <c r="K1678" i="2"/>
  <c r="J1678" i="2"/>
  <c r="I1678" i="2"/>
  <c r="H1678" i="2"/>
  <c r="G1678" i="2"/>
  <c r="F1678" i="2"/>
  <c r="K1677" i="2"/>
  <c r="J1677" i="2"/>
  <c r="I1677" i="2"/>
  <c r="H1677" i="2"/>
  <c r="G1677" i="2"/>
  <c r="F1677" i="2"/>
  <c r="K1676" i="2"/>
  <c r="J1676" i="2"/>
  <c r="I1676" i="2"/>
  <c r="H1676" i="2"/>
  <c r="G1676" i="2"/>
  <c r="F1676" i="2"/>
  <c r="K1675" i="2"/>
  <c r="J1675" i="2"/>
  <c r="I1675" i="2"/>
  <c r="H1675" i="2"/>
  <c r="G1675" i="2"/>
  <c r="F1675" i="2"/>
  <c r="K1674" i="2"/>
  <c r="J1674" i="2"/>
  <c r="I1674" i="2"/>
  <c r="H1674" i="2"/>
  <c r="G1674" i="2"/>
  <c r="F1674" i="2"/>
  <c r="K1673" i="2"/>
  <c r="J1673" i="2"/>
  <c r="I1673" i="2"/>
  <c r="H1673" i="2"/>
  <c r="G1673" i="2"/>
  <c r="F1673" i="2"/>
  <c r="K1672" i="2"/>
  <c r="J1672" i="2"/>
  <c r="I1672" i="2"/>
  <c r="H1672" i="2"/>
  <c r="G1672" i="2"/>
  <c r="F1672" i="2"/>
  <c r="K1671" i="2"/>
  <c r="J1671" i="2"/>
  <c r="I1671" i="2"/>
  <c r="H1671" i="2"/>
  <c r="G1671" i="2"/>
  <c r="F1671" i="2"/>
  <c r="K1670" i="2"/>
  <c r="J1670" i="2"/>
  <c r="I1670" i="2"/>
  <c r="H1670" i="2"/>
  <c r="G1670" i="2"/>
  <c r="F1670" i="2"/>
  <c r="K1669" i="2"/>
  <c r="J1669" i="2"/>
  <c r="I1669" i="2"/>
  <c r="H1669" i="2"/>
  <c r="G1669" i="2"/>
  <c r="F1669" i="2"/>
  <c r="K1668" i="2"/>
  <c r="J1668" i="2"/>
  <c r="I1668" i="2"/>
  <c r="H1668" i="2"/>
  <c r="G1668" i="2"/>
  <c r="F1668" i="2"/>
  <c r="K1667" i="2"/>
  <c r="J1667" i="2"/>
  <c r="I1667" i="2"/>
  <c r="H1667" i="2"/>
  <c r="G1667" i="2"/>
  <c r="F1667" i="2"/>
  <c r="K1666" i="2"/>
  <c r="J1666" i="2"/>
  <c r="I1666" i="2"/>
  <c r="H1666" i="2"/>
  <c r="G1666" i="2"/>
  <c r="F1666" i="2"/>
  <c r="K1665" i="2"/>
  <c r="J1665" i="2"/>
  <c r="I1665" i="2"/>
  <c r="H1665" i="2"/>
  <c r="G1665" i="2"/>
  <c r="F1665" i="2"/>
  <c r="K1664" i="2"/>
  <c r="J1664" i="2"/>
  <c r="I1664" i="2"/>
  <c r="H1664" i="2"/>
  <c r="G1664" i="2"/>
  <c r="F1664" i="2"/>
  <c r="K1663" i="2"/>
  <c r="J1663" i="2"/>
  <c r="I1663" i="2"/>
  <c r="H1663" i="2"/>
  <c r="G1663" i="2"/>
  <c r="F1663" i="2"/>
  <c r="K1662" i="2"/>
  <c r="J1662" i="2"/>
  <c r="I1662" i="2"/>
  <c r="H1662" i="2"/>
  <c r="G1662" i="2"/>
  <c r="F1662" i="2"/>
  <c r="K1661" i="2"/>
  <c r="J1661" i="2"/>
  <c r="I1661" i="2"/>
  <c r="H1661" i="2"/>
  <c r="G1661" i="2"/>
  <c r="F1661" i="2"/>
  <c r="K1660" i="2"/>
  <c r="J1660" i="2"/>
  <c r="I1660" i="2"/>
  <c r="H1660" i="2"/>
  <c r="G1660" i="2"/>
  <c r="F1660" i="2"/>
  <c r="K1659" i="2"/>
  <c r="J1659" i="2"/>
  <c r="I1659" i="2"/>
  <c r="H1659" i="2"/>
  <c r="G1659" i="2"/>
  <c r="F1659" i="2"/>
  <c r="K1658" i="2"/>
  <c r="J1658" i="2"/>
  <c r="I1658" i="2"/>
  <c r="H1658" i="2"/>
  <c r="G1658" i="2"/>
  <c r="F1658" i="2"/>
  <c r="K1657" i="2"/>
  <c r="J1657" i="2"/>
  <c r="I1657" i="2"/>
  <c r="H1657" i="2"/>
  <c r="G1657" i="2"/>
  <c r="F1657" i="2"/>
  <c r="K1656" i="2"/>
  <c r="J1656" i="2"/>
  <c r="I1656" i="2"/>
  <c r="H1656" i="2"/>
  <c r="G1656" i="2"/>
  <c r="F1656" i="2"/>
  <c r="K1655" i="2"/>
  <c r="J1655" i="2"/>
  <c r="I1655" i="2"/>
  <c r="H1655" i="2"/>
  <c r="G1655" i="2"/>
  <c r="F1655" i="2"/>
  <c r="K1654" i="2"/>
  <c r="J1654" i="2"/>
  <c r="I1654" i="2"/>
  <c r="H1654" i="2"/>
  <c r="G1654" i="2"/>
  <c r="F1654" i="2"/>
  <c r="K1653" i="2"/>
  <c r="J1653" i="2"/>
  <c r="I1653" i="2"/>
  <c r="H1653" i="2"/>
  <c r="G1653" i="2"/>
  <c r="F1653" i="2"/>
  <c r="K1652" i="2"/>
  <c r="J1652" i="2"/>
  <c r="I1652" i="2"/>
  <c r="H1652" i="2"/>
  <c r="G1652" i="2"/>
  <c r="F1652" i="2"/>
  <c r="K1651" i="2"/>
  <c r="J1651" i="2"/>
  <c r="I1651" i="2"/>
  <c r="H1651" i="2"/>
  <c r="G1651" i="2"/>
  <c r="F1651" i="2"/>
  <c r="K1650" i="2"/>
  <c r="J1650" i="2"/>
  <c r="I1650" i="2"/>
  <c r="H1650" i="2"/>
  <c r="G1650" i="2"/>
  <c r="F1650" i="2"/>
  <c r="K1649" i="2"/>
  <c r="J1649" i="2"/>
  <c r="I1649" i="2"/>
  <c r="H1649" i="2"/>
  <c r="G1649" i="2"/>
  <c r="F1649" i="2"/>
  <c r="K1648" i="2"/>
  <c r="J1648" i="2"/>
  <c r="I1648" i="2"/>
  <c r="H1648" i="2"/>
  <c r="G1648" i="2"/>
  <c r="F1648" i="2"/>
  <c r="K1647" i="2"/>
  <c r="J1647" i="2"/>
  <c r="I1647" i="2"/>
  <c r="H1647" i="2"/>
  <c r="G1647" i="2"/>
  <c r="F1647" i="2"/>
  <c r="K1646" i="2"/>
  <c r="J1646" i="2"/>
  <c r="I1646" i="2"/>
  <c r="H1646" i="2"/>
  <c r="G1646" i="2"/>
  <c r="F1646" i="2"/>
  <c r="K1645" i="2"/>
  <c r="J1645" i="2"/>
  <c r="I1645" i="2"/>
  <c r="H1645" i="2"/>
  <c r="G1645" i="2"/>
  <c r="F1645" i="2"/>
  <c r="K1644" i="2"/>
  <c r="J1644" i="2"/>
  <c r="I1644" i="2"/>
  <c r="H1644" i="2"/>
  <c r="G1644" i="2"/>
  <c r="F1644" i="2"/>
  <c r="K1643" i="2"/>
  <c r="J1643" i="2"/>
  <c r="I1643" i="2"/>
  <c r="H1643" i="2"/>
  <c r="G1643" i="2"/>
  <c r="F1643" i="2"/>
  <c r="K1642" i="2"/>
  <c r="J1642" i="2"/>
  <c r="I1642" i="2"/>
  <c r="H1642" i="2"/>
  <c r="G1642" i="2"/>
  <c r="F1642" i="2"/>
  <c r="K1641" i="2"/>
  <c r="J1641" i="2"/>
  <c r="I1641" i="2"/>
  <c r="H1641" i="2"/>
  <c r="G1641" i="2"/>
  <c r="F1641" i="2"/>
  <c r="K1640" i="2"/>
  <c r="J1640" i="2"/>
  <c r="I1640" i="2"/>
  <c r="H1640" i="2"/>
  <c r="G1640" i="2"/>
  <c r="F1640" i="2"/>
  <c r="K1639" i="2"/>
  <c r="J1639" i="2"/>
  <c r="I1639" i="2"/>
  <c r="H1639" i="2"/>
  <c r="G1639" i="2"/>
  <c r="F1639" i="2"/>
  <c r="K1638" i="2"/>
  <c r="J1638" i="2"/>
  <c r="I1638" i="2"/>
  <c r="H1638" i="2"/>
  <c r="G1638" i="2"/>
  <c r="F1638" i="2"/>
  <c r="K1637" i="2"/>
  <c r="J1637" i="2"/>
  <c r="I1637" i="2"/>
  <c r="H1637" i="2"/>
  <c r="G1637" i="2"/>
  <c r="F1637" i="2"/>
  <c r="K1636" i="2"/>
  <c r="J1636" i="2"/>
  <c r="I1636" i="2"/>
  <c r="H1636" i="2"/>
  <c r="G1636" i="2"/>
  <c r="F1636" i="2"/>
  <c r="K1635" i="2"/>
  <c r="J1635" i="2"/>
  <c r="I1635" i="2"/>
  <c r="H1635" i="2"/>
  <c r="G1635" i="2"/>
  <c r="F1635" i="2"/>
  <c r="K1634" i="2"/>
  <c r="J1634" i="2"/>
  <c r="I1634" i="2"/>
  <c r="H1634" i="2"/>
  <c r="G1634" i="2"/>
  <c r="F1634" i="2"/>
  <c r="K1633" i="2"/>
  <c r="J1633" i="2"/>
  <c r="I1633" i="2"/>
  <c r="H1633" i="2"/>
  <c r="G1633" i="2"/>
  <c r="F1633" i="2"/>
  <c r="K1632" i="2"/>
  <c r="J1632" i="2"/>
  <c r="I1632" i="2"/>
  <c r="H1632" i="2"/>
  <c r="G1632" i="2"/>
  <c r="F1632" i="2"/>
  <c r="K1631" i="2"/>
  <c r="J1631" i="2"/>
  <c r="I1631" i="2"/>
  <c r="H1631" i="2"/>
  <c r="G1631" i="2"/>
  <c r="F1631" i="2"/>
  <c r="K1630" i="2"/>
  <c r="J1630" i="2"/>
  <c r="I1630" i="2"/>
  <c r="H1630" i="2"/>
  <c r="G1630" i="2"/>
  <c r="F1630" i="2"/>
  <c r="K1629" i="2"/>
  <c r="J1629" i="2"/>
  <c r="I1629" i="2"/>
  <c r="H1629" i="2"/>
  <c r="G1629" i="2"/>
  <c r="F1629" i="2"/>
  <c r="K1628" i="2"/>
  <c r="J1628" i="2"/>
  <c r="I1628" i="2"/>
  <c r="H1628" i="2"/>
  <c r="G1628" i="2"/>
  <c r="F1628" i="2"/>
  <c r="K1627" i="2"/>
  <c r="J1627" i="2"/>
  <c r="I1627" i="2"/>
  <c r="H1627" i="2"/>
  <c r="G1627" i="2"/>
  <c r="F1627" i="2"/>
  <c r="K1626" i="2"/>
  <c r="J1626" i="2"/>
  <c r="I1626" i="2"/>
  <c r="H1626" i="2"/>
  <c r="G1626" i="2"/>
  <c r="F1626" i="2"/>
  <c r="K1625" i="2"/>
  <c r="J1625" i="2"/>
  <c r="I1625" i="2"/>
  <c r="H1625" i="2"/>
  <c r="G1625" i="2"/>
  <c r="F1625" i="2"/>
  <c r="K1624" i="2"/>
  <c r="J1624" i="2"/>
  <c r="I1624" i="2"/>
  <c r="H1624" i="2"/>
  <c r="G1624" i="2"/>
  <c r="F1624" i="2"/>
  <c r="K1623" i="2"/>
  <c r="J1623" i="2"/>
  <c r="I1623" i="2"/>
  <c r="H1623" i="2"/>
  <c r="G1623" i="2"/>
  <c r="F1623" i="2"/>
  <c r="K1622" i="2"/>
  <c r="J1622" i="2"/>
  <c r="I1622" i="2"/>
  <c r="H1622" i="2"/>
  <c r="G1622" i="2"/>
  <c r="F1622" i="2"/>
  <c r="K1621" i="2"/>
  <c r="J1621" i="2"/>
  <c r="I1621" i="2"/>
  <c r="H1621" i="2"/>
  <c r="G1621" i="2"/>
  <c r="F1621" i="2"/>
  <c r="K1620" i="2"/>
  <c r="J1620" i="2"/>
  <c r="I1620" i="2"/>
  <c r="H1620" i="2"/>
  <c r="G1620" i="2"/>
  <c r="F1620" i="2"/>
  <c r="K1619" i="2"/>
  <c r="J1619" i="2"/>
  <c r="I1619" i="2"/>
  <c r="H1619" i="2"/>
  <c r="G1619" i="2"/>
  <c r="F1619" i="2"/>
  <c r="K1618" i="2"/>
  <c r="J1618" i="2"/>
  <c r="I1618" i="2"/>
  <c r="H1618" i="2"/>
  <c r="G1618" i="2"/>
  <c r="F1618" i="2"/>
  <c r="K1617" i="2"/>
  <c r="J1617" i="2"/>
  <c r="I1617" i="2"/>
  <c r="H1617" i="2"/>
  <c r="G1617" i="2"/>
  <c r="F1617" i="2"/>
  <c r="K1616" i="2"/>
  <c r="J1616" i="2"/>
  <c r="I1616" i="2"/>
  <c r="H1616" i="2"/>
  <c r="G1616" i="2"/>
  <c r="F1616" i="2"/>
  <c r="K1615" i="2"/>
  <c r="J1615" i="2"/>
  <c r="I1615" i="2"/>
  <c r="H1615" i="2"/>
  <c r="G1615" i="2"/>
  <c r="F1615" i="2"/>
  <c r="K1614" i="2"/>
  <c r="J1614" i="2"/>
  <c r="I1614" i="2"/>
  <c r="H1614" i="2"/>
  <c r="G1614" i="2"/>
  <c r="F1614" i="2"/>
  <c r="K1613" i="2"/>
  <c r="J1613" i="2"/>
  <c r="I1613" i="2"/>
  <c r="H1613" i="2"/>
  <c r="G1613" i="2"/>
  <c r="F1613" i="2"/>
  <c r="K1612" i="2"/>
  <c r="J1612" i="2"/>
  <c r="I1612" i="2"/>
  <c r="H1612" i="2"/>
  <c r="G1612" i="2"/>
  <c r="F1612" i="2"/>
  <c r="K1611" i="2"/>
  <c r="J1611" i="2"/>
  <c r="I1611" i="2"/>
  <c r="H1611" i="2"/>
  <c r="G1611" i="2"/>
  <c r="F1611" i="2"/>
  <c r="K1610" i="2"/>
  <c r="J1610" i="2"/>
  <c r="I1610" i="2"/>
  <c r="H1610" i="2"/>
  <c r="G1610" i="2"/>
  <c r="F1610" i="2"/>
  <c r="K1609" i="2"/>
  <c r="J1609" i="2"/>
  <c r="I1609" i="2"/>
  <c r="H1609" i="2"/>
  <c r="G1609" i="2"/>
  <c r="F1609" i="2"/>
  <c r="K1608" i="2"/>
  <c r="J1608" i="2"/>
  <c r="I1608" i="2"/>
  <c r="H1608" i="2"/>
  <c r="G1608" i="2"/>
  <c r="F1608" i="2"/>
  <c r="K1607" i="2"/>
  <c r="J1607" i="2"/>
  <c r="I1607" i="2"/>
  <c r="H1607" i="2"/>
  <c r="G1607" i="2"/>
  <c r="F1607" i="2"/>
  <c r="K1606" i="2"/>
  <c r="J1606" i="2"/>
  <c r="I1606" i="2"/>
  <c r="H1606" i="2"/>
  <c r="G1606" i="2"/>
  <c r="F1606" i="2"/>
  <c r="K1605" i="2"/>
  <c r="J1605" i="2"/>
  <c r="I1605" i="2"/>
  <c r="H1605" i="2"/>
  <c r="G1605" i="2"/>
  <c r="F1605" i="2"/>
  <c r="K1604" i="2"/>
  <c r="J1604" i="2"/>
  <c r="I1604" i="2"/>
  <c r="H1604" i="2"/>
  <c r="G1604" i="2"/>
  <c r="F1604" i="2"/>
  <c r="K1603" i="2"/>
  <c r="J1603" i="2"/>
  <c r="I1603" i="2"/>
  <c r="H1603" i="2"/>
  <c r="G1603" i="2"/>
  <c r="F1603" i="2"/>
  <c r="K1602" i="2"/>
  <c r="J1602" i="2"/>
  <c r="I1602" i="2"/>
  <c r="H1602" i="2"/>
  <c r="G1602" i="2"/>
  <c r="F1602" i="2"/>
  <c r="K1601" i="2"/>
  <c r="J1601" i="2"/>
  <c r="I1601" i="2"/>
  <c r="H1601" i="2"/>
  <c r="G1601" i="2"/>
  <c r="F1601" i="2"/>
  <c r="K1600" i="2"/>
  <c r="J1600" i="2"/>
  <c r="I1600" i="2"/>
  <c r="H1600" i="2"/>
  <c r="G1600" i="2"/>
  <c r="F1600" i="2"/>
  <c r="K1599" i="2"/>
  <c r="J1599" i="2"/>
  <c r="I1599" i="2"/>
  <c r="H1599" i="2"/>
  <c r="G1599" i="2"/>
  <c r="F1599" i="2"/>
  <c r="K1598" i="2"/>
  <c r="J1598" i="2"/>
  <c r="I1598" i="2"/>
  <c r="H1598" i="2"/>
  <c r="G1598" i="2"/>
  <c r="F1598" i="2"/>
  <c r="K1597" i="2"/>
  <c r="J1597" i="2"/>
  <c r="I1597" i="2"/>
  <c r="H1597" i="2"/>
  <c r="G1597" i="2"/>
  <c r="F1597" i="2"/>
  <c r="K1596" i="2"/>
  <c r="J1596" i="2"/>
  <c r="I1596" i="2"/>
  <c r="H1596" i="2"/>
  <c r="G1596" i="2"/>
  <c r="F1596" i="2"/>
  <c r="K1595" i="2"/>
  <c r="J1595" i="2"/>
  <c r="I1595" i="2"/>
  <c r="H1595" i="2"/>
  <c r="G1595" i="2"/>
  <c r="F1595" i="2"/>
  <c r="K1594" i="2"/>
  <c r="J1594" i="2"/>
  <c r="I1594" i="2"/>
  <c r="H1594" i="2"/>
  <c r="G1594" i="2"/>
  <c r="F1594" i="2"/>
  <c r="K1593" i="2"/>
  <c r="J1593" i="2"/>
  <c r="I1593" i="2"/>
  <c r="H1593" i="2"/>
  <c r="G1593" i="2"/>
  <c r="F1593" i="2"/>
  <c r="K1592" i="2"/>
  <c r="J1592" i="2"/>
  <c r="I1592" i="2"/>
  <c r="H1592" i="2"/>
  <c r="G1592" i="2"/>
  <c r="F1592" i="2"/>
  <c r="K1591" i="2"/>
  <c r="J1591" i="2"/>
  <c r="I1591" i="2"/>
  <c r="H1591" i="2"/>
  <c r="G1591" i="2"/>
  <c r="F1591" i="2"/>
  <c r="K1590" i="2"/>
  <c r="J1590" i="2"/>
  <c r="I1590" i="2"/>
  <c r="H1590" i="2"/>
  <c r="G1590" i="2"/>
  <c r="F1590" i="2"/>
  <c r="K1589" i="2"/>
  <c r="J1589" i="2"/>
  <c r="I1589" i="2"/>
  <c r="H1589" i="2"/>
  <c r="G1589" i="2"/>
  <c r="F1589" i="2"/>
  <c r="K1588" i="2"/>
  <c r="J1588" i="2"/>
  <c r="I1588" i="2"/>
  <c r="H1588" i="2"/>
  <c r="G1588" i="2"/>
  <c r="F1588" i="2"/>
  <c r="K1587" i="2"/>
  <c r="J1587" i="2"/>
  <c r="I1587" i="2"/>
  <c r="H1587" i="2"/>
  <c r="G1587" i="2"/>
  <c r="F1587" i="2"/>
  <c r="K1586" i="2"/>
  <c r="J1586" i="2"/>
  <c r="I1586" i="2"/>
  <c r="H1586" i="2"/>
  <c r="G1586" i="2"/>
  <c r="F1586" i="2"/>
  <c r="K1585" i="2"/>
  <c r="J1585" i="2"/>
  <c r="I1585" i="2"/>
  <c r="H1585" i="2"/>
  <c r="G1585" i="2"/>
  <c r="F1585" i="2"/>
  <c r="K1584" i="2"/>
  <c r="J1584" i="2"/>
  <c r="I1584" i="2"/>
  <c r="H1584" i="2"/>
  <c r="G1584" i="2"/>
  <c r="F1584" i="2"/>
  <c r="K1583" i="2"/>
  <c r="J1583" i="2"/>
  <c r="I1583" i="2"/>
  <c r="H1583" i="2"/>
  <c r="G1583" i="2"/>
  <c r="F1583" i="2"/>
  <c r="K1582" i="2"/>
  <c r="J1582" i="2"/>
  <c r="I1582" i="2"/>
  <c r="H1582" i="2"/>
  <c r="G1582" i="2"/>
  <c r="F1582" i="2"/>
  <c r="K1581" i="2"/>
  <c r="J1581" i="2"/>
  <c r="I1581" i="2"/>
  <c r="H1581" i="2"/>
  <c r="G1581" i="2"/>
  <c r="F1581" i="2"/>
  <c r="K1580" i="2"/>
  <c r="J1580" i="2"/>
  <c r="I1580" i="2"/>
  <c r="H1580" i="2"/>
  <c r="G1580" i="2"/>
  <c r="F1580" i="2"/>
  <c r="K1579" i="2"/>
  <c r="J1579" i="2"/>
  <c r="I1579" i="2"/>
  <c r="H1579" i="2"/>
  <c r="G1579" i="2"/>
  <c r="F1579" i="2"/>
  <c r="K1578" i="2"/>
  <c r="J1578" i="2"/>
  <c r="I1578" i="2"/>
  <c r="H1578" i="2"/>
  <c r="G1578" i="2"/>
  <c r="F1578" i="2"/>
  <c r="K1577" i="2"/>
  <c r="J1577" i="2"/>
  <c r="I1577" i="2"/>
  <c r="H1577" i="2"/>
  <c r="G1577" i="2"/>
  <c r="F1577" i="2"/>
  <c r="K1576" i="2"/>
  <c r="J1576" i="2"/>
  <c r="I1576" i="2"/>
  <c r="H1576" i="2"/>
  <c r="G1576" i="2"/>
  <c r="F1576" i="2"/>
  <c r="K1575" i="2"/>
  <c r="J1575" i="2"/>
  <c r="I1575" i="2"/>
  <c r="H1575" i="2"/>
  <c r="G1575" i="2"/>
  <c r="F1575" i="2"/>
  <c r="K1574" i="2"/>
  <c r="J1574" i="2"/>
  <c r="I1574" i="2"/>
  <c r="H1574" i="2"/>
  <c r="G1574" i="2"/>
  <c r="F1574" i="2"/>
  <c r="K1573" i="2"/>
  <c r="J1573" i="2"/>
  <c r="I1573" i="2"/>
  <c r="H1573" i="2"/>
  <c r="G1573" i="2"/>
  <c r="F1573" i="2"/>
  <c r="K1572" i="2"/>
  <c r="J1572" i="2"/>
  <c r="I1572" i="2"/>
  <c r="H1572" i="2"/>
  <c r="G1572" i="2"/>
  <c r="F1572" i="2"/>
  <c r="K1571" i="2"/>
  <c r="J1571" i="2"/>
  <c r="I1571" i="2"/>
  <c r="H1571" i="2"/>
  <c r="G1571" i="2"/>
  <c r="F1571" i="2"/>
  <c r="K1570" i="2"/>
  <c r="J1570" i="2"/>
  <c r="I1570" i="2"/>
  <c r="H1570" i="2"/>
  <c r="G1570" i="2"/>
  <c r="F1570" i="2"/>
  <c r="K1569" i="2"/>
  <c r="J1569" i="2"/>
  <c r="I1569" i="2"/>
  <c r="H1569" i="2"/>
  <c r="G1569" i="2"/>
  <c r="F1569" i="2"/>
  <c r="K1568" i="2"/>
  <c r="J1568" i="2"/>
  <c r="I1568" i="2"/>
  <c r="H1568" i="2"/>
  <c r="G1568" i="2"/>
  <c r="F1568" i="2"/>
  <c r="K1567" i="2"/>
  <c r="J1567" i="2"/>
  <c r="I1567" i="2"/>
  <c r="H1567" i="2"/>
  <c r="G1567" i="2"/>
  <c r="F1567" i="2"/>
  <c r="K1566" i="2"/>
  <c r="J1566" i="2"/>
  <c r="I1566" i="2"/>
  <c r="H1566" i="2"/>
  <c r="G1566" i="2"/>
  <c r="F1566" i="2"/>
  <c r="K1565" i="2"/>
  <c r="J1565" i="2"/>
  <c r="I1565" i="2"/>
  <c r="H1565" i="2"/>
  <c r="G1565" i="2"/>
  <c r="F1565" i="2"/>
  <c r="K1564" i="2"/>
  <c r="J1564" i="2"/>
  <c r="I1564" i="2"/>
  <c r="H1564" i="2"/>
  <c r="G1564" i="2"/>
  <c r="F1564" i="2"/>
  <c r="K1563" i="2"/>
  <c r="J1563" i="2"/>
  <c r="I1563" i="2"/>
  <c r="H1563" i="2"/>
  <c r="G1563" i="2"/>
  <c r="F1563" i="2"/>
  <c r="K1562" i="2"/>
  <c r="J1562" i="2"/>
  <c r="I1562" i="2"/>
  <c r="H1562" i="2"/>
  <c r="G1562" i="2"/>
  <c r="F1562" i="2"/>
  <c r="K1561" i="2"/>
  <c r="J1561" i="2"/>
  <c r="I1561" i="2"/>
  <c r="H1561" i="2"/>
  <c r="G1561" i="2"/>
  <c r="F1561" i="2"/>
  <c r="K1560" i="2"/>
  <c r="J1560" i="2"/>
  <c r="I1560" i="2"/>
  <c r="H1560" i="2"/>
  <c r="G1560" i="2"/>
  <c r="F1560" i="2"/>
  <c r="K1559" i="2"/>
  <c r="J1559" i="2"/>
  <c r="I1559" i="2"/>
  <c r="H1559" i="2"/>
  <c r="G1559" i="2"/>
  <c r="F1559" i="2"/>
  <c r="K1558" i="2"/>
  <c r="J1558" i="2"/>
  <c r="I1558" i="2"/>
  <c r="H1558" i="2"/>
  <c r="G1558" i="2"/>
  <c r="F1558" i="2"/>
  <c r="K1557" i="2"/>
  <c r="J1557" i="2"/>
  <c r="I1557" i="2"/>
  <c r="H1557" i="2"/>
  <c r="G1557" i="2"/>
  <c r="F1557" i="2"/>
  <c r="K1556" i="2"/>
  <c r="J1556" i="2"/>
  <c r="I1556" i="2"/>
  <c r="H1556" i="2"/>
  <c r="G1556" i="2"/>
  <c r="F1556" i="2"/>
  <c r="K1555" i="2"/>
  <c r="J1555" i="2"/>
  <c r="I1555" i="2"/>
  <c r="H1555" i="2"/>
  <c r="G1555" i="2"/>
  <c r="F1555" i="2"/>
  <c r="K1554" i="2"/>
  <c r="J1554" i="2"/>
  <c r="I1554" i="2"/>
  <c r="H1554" i="2"/>
  <c r="G1554" i="2"/>
  <c r="F1554" i="2"/>
  <c r="K1553" i="2"/>
  <c r="J1553" i="2"/>
  <c r="I1553" i="2"/>
  <c r="H1553" i="2"/>
  <c r="G1553" i="2"/>
  <c r="F1553" i="2"/>
  <c r="K1552" i="2"/>
  <c r="J1552" i="2"/>
  <c r="I1552" i="2"/>
  <c r="H1552" i="2"/>
  <c r="G1552" i="2"/>
  <c r="F1552" i="2"/>
  <c r="K1551" i="2"/>
  <c r="J1551" i="2"/>
  <c r="I1551" i="2"/>
  <c r="H1551" i="2"/>
  <c r="G1551" i="2"/>
  <c r="F1551" i="2"/>
  <c r="K1550" i="2"/>
  <c r="J1550" i="2"/>
  <c r="I1550" i="2"/>
  <c r="H1550" i="2"/>
  <c r="G1550" i="2"/>
  <c r="F1550" i="2"/>
  <c r="K1549" i="2"/>
  <c r="J1549" i="2"/>
  <c r="I1549" i="2"/>
  <c r="H1549" i="2"/>
  <c r="G1549" i="2"/>
  <c r="F1549" i="2"/>
  <c r="K1548" i="2"/>
  <c r="J1548" i="2"/>
  <c r="I1548" i="2"/>
  <c r="H1548" i="2"/>
  <c r="G1548" i="2"/>
  <c r="F1548" i="2"/>
  <c r="K1547" i="2"/>
  <c r="J1547" i="2"/>
  <c r="I1547" i="2"/>
  <c r="H1547" i="2"/>
  <c r="G1547" i="2"/>
  <c r="F1547" i="2"/>
  <c r="K1546" i="2"/>
  <c r="J1546" i="2"/>
  <c r="I1546" i="2"/>
  <c r="H1546" i="2"/>
  <c r="G1546" i="2"/>
  <c r="F1546" i="2"/>
  <c r="K1545" i="2"/>
  <c r="J1545" i="2"/>
  <c r="I1545" i="2"/>
  <c r="H1545" i="2"/>
  <c r="G1545" i="2"/>
  <c r="F1545" i="2"/>
  <c r="K1544" i="2"/>
  <c r="J1544" i="2"/>
  <c r="I1544" i="2"/>
  <c r="H1544" i="2"/>
  <c r="G1544" i="2"/>
  <c r="F1544" i="2"/>
  <c r="K1543" i="2"/>
  <c r="J1543" i="2"/>
  <c r="I1543" i="2"/>
  <c r="H1543" i="2"/>
  <c r="G1543" i="2"/>
  <c r="F1543" i="2"/>
  <c r="K1542" i="2"/>
  <c r="J1542" i="2"/>
  <c r="I1542" i="2"/>
  <c r="H1542" i="2"/>
  <c r="G1542" i="2"/>
  <c r="F1542" i="2"/>
  <c r="K1541" i="2"/>
  <c r="J1541" i="2"/>
  <c r="I1541" i="2"/>
  <c r="H1541" i="2"/>
  <c r="G1541" i="2"/>
  <c r="F1541" i="2"/>
  <c r="K1540" i="2"/>
  <c r="J1540" i="2"/>
  <c r="I1540" i="2"/>
  <c r="H1540" i="2"/>
  <c r="G1540" i="2"/>
  <c r="F1540" i="2"/>
  <c r="K1539" i="2"/>
  <c r="J1539" i="2"/>
  <c r="I1539" i="2"/>
  <c r="H1539" i="2"/>
  <c r="G1539" i="2"/>
  <c r="F1539" i="2"/>
  <c r="K1538" i="2"/>
  <c r="J1538" i="2"/>
  <c r="I1538" i="2"/>
  <c r="H1538" i="2"/>
  <c r="G1538" i="2"/>
  <c r="F1538" i="2"/>
  <c r="K1537" i="2"/>
  <c r="J1537" i="2"/>
  <c r="I1537" i="2"/>
  <c r="H1537" i="2"/>
  <c r="G1537" i="2"/>
  <c r="F1537" i="2"/>
  <c r="K1536" i="2"/>
  <c r="J1536" i="2"/>
  <c r="I1536" i="2"/>
  <c r="H1536" i="2"/>
  <c r="G1536" i="2"/>
  <c r="F1536" i="2"/>
  <c r="K1535" i="2"/>
  <c r="J1535" i="2"/>
  <c r="I1535" i="2"/>
  <c r="H1535" i="2"/>
  <c r="G1535" i="2"/>
  <c r="F1535" i="2"/>
  <c r="K1534" i="2"/>
  <c r="J1534" i="2"/>
  <c r="I1534" i="2"/>
  <c r="H1534" i="2"/>
  <c r="G1534" i="2"/>
  <c r="F1534" i="2"/>
  <c r="K1533" i="2"/>
  <c r="J1533" i="2"/>
  <c r="I1533" i="2"/>
  <c r="H1533" i="2"/>
  <c r="G1533" i="2"/>
  <c r="F1533" i="2"/>
  <c r="K1532" i="2"/>
  <c r="J1532" i="2"/>
  <c r="I1532" i="2"/>
  <c r="H1532" i="2"/>
  <c r="G1532" i="2"/>
  <c r="F1532" i="2"/>
  <c r="K1531" i="2"/>
  <c r="J1531" i="2"/>
  <c r="I1531" i="2"/>
  <c r="H1531" i="2"/>
  <c r="G1531" i="2"/>
  <c r="F1531" i="2"/>
  <c r="K1530" i="2"/>
  <c r="J1530" i="2"/>
  <c r="I1530" i="2"/>
  <c r="H1530" i="2"/>
  <c r="G1530" i="2"/>
  <c r="F1530" i="2"/>
  <c r="K1529" i="2"/>
  <c r="J1529" i="2"/>
  <c r="I1529" i="2"/>
  <c r="H1529" i="2"/>
  <c r="G1529" i="2"/>
  <c r="F1529" i="2"/>
  <c r="K1528" i="2"/>
  <c r="J1528" i="2"/>
  <c r="I1528" i="2"/>
  <c r="H1528" i="2"/>
  <c r="G1528" i="2"/>
  <c r="F1528" i="2"/>
  <c r="K1527" i="2"/>
  <c r="J1527" i="2"/>
  <c r="I1527" i="2"/>
  <c r="H1527" i="2"/>
  <c r="G1527" i="2"/>
  <c r="F1527" i="2"/>
  <c r="K1526" i="2"/>
  <c r="J1526" i="2"/>
  <c r="I1526" i="2"/>
  <c r="H1526" i="2"/>
  <c r="G1526" i="2"/>
  <c r="F1526" i="2"/>
  <c r="K1525" i="2"/>
  <c r="J1525" i="2"/>
  <c r="I1525" i="2"/>
  <c r="H1525" i="2"/>
  <c r="G1525" i="2"/>
  <c r="F1525" i="2"/>
  <c r="K1524" i="2"/>
  <c r="J1524" i="2"/>
  <c r="I1524" i="2"/>
  <c r="H1524" i="2"/>
  <c r="G1524" i="2"/>
  <c r="F1524" i="2"/>
  <c r="K1523" i="2"/>
  <c r="J1523" i="2"/>
  <c r="I1523" i="2"/>
  <c r="H1523" i="2"/>
  <c r="G1523" i="2"/>
  <c r="F1523" i="2"/>
  <c r="K1522" i="2"/>
  <c r="J1522" i="2"/>
  <c r="I1522" i="2"/>
  <c r="H1522" i="2"/>
  <c r="G1522" i="2"/>
  <c r="F1522" i="2"/>
  <c r="K1521" i="2"/>
  <c r="J1521" i="2"/>
  <c r="I1521" i="2"/>
  <c r="H1521" i="2"/>
  <c r="G1521" i="2"/>
  <c r="F1521" i="2"/>
  <c r="K1520" i="2"/>
  <c r="J1520" i="2"/>
  <c r="I1520" i="2"/>
  <c r="H1520" i="2"/>
  <c r="G1520" i="2"/>
  <c r="F1520" i="2"/>
  <c r="K1519" i="2"/>
  <c r="J1519" i="2"/>
  <c r="I1519" i="2"/>
  <c r="H1519" i="2"/>
  <c r="G1519" i="2"/>
  <c r="F1519" i="2"/>
  <c r="K1518" i="2"/>
  <c r="J1518" i="2"/>
  <c r="I1518" i="2"/>
  <c r="H1518" i="2"/>
  <c r="G1518" i="2"/>
  <c r="F1518" i="2"/>
  <c r="K1517" i="2"/>
  <c r="J1517" i="2"/>
  <c r="I1517" i="2"/>
  <c r="H1517" i="2"/>
  <c r="G1517" i="2"/>
  <c r="F1517" i="2"/>
  <c r="K1516" i="2"/>
  <c r="J1516" i="2"/>
  <c r="I1516" i="2"/>
  <c r="H1516" i="2"/>
  <c r="G1516" i="2"/>
  <c r="F1516" i="2"/>
  <c r="K1515" i="2"/>
  <c r="J1515" i="2"/>
  <c r="I1515" i="2"/>
  <c r="H1515" i="2"/>
  <c r="G1515" i="2"/>
  <c r="F1515" i="2"/>
  <c r="K1514" i="2"/>
  <c r="J1514" i="2"/>
  <c r="I1514" i="2"/>
  <c r="H1514" i="2"/>
  <c r="G1514" i="2"/>
  <c r="F1514" i="2"/>
  <c r="K1513" i="2"/>
  <c r="J1513" i="2"/>
  <c r="I1513" i="2"/>
  <c r="H1513" i="2"/>
  <c r="G1513" i="2"/>
  <c r="F1513" i="2"/>
  <c r="K1512" i="2"/>
  <c r="J1512" i="2"/>
  <c r="I1512" i="2"/>
  <c r="H1512" i="2"/>
  <c r="G1512" i="2"/>
  <c r="F1512" i="2"/>
  <c r="K1511" i="2"/>
  <c r="J1511" i="2"/>
  <c r="I1511" i="2"/>
  <c r="H1511" i="2"/>
  <c r="G1511" i="2"/>
  <c r="F1511" i="2"/>
  <c r="K1510" i="2"/>
  <c r="J1510" i="2"/>
  <c r="I1510" i="2"/>
  <c r="H1510" i="2"/>
  <c r="G1510" i="2"/>
  <c r="F1510" i="2"/>
  <c r="K1509" i="2"/>
  <c r="J1509" i="2"/>
  <c r="I1509" i="2"/>
  <c r="H1509" i="2"/>
  <c r="G1509" i="2"/>
  <c r="F1509" i="2"/>
  <c r="K1508" i="2"/>
  <c r="J1508" i="2"/>
  <c r="I1508" i="2"/>
  <c r="H1508" i="2"/>
  <c r="G1508" i="2"/>
  <c r="F1508" i="2"/>
  <c r="K1507" i="2"/>
  <c r="J1507" i="2"/>
  <c r="I1507" i="2"/>
  <c r="H1507" i="2"/>
  <c r="G1507" i="2"/>
  <c r="F1507" i="2"/>
  <c r="K1506" i="2"/>
  <c r="J1506" i="2"/>
  <c r="I1506" i="2"/>
  <c r="H1506" i="2"/>
  <c r="G1506" i="2"/>
  <c r="F1506" i="2"/>
  <c r="K1505" i="2"/>
  <c r="J1505" i="2"/>
  <c r="I1505" i="2"/>
  <c r="H1505" i="2"/>
  <c r="G1505" i="2"/>
  <c r="F1505" i="2"/>
  <c r="K1504" i="2"/>
  <c r="J1504" i="2"/>
  <c r="I1504" i="2"/>
  <c r="H1504" i="2"/>
  <c r="G1504" i="2"/>
  <c r="F1504" i="2"/>
  <c r="K1503" i="2"/>
  <c r="J1503" i="2"/>
  <c r="I1503" i="2"/>
  <c r="H1503" i="2"/>
  <c r="G1503" i="2"/>
  <c r="F1503" i="2"/>
  <c r="K1502" i="2"/>
  <c r="J1502" i="2"/>
  <c r="I1502" i="2"/>
  <c r="H1502" i="2"/>
  <c r="G1502" i="2"/>
  <c r="F1502" i="2"/>
  <c r="K1501" i="2"/>
  <c r="J1501" i="2"/>
  <c r="I1501" i="2"/>
  <c r="H1501" i="2"/>
  <c r="G1501" i="2"/>
  <c r="F1501" i="2"/>
  <c r="K1500" i="2"/>
  <c r="J1500" i="2"/>
  <c r="I1500" i="2"/>
  <c r="H1500" i="2"/>
  <c r="G1500" i="2"/>
  <c r="F1500" i="2"/>
  <c r="K1499" i="2"/>
  <c r="J1499" i="2"/>
  <c r="I1499" i="2"/>
  <c r="H1499" i="2"/>
  <c r="G1499" i="2"/>
  <c r="F1499" i="2"/>
  <c r="K1498" i="2"/>
  <c r="J1498" i="2"/>
  <c r="I1498" i="2"/>
  <c r="H1498" i="2"/>
  <c r="G1498" i="2"/>
  <c r="F1498" i="2"/>
  <c r="K1497" i="2"/>
  <c r="J1497" i="2"/>
  <c r="I1497" i="2"/>
  <c r="H1497" i="2"/>
  <c r="G1497" i="2"/>
  <c r="F1497" i="2"/>
  <c r="K1496" i="2"/>
  <c r="J1496" i="2"/>
  <c r="I1496" i="2"/>
  <c r="H1496" i="2"/>
  <c r="G1496" i="2"/>
  <c r="F1496" i="2"/>
  <c r="K1495" i="2"/>
  <c r="J1495" i="2"/>
  <c r="I1495" i="2"/>
  <c r="H1495" i="2"/>
  <c r="G1495" i="2"/>
  <c r="F1495" i="2"/>
  <c r="K1494" i="2"/>
  <c r="J1494" i="2"/>
  <c r="I1494" i="2"/>
  <c r="H1494" i="2"/>
  <c r="G1494" i="2"/>
  <c r="F1494" i="2"/>
  <c r="K1493" i="2"/>
  <c r="J1493" i="2"/>
  <c r="I1493" i="2"/>
  <c r="H1493" i="2"/>
  <c r="G1493" i="2"/>
  <c r="F1493" i="2"/>
  <c r="K1492" i="2"/>
  <c r="J1492" i="2"/>
  <c r="I1492" i="2"/>
  <c r="H1492" i="2"/>
  <c r="G1492" i="2"/>
  <c r="F1492" i="2"/>
  <c r="K1491" i="2"/>
  <c r="J1491" i="2"/>
  <c r="I1491" i="2"/>
  <c r="H1491" i="2"/>
  <c r="G1491" i="2"/>
  <c r="F1491" i="2"/>
  <c r="K1490" i="2"/>
  <c r="J1490" i="2"/>
  <c r="I1490" i="2"/>
  <c r="H1490" i="2"/>
  <c r="G1490" i="2"/>
  <c r="F1490" i="2"/>
  <c r="K1489" i="2"/>
  <c r="J1489" i="2"/>
  <c r="I1489" i="2"/>
  <c r="H1489" i="2"/>
  <c r="G1489" i="2"/>
  <c r="F1489" i="2"/>
  <c r="K1488" i="2"/>
  <c r="J1488" i="2"/>
  <c r="I1488" i="2"/>
  <c r="H1488" i="2"/>
  <c r="G1488" i="2"/>
  <c r="F1488" i="2"/>
  <c r="K1487" i="2"/>
  <c r="J1487" i="2"/>
  <c r="I1487" i="2"/>
  <c r="H1487" i="2"/>
  <c r="G1487" i="2"/>
  <c r="F1487" i="2"/>
  <c r="K1486" i="2"/>
  <c r="J1486" i="2"/>
  <c r="I1486" i="2"/>
  <c r="H1486" i="2"/>
  <c r="G1486" i="2"/>
  <c r="F1486" i="2"/>
  <c r="K1485" i="2"/>
  <c r="J1485" i="2"/>
  <c r="I1485" i="2"/>
  <c r="H1485" i="2"/>
  <c r="G1485" i="2"/>
  <c r="F1485" i="2"/>
  <c r="K1484" i="2"/>
  <c r="J1484" i="2"/>
  <c r="I1484" i="2"/>
  <c r="H1484" i="2"/>
  <c r="G1484" i="2"/>
  <c r="F1484" i="2"/>
  <c r="K1483" i="2"/>
  <c r="J1483" i="2"/>
  <c r="I1483" i="2"/>
  <c r="H1483" i="2"/>
  <c r="G1483" i="2"/>
  <c r="F1483" i="2"/>
  <c r="K1482" i="2"/>
  <c r="J1482" i="2"/>
  <c r="I1482" i="2"/>
  <c r="H1482" i="2"/>
  <c r="G1482" i="2"/>
  <c r="F1482" i="2"/>
  <c r="K1481" i="2"/>
  <c r="J1481" i="2"/>
  <c r="I1481" i="2"/>
  <c r="H1481" i="2"/>
  <c r="G1481" i="2"/>
  <c r="F1481" i="2"/>
  <c r="K1480" i="2"/>
  <c r="J1480" i="2"/>
  <c r="I1480" i="2"/>
  <c r="H1480" i="2"/>
  <c r="G1480" i="2"/>
  <c r="F1480" i="2"/>
  <c r="K1479" i="2"/>
  <c r="J1479" i="2"/>
  <c r="I1479" i="2"/>
  <c r="H1479" i="2"/>
  <c r="G1479" i="2"/>
  <c r="F1479" i="2"/>
  <c r="K1478" i="2"/>
  <c r="J1478" i="2"/>
  <c r="I1478" i="2"/>
  <c r="H1478" i="2"/>
  <c r="G1478" i="2"/>
  <c r="F1478" i="2"/>
  <c r="K1477" i="2"/>
  <c r="J1477" i="2"/>
  <c r="I1477" i="2"/>
  <c r="H1477" i="2"/>
  <c r="G1477" i="2"/>
  <c r="F1477" i="2"/>
  <c r="K1476" i="2"/>
  <c r="J1476" i="2"/>
  <c r="I1476" i="2"/>
  <c r="H1476" i="2"/>
  <c r="G1476" i="2"/>
  <c r="F1476" i="2"/>
  <c r="K1475" i="2"/>
  <c r="J1475" i="2"/>
  <c r="I1475" i="2"/>
  <c r="H1475" i="2"/>
  <c r="G1475" i="2"/>
  <c r="F1475" i="2"/>
  <c r="K1474" i="2"/>
  <c r="J1474" i="2"/>
  <c r="I1474" i="2"/>
  <c r="H1474" i="2"/>
  <c r="G1474" i="2"/>
  <c r="F1474" i="2"/>
  <c r="K1473" i="2"/>
  <c r="J1473" i="2"/>
  <c r="I1473" i="2"/>
  <c r="H1473" i="2"/>
  <c r="G1473" i="2"/>
  <c r="F1473" i="2"/>
  <c r="K1472" i="2"/>
  <c r="J1472" i="2"/>
  <c r="I1472" i="2"/>
  <c r="H1472" i="2"/>
  <c r="G1472" i="2"/>
  <c r="F1472" i="2"/>
  <c r="K1471" i="2"/>
  <c r="J1471" i="2"/>
  <c r="I1471" i="2"/>
  <c r="H1471" i="2"/>
  <c r="G1471" i="2"/>
  <c r="F1471" i="2"/>
  <c r="K1470" i="2"/>
  <c r="J1470" i="2"/>
  <c r="I1470" i="2"/>
  <c r="H1470" i="2"/>
  <c r="G1470" i="2"/>
  <c r="F1470" i="2"/>
  <c r="K1469" i="2"/>
  <c r="J1469" i="2"/>
  <c r="I1469" i="2"/>
  <c r="H1469" i="2"/>
  <c r="G1469" i="2"/>
  <c r="F1469" i="2"/>
  <c r="K1468" i="2"/>
  <c r="J1468" i="2"/>
  <c r="I1468" i="2"/>
  <c r="H1468" i="2"/>
  <c r="G1468" i="2"/>
  <c r="F1468" i="2"/>
  <c r="K1467" i="2"/>
  <c r="J1467" i="2"/>
  <c r="I1467" i="2"/>
  <c r="H1467" i="2"/>
  <c r="G1467" i="2"/>
  <c r="F1467" i="2"/>
  <c r="K1466" i="2"/>
  <c r="J1466" i="2"/>
  <c r="I1466" i="2"/>
  <c r="H1466" i="2"/>
  <c r="G1466" i="2"/>
  <c r="F1466" i="2"/>
  <c r="K1465" i="2"/>
  <c r="J1465" i="2"/>
  <c r="I1465" i="2"/>
  <c r="H1465" i="2"/>
  <c r="G1465" i="2"/>
  <c r="F1465" i="2"/>
  <c r="K1464" i="2"/>
  <c r="J1464" i="2"/>
  <c r="I1464" i="2"/>
  <c r="H1464" i="2"/>
  <c r="G1464" i="2"/>
  <c r="F1464" i="2"/>
  <c r="K1463" i="2"/>
  <c r="J1463" i="2"/>
  <c r="I1463" i="2"/>
  <c r="H1463" i="2"/>
  <c r="G1463" i="2"/>
  <c r="F1463" i="2"/>
  <c r="K1462" i="2"/>
  <c r="J1462" i="2"/>
  <c r="I1462" i="2"/>
  <c r="H1462" i="2"/>
  <c r="G1462" i="2"/>
  <c r="F1462" i="2"/>
  <c r="K1461" i="2"/>
  <c r="J1461" i="2"/>
  <c r="I1461" i="2"/>
  <c r="H1461" i="2"/>
  <c r="G1461" i="2"/>
  <c r="F1461" i="2"/>
  <c r="K1460" i="2"/>
  <c r="J1460" i="2"/>
  <c r="I1460" i="2"/>
  <c r="H1460" i="2"/>
  <c r="G1460" i="2"/>
  <c r="F1460" i="2"/>
  <c r="K1459" i="2"/>
  <c r="J1459" i="2"/>
  <c r="I1459" i="2"/>
  <c r="H1459" i="2"/>
  <c r="G1459" i="2"/>
  <c r="F1459" i="2"/>
  <c r="K1458" i="2"/>
  <c r="J1458" i="2"/>
  <c r="I1458" i="2"/>
  <c r="H1458" i="2"/>
  <c r="G1458" i="2"/>
  <c r="F1458" i="2"/>
  <c r="K1457" i="2"/>
  <c r="J1457" i="2"/>
  <c r="I1457" i="2"/>
  <c r="H1457" i="2"/>
  <c r="G1457" i="2"/>
  <c r="F1457" i="2"/>
  <c r="K1456" i="2"/>
  <c r="J1456" i="2"/>
  <c r="I1456" i="2"/>
  <c r="H1456" i="2"/>
  <c r="G1456" i="2"/>
  <c r="F1456" i="2"/>
  <c r="K1455" i="2"/>
  <c r="J1455" i="2"/>
  <c r="I1455" i="2"/>
  <c r="H1455" i="2"/>
  <c r="G1455" i="2"/>
  <c r="F1455" i="2"/>
  <c r="K1454" i="2"/>
  <c r="J1454" i="2"/>
  <c r="I1454" i="2"/>
  <c r="H1454" i="2"/>
  <c r="G1454" i="2"/>
  <c r="F1454" i="2"/>
  <c r="K1453" i="2"/>
  <c r="J1453" i="2"/>
  <c r="I1453" i="2"/>
  <c r="H1453" i="2"/>
  <c r="G1453" i="2"/>
  <c r="F1453" i="2"/>
  <c r="K1452" i="2"/>
  <c r="J1452" i="2"/>
  <c r="I1452" i="2"/>
  <c r="H1452" i="2"/>
  <c r="G1452" i="2"/>
  <c r="F1452" i="2"/>
  <c r="K1451" i="2"/>
  <c r="J1451" i="2"/>
  <c r="I1451" i="2"/>
  <c r="H1451" i="2"/>
  <c r="G1451" i="2"/>
  <c r="F1451" i="2"/>
  <c r="K1450" i="2"/>
  <c r="J1450" i="2"/>
  <c r="I1450" i="2"/>
  <c r="H1450" i="2"/>
  <c r="G1450" i="2"/>
  <c r="F1450" i="2"/>
  <c r="K1449" i="2"/>
  <c r="J1449" i="2"/>
  <c r="I1449" i="2"/>
  <c r="H1449" i="2"/>
  <c r="G1449" i="2"/>
  <c r="F1449" i="2"/>
  <c r="K1448" i="2"/>
  <c r="J1448" i="2"/>
  <c r="I1448" i="2"/>
  <c r="H1448" i="2"/>
  <c r="G1448" i="2"/>
  <c r="F1448" i="2"/>
  <c r="K1447" i="2"/>
  <c r="J1447" i="2"/>
  <c r="I1447" i="2"/>
  <c r="H1447" i="2"/>
  <c r="G1447" i="2"/>
  <c r="F1447" i="2"/>
  <c r="K1446" i="2"/>
  <c r="J1446" i="2"/>
  <c r="I1446" i="2"/>
  <c r="H1446" i="2"/>
  <c r="G1446" i="2"/>
  <c r="F1446" i="2"/>
  <c r="K1445" i="2"/>
  <c r="J1445" i="2"/>
  <c r="I1445" i="2"/>
  <c r="H1445" i="2"/>
  <c r="G1445" i="2"/>
  <c r="F1445" i="2"/>
  <c r="K1444" i="2"/>
  <c r="J1444" i="2"/>
  <c r="I1444" i="2"/>
  <c r="H1444" i="2"/>
  <c r="G1444" i="2"/>
  <c r="F1444" i="2"/>
  <c r="K1443" i="2"/>
  <c r="J1443" i="2"/>
  <c r="I1443" i="2"/>
  <c r="H1443" i="2"/>
  <c r="G1443" i="2"/>
  <c r="F1443" i="2"/>
  <c r="K1442" i="2"/>
  <c r="J1442" i="2"/>
  <c r="I1442" i="2"/>
  <c r="H1442" i="2"/>
  <c r="G1442" i="2"/>
  <c r="F1442" i="2"/>
  <c r="K1441" i="2"/>
  <c r="J1441" i="2"/>
  <c r="I1441" i="2"/>
  <c r="H1441" i="2"/>
  <c r="G1441" i="2"/>
  <c r="F1441" i="2"/>
  <c r="K1440" i="2"/>
  <c r="J1440" i="2"/>
  <c r="I1440" i="2"/>
  <c r="H1440" i="2"/>
  <c r="G1440" i="2"/>
  <c r="F1440" i="2"/>
  <c r="K1439" i="2"/>
  <c r="J1439" i="2"/>
  <c r="I1439" i="2"/>
  <c r="H1439" i="2"/>
  <c r="G1439" i="2"/>
  <c r="F1439" i="2"/>
  <c r="K1438" i="2"/>
  <c r="J1438" i="2"/>
  <c r="I1438" i="2"/>
  <c r="H1438" i="2"/>
  <c r="G1438" i="2"/>
  <c r="F1438" i="2"/>
  <c r="K1437" i="2"/>
  <c r="J1437" i="2"/>
  <c r="I1437" i="2"/>
  <c r="H1437" i="2"/>
  <c r="G1437" i="2"/>
  <c r="F1437" i="2"/>
  <c r="K1436" i="2"/>
  <c r="J1436" i="2"/>
  <c r="I1436" i="2"/>
  <c r="H1436" i="2"/>
  <c r="G1436" i="2"/>
  <c r="F1436" i="2"/>
  <c r="K1435" i="2"/>
  <c r="J1435" i="2"/>
  <c r="I1435" i="2"/>
  <c r="H1435" i="2"/>
  <c r="G1435" i="2"/>
  <c r="F1435" i="2"/>
  <c r="K1434" i="2"/>
  <c r="J1434" i="2"/>
  <c r="I1434" i="2"/>
  <c r="H1434" i="2"/>
  <c r="G1434" i="2"/>
  <c r="F1434" i="2"/>
  <c r="K1433" i="2"/>
  <c r="J1433" i="2"/>
  <c r="I1433" i="2"/>
  <c r="H1433" i="2"/>
  <c r="G1433" i="2"/>
  <c r="F1433" i="2"/>
  <c r="K1432" i="2"/>
  <c r="J1432" i="2"/>
  <c r="I1432" i="2"/>
  <c r="H1432" i="2"/>
  <c r="G1432" i="2"/>
  <c r="F1432" i="2"/>
  <c r="K1431" i="2"/>
  <c r="J1431" i="2"/>
  <c r="I1431" i="2"/>
  <c r="H1431" i="2"/>
  <c r="G1431" i="2"/>
  <c r="F1431" i="2"/>
  <c r="K1430" i="2"/>
  <c r="J1430" i="2"/>
  <c r="I1430" i="2"/>
  <c r="H1430" i="2"/>
  <c r="G1430" i="2"/>
  <c r="F1430" i="2"/>
  <c r="K1429" i="2"/>
  <c r="J1429" i="2"/>
  <c r="I1429" i="2"/>
  <c r="H1429" i="2"/>
  <c r="G1429" i="2"/>
  <c r="F1429" i="2"/>
  <c r="K1428" i="2"/>
  <c r="J1428" i="2"/>
  <c r="I1428" i="2"/>
  <c r="H1428" i="2"/>
  <c r="G1428" i="2"/>
  <c r="F1428" i="2"/>
  <c r="K1427" i="2"/>
  <c r="J1427" i="2"/>
  <c r="I1427" i="2"/>
  <c r="H1427" i="2"/>
  <c r="G1427" i="2"/>
  <c r="F1427" i="2"/>
  <c r="K1426" i="2"/>
  <c r="J1426" i="2"/>
  <c r="I1426" i="2"/>
  <c r="H1426" i="2"/>
  <c r="G1426" i="2"/>
  <c r="F1426" i="2"/>
  <c r="K1425" i="2"/>
  <c r="J1425" i="2"/>
  <c r="I1425" i="2"/>
  <c r="H1425" i="2"/>
  <c r="G1425" i="2"/>
  <c r="F1425" i="2"/>
  <c r="K1424" i="2"/>
  <c r="J1424" i="2"/>
  <c r="I1424" i="2"/>
  <c r="H1424" i="2"/>
  <c r="G1424" i="2"/>
  <c r="F1424" i="2"/>
  <c r="K1423" i="2"/>
  <c r="J1423" i="2"/>
  <c r="I1423" i="2"/>
  <c r="H1423" i="2"/>
  <c r="G1423" i="2"/>
  <c r="F1423" i="2"/>
  <c r="K1422" i="2"/>
  <c r="J1422" i="2"/>
  <c r="I1422" i="2"/>
  <c r="H1422" i="2"/>
  <c r="G1422" i="2"/>
  <c r="F1422" i="2"/>
  <c r="K1421" i="2"/>
  <c r="J1421" i="2"/>
  <c r="I1421" i="2"/>
  <c r="H1421" i="2"/>
  <c r="G1421" i="2"/>
  <c r="F1421" i="2"/>
  <c r="K1420" i="2"/>
  <c r="J1420" i="2"/>
  <c r="I1420" i="2"/>
  <c r="H1420" i="2"/>
  <c r="G1420" i="2"/>
  <c r="F1420" i="2"/>
  <c r="K1419" i="2"/>
  <c r="J1419" i="2"/>
  <c r="I1419" i="2"/>
  <c r="H1419" i="2"/>
  <c r="G1419" i="2"/>
  <c r="F1419" i="2"/>
  <c r="K1418" i="2"/>
  <c r="J1418" i="2"/>
  <c r="I1418" i="2"/>
  <c r="H1418" i="2"/>
  <c r="G1418" i="2"/>
  <c r="F1418" i="2"/>
  <c r="K1417" i="2"/>
  <c r="J1417" i="2"/>
  <c r="I1417" i="2"/>
  <c r="H1417" i="2"/>
  <c r="G1417" i="2"/>
  <c r="F1417" i="2"/>
  <c r="K1416" i="2"/>
  <c r="J1416" i="2"/>
  <c r="I1416" i="2"/>
  <c r="H1416" i="2"/>
  <c r="G1416" i="2"/>
  <c r="F1416" i="2"/>
  <c r="K1415" i="2"/>
  <c r="J1415" i="2"/>
  <c r="I1415" i="2"/>
  <c r="H1415" i="2"/>
  <c r="G1415" i="2"/>
  <c r="F1415" i="2"/>
  <c r="K1414" i="2"/>
  <c r="J1414" i="2"/>
  <c r="I1414" i="2"/>
  <c r="H1414" i="2"/>
  <c r="G1414" i="2"/>
  <c r="F1414" i="2"/>
  <c r="K1413" i="2"/>
  <c r="J1413" i="2"/>
  <c r="I1413" i="2"/>
  <c r="H1413" i="2"/>
  <c r="G1413" i="2"/>
  <c r="F1413" i="2"/>
  <c r="K1412" i="2"/>
  <c r="J1412" i="2"/>
  <c r="I1412" i="2"/>
  <c r="H1412" i="2"/>
  <c r="G1412" i="2"/>
  <c r="F1412" i="2"/>
  <c r="K1411" i="2"/>
  <c r="J1411" i="2"/>
  <c r="I1411" i="2"/>
  <c r="H1411" i="2"/>
  <c r="G1411" i="2"/>
  <c r="F1411" i="2"/>
  <c r="K1410" i="2"/>
  <c r="J1410" i="2"/>
  <c r="I1410" i="2"/>
  <c r="H1410" i="2"/>
  <c r="G1410" i="2"/>
  <c r="F1410" i="2"/>
  <c r="K1409" i="2"/>
  <c r="J1409" i="2"/>
  <c r="I1409" i="2"/>
  <c r="H1409" i="2"/>
  <c r="G1409" i="2"/>
  <c r="F1409" i="2"/>
  <c r="K1408" i="2"/>
  <c r="J1408" i="2"/>
  <c r="I1408" i="2"/>
  <c r="H1408" i="2"/>
  <c r="G1408" i="2"/>
  <c r="F1408" i="2"/>
  <c r="K1407" i="2"/>
  <c r="J1407" i="2"/>
  <c r="I1407" i="2"/>
  <c r="H1407" i="2"/>
  <c r="G1407" i="2"/>
  <c r="F1407" i="2"/>
  <c r="K1406" i="2"/>
  <c r="J1406" i="2"/>
  <c r="I1406" i="2"/>
  <c r="H1406" i="2"/>
  <c r="G1406" i="2"/>
  <c r="F1406" i="2"/>
  <c r="K1405" i="2"/>
  <c r="J1405" i="2"/>
  <c r="I1405" i="2"/>
  <c r="H1405" i="2"/>
  <c r="G1405" i="2"/>
  <c r="F1405" i="2"/>
  <c r="K1404" i="2"/>
  <c r="J1404" i="2"/>
  <c r="I1404" i="2"/>
  <c r="H1404" i="2"/>
  <c r="G1404" i="2"/>
  <c r="F1404" i="2"/>
  <c r="K1403" i="2"/>
  <c r="J1403" i="2"/>
  <c r="I1403" i="2"/>
  <c r="H1403" i="2"/>
  <c r="G1403" i="2"/>
  <c r="F1403" i="2"/>
  <c r="K1402" i="2"/>
  <c r="J1402" i="2"/>
  <c r="I1402" i="2"/>
  <c r="H1402" i="2"/>
  <c r="G1402" i="2"/>
  <c r="F1402" i="2"/>
  <c r="K1401" i="2"/>
  <c r="J1401" i="2"/>
  <c r="I1401" i="2"/>
  <c r="H1401" i="2"/>
  <c r="G1401" i="2"/>
  <c r="F1401" i="2"/>
  <c r="K1400" i="2"/>
  <c r="J1400" i="2"/>
  <c r="I1400" i="2"/>
  <c r="H1400" i="2"/>
  <c r="G1400" i="2"/>
  <c r="F1400" i="2"/>
  <c r="K1399" i="2"/>
  <c r="J1399" i="2"/>
  <c r="I1399" i="2"/>
  <c r="H1399" i="2"/>
  <c r="G1399" i="2"/>
  <c r="F1399" i="2"/>
  <c r="K1398" i="2"/>
  <c r="J1398" i="2"/>
  <c r="I1398" i="2"/>
  <c r="H1398" i="2"/>
  <c r="G1398" i="2"/>
  <c r="F1398" i="2"/>
  <c r="K1397" i="2"/>
  <c r="J1397" i="2"/>
  <c r="I1397" i="2"/>
  <c r="H1397" i="2"/>
  <c r="G1397" i="2"/>
  <c r="F1397" i="2"/>
  <c r="K1396" i="2"/>
  <c r="J1396" i="2"/>
  <c r="I1396" i="2"/>
  <c r="H1396" i="2"/>
  <c r="G1396" i="2"/>
  <c r="F1396" i="2"/>
  <c r="K1395" i="2"/>
  <c r="J1395" i="2"/>
  <c r="I1395" i="2"/>
  <c r="H1395" i="2"/>
  <c r="G1395" i="2"/>
  <c r="F1395" i="2"/>
  <c r="K1394" i="2"/>
  <c r="J1394" i="2"/>
  <c r="I1394" i="2"/>
  <c r="H1394" i="2"/>
  <c r="G1394" i="2"/>
  <c r="F1394" i="2"/>
  <c r="K1393" i="2"/>
  <c r="J1393" i="2"/>
  <c r="I1393" i="2"/>
  <c r="H1393" i="2"/>
  <c r="G1393" i="2"/>
  <c r="F1393" i="2"/>
  <c r="K1392" i="2"/>
  <c r="J1392" i="2"/>
  <c r="I1392" i="2"/>
  <c r="H1392" i="2"/>
  <c r="G1392" i="2"/>
  <c r="F1392" i="2"/>
  <c r="K1391" i="2"/>
  <c r="J1391" i="2"/>
  <c r="I1391" i="2"/>
  <c r="H1391" i="2"/>
  <c r="G1391" i="2"/>
  <c r="F1391" i="2"/>
  <c r="K1390" i="2"/>
  <c r="J1390" i="2"/>
  <c r="I1390" i="2"/>
  <c r="H1390" i="2"/>
  <c r="G1390" i="2"/>
  <c r="F1390" i="2"/>
  <c r="K1389" i="2"/>
  <c r="J1389" i="2"/>
  <c r="I1389" i="2"/>
  <c r="H1389" i="2"/>
  <c r="G1389" i="2"/>
  <c r="F1389" i="2"/>
  <c r="K1388" i="2"/>
  <c r="J1388" i="2"/>
  <c r="I1388" i="2"/>
  <c r="H1388" i="2"/>
  <c r="G1388" i="2"/>
  <c r="F1388" i="2"/>
  <c r="K1387" i="2"/>
  <c r="J1387" i="2"/>
  <c r="I1387" i="2"/>
  <c r="H1387" i="2"/>
  <c r="G1387" i="2"/>
  <c r="F1387" i="2"/>
  <c r="K1386" i="2"/>
  <c r="J1386" i="2"/>
  <c r="I1386" i="2"/>
  <c r="H1386" i="2"/>
  <c r="G1386" i="2"/>
  <c r="F1386" i="2"/>
  <c r="K1385" i="2"/>
  <c r="J1385" i="2"/>
  <c r="I1385" i="2"/>
  <c r="H1385" i="2"/>
  <c r="G1385" i="2"/>
  <c r="F1385" i="2"/>
  <c r="K1384" i="2"/>
  <c r="J1384" i="2"/>
  <c r="I1384" i="2"/>
  <c r="H1384" i="2"/>
  <c r="G1384" i="2"/>
  <c r="F1384" i="2"/>
  <c r="K1383" i="2"/>
  <c r="J1383" i="2"/>
  <c r="I1383" i="2"/>
  <c r="H1383" i="2"/>
  <c r="G1383" i="2"/>
  <c r="F1383" i="2"/>
  <c r="K1382" i="2"/>
  <c r="J1382" i="2"/>
  <c r="I1382" i="2"/>
  <c r="H1382" i="2"/>
  <c r="G1382" i="2"/>
  <c r="F1382" i="2"/>
  <c r="K1381" i="2"/>
  <c r="J1381" i="2"/>
  <c r="I1381" i="2"/>
  <c r="H1381" i="2"/>
  <c r="G1381" i="2"/>
  <c r="F1381" i="2"/>
  <c r="K1380" i="2"/>
  <c r="J1380" i="2"/>
  <c r="I1380" i="2"/>
  <c r="H1380" i="2"/>
  <c r="G1380" i="2"/>
  <c r="F1380" i="2"/>
  <c r="K1379" i="2"/>
  <c r="J1379" i="2"/>
  <c r="I1379" i="2"/>
  <c r="H1379" i="2"/>
  <c r="G1379" i="2"/>
  <c r="F1379" i="2"/>
  <c r="K1378" i="2"/>
  <c r="J1378" i="2"/>
  <c r="I1378" i="2"/>
  <c r="H1378" i="2"/>
  <c r="G1378" i="2"/>
  <c r="F1378" i="2"/>
  <c r="K1377" i="2"/>
  <c r="J1377" i="2"/>
  <c r="I1377" i="2"/>
  <c r="H1377" i="2"/>
  <c r="G1377" i="2"/>
  <c r="F1377" i="2"/>
  <c r="K1376" i="2"/>
  <c r="J1376" i="2"/>
  <c r="I1376" i="2"/>
  <c r="H1376" i="2"/>
  <c r="G1376" i="2"/>
  <c r="F1376" i="2"/>
  <c r="K1375" i="2"/>
  <c r="J1375" i="2"/>
  <c r="I1375" i="2"/>
  <c r="H1375" i="2"/>
  <c r="G1375" i="2"/>
  <c r="F1375" i="2"/>
  <c r="K1374" i="2"/>
  <c r="J1374" i="2"/>
  <c r="I1374" i="2"/>
  <c r="H1374" i="2"/>
  <c r="G1374" i="2"/>
  <c r="F1374" i="2"/>
  <c r="K1373" i="2"/>
  <c r="J1373" i="2"/>
  <c r="I1373" i="2"/>
  <c r="H1373" i="2"/>
  <c r="G1373" i="2"/>
  <c r="F1373" i="2"/>
  <c r="K1372" i="2"/>
  <c r="J1372" i="2"/>
  <c r="I1372" i="2"/>
  <c r="H1372" i="2"/>
  <c r="G1372" i="2"/>
  <c r="F1372" i="2"/>
  <c r="K1371" i="2"/>
  <c r="J1371" i="2"/>
  <c r="I1371" i="2"/>
  <c r="H1371" i="2"/>
  <c r="G1371" i="2"/>
  <c r="F1371" i="2"/>
  <c r="K1370" i="2"/>
  <c r="J1370" i="2"/>
  <c r="I1370" i="2"/>
  <c r="H1370" i="2"/>
  <c r="G1370" i="2"/>
  <c r="F1370" i="2"/>
  <c r="K1369" i="2"/>
  <c r="J1369" i="2"/>
  <c r="I1369" i="2"/>
  <c r="H1369" i="2"/>
  <c r="G1369" i="2"/>
  <c r="F1369" i="2"/>
  <c r="K1368" i="2"/>
  <c r="J1368" i="2"/>
  <c r="I1368" i="2"/>
  <c r="H1368" i="2"/>
  <c r="G1368" i="2"/>
  <c r="F1368" i="2"/>
  <c r="K1367" i="2"/>
  <c r="J1367" i="2"/>
  <c r="I1367" i="2"/>
  <c r="H1367" i="2"/>
  <c r="G1367" i="2"/>
  <c r="F1367" i="2"/>
  <c r="K1366" i="2"/>
  <c r="J1366" i="2"/>
  <c r="I1366" i="2"/>
  <c r="H1366" i="2"/>
  <c r="G1366" i="2"/>
  <c r="F1366" i="2"/>
  <c r="K1365" i="2"/>
  <c r="J1365" i="2"/>
  <c r="I1365" i="2"/>
  <c r="H1365" i="2"/>
  <c r="G1365" i="2"/>
  <c r="F1365" i="2"/>
  <c r="K1364" i="2"/>
  <c r="J1364" i="2"/>
  <c r="I1364" i="2"/>
  <c r="H1364" i="2"/>
  <c r="G1364" i="2"/>
  <c r="F1364" i="2"/>
  <c r="K1363" i="2"/>
  <c r="J1363" i="2"/>
  <c r="I1363" i="2"/>
  <c r="H1363" i="2"/>
  <c r="G1363" i="2"/>
  <c r="F1363" i="2"/>
  <c r="K1362" i="2"/>
  <c r="J1362" i="2"/>
  <c r="I1362" i="2"/>
  <c r="H1362" i="2"/>
  <c r="G1362" i="2"/>
  <c r="F1362" i="2"/>
  <c r="K1361" i="2"/>
  <c r="J1361" i="2"/>
  <c r="I1361" i="2"/>
  <c r="H1361" i="2"/>
  <c r="G1361" i="2"/>
  <c r="F1361" i="2"/>
  <c r="K1360" i="2"/>
  <c r="J1360" i="2"/>
  <c r="I1360" i="2"/>
  <c r="H1360" i="2"/>
  <c r="G1360" i="2"/>
  <c r="F1360" i="2"/>
  <c r="K1359" i="2"/>
  <c r="J1359" i="2"/>
  <c r="I1359" i="2"/>
  <c r="H1359" i="2"/>
  <c r="G1359" i="2"/>
  <c r="F1359" i="2"/>
  <c r="K1358" i="2"/>
  <c r="J1358" i="2"/>
  <c r="I1358" i="2"/>
  <c r="H1358" i="2"/>
  <c r="G1358" i="2"/>
  <c r="F1358" i="2"/>
  <c r="K1357" i="2"/>
  <c r="J1357" i="2"/>
  <c r="I1357" i="2"/>
  <c r="H1357" i="2"/>
  <c r="G1357" i="2"/>
  <c r="F1357" i="2"/>
  <c r="K1356" i="2"/>
  <c r="J1356" i="2"/>
  <c r="I1356" i="2"/>
  <c r="H1356" i="2"/>
  <c r="G1356" i="2"/>
  <c r="F1356" i="2"/>
  <c r="K1355" i="2"/>
  <c r="J1355" i="2"/>
  <c r="I1355" i="2"/>
  <c r="H1355" i="2"/>
  <c r="G1355" i="2"/>
  <c r="F1355" i="2"/>
  <c r="K1354" i="2"/>
  <c r="J1354" i="2"/>
  <c r="I1354" i="2"/>
  <c r="H1354" i="2"/>
  <c r="G1354" i="2"/>
  <c r="F1354" i="2"/>
  <c r="K1353" i="2"/>
  <c r="J1353" i="2"/>
  <c r="I1353" i="2"/>
  <c r="H1353" i="2"/>
  <c r="G1353" i="2"/>
  <c r="F1353" i="2"/>
  <c r="K1352" i="2"/>
  <c r="J1352" i="2"/>
  <c r="I1352" i="2"/>
  <c r="H1352" i="2"/>
  <c r="G1352" i="2"/>
  <c r="F1352" i="2"/>
  <c r="K1351" i="2"/>
  <c r="J1351" i="2"/>
  <c r="I1351" i="2"/>
  <c r="H1351" i="2"/>
  <c r="G1351" i="2"/>
  <c r="F1351" i="2"/>
  <c r="K1350" i="2"/>
  <c r="J1350" i="2"/>
  <c r="I1350" i="2"/>
  <c r="H1350" i="2"/>
  <c r="G1350" i="2"/>
  <c r="F1350" i="2"/>
  <c r="K1349" i="2"/>
  <c r="J1349" i="2"/>
  <c r="I1349" i="2"/>
  <c r="H1349" i="2"/>
  <c r="G1349" i="2"/>
  <c r="F1349" i="2"/>
  <c r="K1348" i="2"/>
  <c r="J1348" i="2"/>
  <c r="I1348" i="2"/>
  <c r="H1348" i="2"/>
  <c r="G1348" i="2"/>
  <c r="F1348" i="2"/>
  <c r="K1347" i="2"/>
  <c r="J1347" i="2"/>
  <c r="I1347" i="2"/>
  <c r="H1347" i="2"/>
  <c r="G1347" i="2"/>
  <c r="F1347" i="2"/>
  <c r="K1346" i="2"/>
  <c r="J1346" i="2"/>
  <c r="I1346" i="2"/>
  <c r="H1346" i="2"/>
  <c r="G1346" i="2"/>
  <c r="F1346" i="2"/>
  <c r="K1345" i="2"/>
  <c r="J1345" i="2"/>
  <c r="I1345" i="2"/>
  <c r="H1345" i="2"/>
  <c r="G1345" i="2"/>
  <c r="F1345" i="2"/>
  <c r="K1344" i="2"/>
  <c r="J1344" i="2"/>
  <c r="I1344" i="2"/>
  <c r="H1344" i="2"/>
  <c r="G1344" i="2"/>
  <c r="F1344" i="2"/>
  <c r="K1343" i="2"/>
  <c r="J1343" i="2"/>
  <c r="I1343" i="2"/>
  <c r="H1343" i="2"/>
  <c r="G1343" i="2"/>
  <c r="F1343" i="2"/>
  <c r="K1342" i="2"/>
  <c r="J1342" i="2"/>
  <c r="I1342" i="2"/>
  <c r="H1342" i="2"/>
  <c r="G1342" i="2"/>
  <c r="F1342" i="2"/>
  <c r="K1341" i="2"/>
  <c r="J1341" i="2"/>
  <c r="I1341" i="2"/>
  <c r="H1341" i="2"/>
  <c r="G1341" i="2"/>
  <c r="F1341" i="2"/>
  <c r="K1340" i="2"/>
  <c r="J1340" i="2"/>
  <c r="I1340" i="2"/>
  <c r="H1340" i="2"/>
  <c r="G1340" i="2"/>
  <c r="F1340" i="2"/>
  <c r="K1339" i="2"/>
  <c r="J1339" i="2"/>
  <c r="I1339" i="2"/>
  <c r="H1339" i="2"/>
  <c r="G1339" i="2"/>
  <c r="F1339" i="2"/>
  <c r="K1338" i="2"/>
  <c r="J1338" i="2"/>
  <c r="I1338" i="2"/>
  <c r="H1338" i="2"/>
  <c r="G1338" i="2"/>
  <c r="F1338" i="2"/>
  <c r="K1337" i="2"/>
  <c r="J1337" i="2"/>
  <c r="I1337" i="2"/>
  <c r="H1337" i="2"/>
  <c r="G1337" i="2"/>
  <c r="F1337" i="2"/>
  <c r="K1336" i="2"/>
  <c r="J1336" i="2"/>
  <c r="I1336" i="2"/>
  <c r="H1336" i="2"/>
  <c r="G1336" i="2"/>
  <c r="F1336" i="2"/>
  <c r="K1335" i="2"/>
  <c r="J1335" i="2"/>
  <c r="I1335" i="2"/>
  <c r="H1335" i="2"/>
  <c r="G1335" i="2"/>
  <c r="F1335" i="2"/>
  <c r="K1334" i="2"/>
  <c r="J1334" i="2"/>
  <c r="I1334" i="2"/>
  <c r="H1334" i="2"/>
  <c r="G1334" i="2"/>
  <c r="F1334" i="2"/>
  <c r="K1333" i="2"/>
  <c r="J1333" i="2"/>
  <c r="I1333" i="2"/>
  <c r="H1333" i="2"/>
  <c r="G1333" i="2"/>
  <c r="F1333" i="2"/>
  <c r="K1332" i="2"/>
  <c r="J1332" i="2"/>
  <c r="I1332" i="2"/>
  <c r="H1332" i="2"/>
  <c r="G1332" i="2"/>
  <c r="F1332" i="2"/>
  <c r="K1331" i="2"/>
  <c r="J1331" i="2"/>
  <c r="I1331" i="2"/>
  <c r="H1331" i="2"/>
  <c r="G1331" i="2"/>
  <c r="F1331" i="2"/>
  <c r="K1330" i="2"/>
  <c r="J1330" i="2"/>
  <c r="I1330" i="2"/>
  <c r="H1330" i="2"/>
  <c r="G1330" i="2"/>
  <c r="F1330" i="2"/>
  <c r="K1329" i="2"/>
  <c r="J1329" i="2"/>
  <c r="I1329" i="2"/>
  <c r="H1329" i="2"/>
  <c r="G1329" i="2"/>
  <c r="F1329" i="2"/>
  <c r="K1328" i="2"/>
  <c r="J1328" i="2"/>
  <c r="I1328" i="2"/>
  <c r="H1328" i="2"/>
  <c r="G1328" i="2"/>
  <c r="F1328" i="2"/>
  <c r="K1327" i="2"/>
  <c r="J1327" i="2"/>
  <c r="I1327" i="2"/>
  <c r="H1327" i="2"/>
  <c r="G1327" i="2"/>
  <c r="F1327" i="2"/>
  <c r="K1326" i="2"/>
  <c r="J1326" i="2"/>
  <c r="I1326" i="2"/>
  <c r="H1326" i="2"/>
  <c r="G1326" i="2"/>
  <c r="F1326" i="2"/>
  <c r="K1325" i="2"/>
  <c r="J1325" i="2"/>
  <c r="I1325" i="2"/>
  <c r="H1325" i="2"/>
  <c r="G1325" i="2"/>
  <c r="F1325" i="2"/>
  <c r="K1324" i="2"/>
  <c r="J1324" i="2"/>
  <c r="I1324" i="2"/>
  <c r="H1324" i="2"/>
  <c r="G1324" i="2"/>
  <c r="F1324" i="2"/>
  <c r="K1323" i="2"/>
  <c r="J1323" i="2"/>
  <c r="I1323" i="2"/>
  <c r="H1323" i="2"/>
  <c r="G1323" i="2"/>
  <c r="F1323" i="2"/>
  <c r="K1322" i="2"/>
  <c r="J1322" i="2"/>
  <c r="I1322" i="2"/>
  <c r="H1322" i="2"/>
  <c r="G1322" i="2"/>
  <c r="F1322" i="2"/>
  <c r="K1321" i="2"/>
  <c r="J1321" i="2"/>
  <c r="I1321" i="2"/>
  <c r="H1321" i="2"/>
  <c r="G1321" i="2"/>
  <c r="F1321" i="2"/>
  <c r="K1320" i="2"/>
  <c r="J1320" i="2"/>
  <c r="I1320" i="2"/>
  <c r="H1320" i="2"/>
  <c r="G1320" i="2"/>
  <c r="F1320" i="2"/>
  <c r="K1319" i="2"/>
  <c r="J1319" i="2"/>
  <c r="I1319" i="2"/>
  <c r="H1319" i="2"/>
  <c r="G1319" i="2"/>
  <c r="F1319" i="2"/>
  <c r="K1318" i="2"/>
  <c r="J1318" i="2"/>
  <c r="I1318" i="2"/>
  <c r="H1318" i="2"/>
  <c r="G1318" i="2"/>
  <c r="F1318" i="2"/>
  <c r="K1317" i="2"/>
  <c r="J1317" i="2"/>
  <c r="I1317" i="2"/>
  <c r="H1317" i="2"/>
  <c r="G1317" i="2"/>
  <c r="F1317" i="2"/>
  <c r="K1316" i="2"/>
  <c r="J1316" i="2"/>
  <c r="I1316" i="2"/>
  <c r="H1316" i="2"/>
  <c r="G1316" i="2"/>
  <c r="F1316" i="2"/>
  <c r="K1315" i="2"/>
  <c r="J1315" i="2"/>
  <c r="I1315" i="2"/>
  <c r="H1315" i="2"/>
  <c r="G1315" i="2"/>
  <c r="F1315" i="2"/>
  <c r="K1314" i="2"/>
  <c r="J1314" i="2"/>
  <c r="I1314" i="2"/>
  <c r="H1314" i="2"/>
  <c r="G1314" i="2"/>
  <c r="F1314" i="2"/>
  <c r="K1313" i="2"/>
  <c r="J1313" i="2"/>
  <c r="I1313" i="2"/>
  <c r="H1313" i="2"/>
  <c r="G1313" i="2"/>
  <c r="F1313" i="2"/>
  <c r="K1312" i="2"/>
  <c r="J1312" i="2"/>
  <c r="I1312" i="2"/>
  <c r="H1312" i="2"/>
  <c r="G1312" i="2"/>
  <c r="F1312" i="2"/>
  <c r="K1311" i="2"/>
  <c r="J1311" i="2"/>
  <c r="I1311" i="2"/>
  <c r="H1311" i="2"/>
  <c r="G1311" i="2"/>
  <c r="F1311" i="2"/>
  <c r="K1310" i="2"/>
  <c r="J1310" i="2"/>
  <c r="I1310" i="2"/>
  <c r="H1310" i="2"/>
  <c r="G1310" i="2"/>
  <c r="F1310" i="2"/>
  <c r="K1309" i="2"/>
  <c r="J1309" i="2"/>
  <c r="I1309" i="2"/>
  <c r="H1309" i="2"/>
  <c r="G1309" i="2"/>
  <c r="F1309" i="2"/>
  <c r="K1308" i="2"/>
  <c r="J1308" i="2"/>
  <c r="I1308" i="2"/>
  <c r="H1308" i="2"/>
  <c r="G1308" i="2"/>
  <c r="F1308" i="2"/>
  <c r="K1307" i="2"/>
  <c r="J1307" i="2"/>
  <c r="I1307" i="2"/>
  <c r="H1307" i="2"/>
  <c r="G1307" i="2"/>
  <c r="F1307" i="2"/>
  <c r="K1306" i="2"/>
  <c r="J1306" i="2"/>
  <c r="I1306" i="2"/>
  <c r="H1306" i="2"/>
  <c r="G1306" i="2"/>
  <c r="F1306" i="2"/>
  <c r="K1305" i="2"/>
  <c r="J1305" i="2"/>
  <c r="I1305" i="2"/>
  <c r="H1305" i="2"/>
  <c r="G1305" i="2"/>
  <c r="F1305" i="2"/>
  <c r="K1304" i="2"/>
  <c r="J1304" i="2"/>
  <c r="I1304" i="2"/>
  <c r="H1304" i="2"/>
  <c r="G1304" i="2"/>
  <c r="F1304" i="2"/>
  <c r="K1303" i="2"/>
  <c r="J1303" i="2"/>
  <c r="I1303" i="2"/>
  <c r="H1303" i="2"/>
  <c r="G1303" i="2"/>
  <c r="F1303" i="2"/>
  <c r="K1302" i="2"/>
  <c r="J1302" i="2"/>
  <c r="I1302" i="2"/>
  <c r="H1302" i="2"/>
  <c r="G1302" i="2"/>
  <c r="F1302" i="2"/>
  <c r="K1301" i="2"/>
  <c r="J1301" i="2"/>
  <c r="I1301" i="2"/>
  <c r="H1301" i="2"/>
  <c r="G1301" i="2"/>
  <c r="F1301" i="2"/>
  <c r="K1300" i="2"/>
  <c r="J1300" i="2"/>
  <c r="I1300" i="2"/>
  <c r="H1300" i="2"/>
  <c r="G1300" i="2"/>
  <c r="F1300" i="2"/>
  <c r="K1299" i="2"/>
  <c r="J1299" i="2"/>
  <c r="I1299" i="2"/>
  <c r="H1299" i="2"/>
  <c r="G1299" i="2"/>
  <c r="F1299" i="2"/>
  <c r="K1298" i="2"/>
  <c r="J1298" i="2"/>
  <c r="I1298" i="2"/>
  <c r="H1298" i="2"/>
  <c r="G1298" i="2"/>
  <c r="F1298" i="2"/>
  <c r="K1297" i="2"/>
  <c r="J1297" i="2"/>
  <c r="I1297" i="2"/>
  <c r="H1297" i="2"/>
  <c r="G1297" i="2"/>
  <c r="F1297" i="2"/>
  <c r="K1296" i="2"/>
  <c r="J1296" i="2"/>
  <c r="I1296" i="2"/>
  <c r="H1296" i="2"/>
  <c r="G1296" i="2"/>
  <c r="F1296" i="2"/>
  <c r="K1295" i="2"/>
  <c r="J1295" i="2"/>
  <c r="I1295" i="2"/>
  <c r="H1295" i="2"/>
  <c r="G1295" i="2"/>
  <c r="F1295" i="2"/>
  <c r="K1294" i="2"/>
  <c r="J1294" i="2"/>
  <c r="I1294" i="2"/>
  <c r="H1294" i="2"/>
  <c r="G1294" i="2"/>
  <c r="F1294" i="2"/>
  <c r="K1293" i="2"/>
  <c r="J1293" i="2"/>
  <c r="I1293" i="2"/>
  <c r="H1293" i="2"/>
  <c r="G1293" i="2"/>
  <c r="F1293" i="2"/>
  <c r="K1292" i="2"/>
  <c r="J1292" i="2"/>
  <c r="I1292" i="2"/>
  <c r="H1292" i="2"/>
  <c r="G1292" i="2"/>
  <c r="F1292" i="2"/>
  <c r="K1291" i="2"/>
  <c r="J1291" i="2"/>
  <c r="I1291" i="2"/>
  <c r="H1291" i="2"/>
  <c r="G1291" i="2"/>
  <c r="F1291" i="2"/>
  <c r="K1290" i="2"/>
  <c r="J1290" i="2"/>
  <c r="I1290" i="2"/>
  <c r="H1290" i="2"/>
  <c r="G1290" i="2"/>
  <c r="F1290" i="2"/>
  <c r="K1289" i="2"/>
  <c r="J1289" i="2"/>
  <c r="I1289" i="2"/>
  <c r="H1289" i="2"/>
  <c r="G1289" i="2"/>
  <c r="F1289" i="2"/>
  <c r="K1288" i="2"/>
  <c r="J1288" i="2"/>
  <c r="I1288" i="2"/>
  <c r="H1288" i="2"/>
  <c r="G1288" i="2"/>
  <c r="F1288" i="2"/>
  <c r="K1287" i="2"/>
  <c r="J1287" i="2"/>
  <c r="I1287" i="2"/>
  <c r="H1287" i="2"/>
  <c r="G1287" i="2"/>
  <c r="F1287" i="2"/>
  <c r="K1286" i="2"/>
  <c r="J1286" i="2"/>
  <c r="I1286" i="2"/>
  <c r="H1286" i="2"/>
  <c r="G1286" i="2"/>
  <c r="F1286" i="2"/>
  <c r="K1285" i="2"/>
  <c r="J1285" i="2"/>
  <c r="I1285" i="2"/>
  <c r="H1285" i="2"/>
  <c r="G1285" i="2"/>
  <c r="F1285" i="2"/>
  <c r="K1284" i="2"/>
  <c r="J1284" i="2"/>
  <c r="I1284" i="2"/>
  <c r="H1284" i="2"/>
  <c r="G1284" i="2"/>
  <c r="F1284" i="2"/>
  <c r="K1283" i="2"/>
  <c r="J1283" i="2"/>
  <c r="I1283" i="2"/>
  <c r="H1283" i="2"/>
  <c r="G1283" i="2"/>
  <c r="F1283" i="2"/>
  <c r="K1282" i="2"/>
  <c r="J1282" i="2"/>
  <c r="I1282" i="2"/>
  <c r="H1282" i="2"/>
  <c r="G1282" i="2"/>
  <c r="F1282" i="2"/>
  <c r="K1281" i="2"/>
  <c r="J1281" i="2"/>
  <c r="I1281" i="2"/>
  <c r="H1281" i="2"/>
  <c r="G1281" i="2"/>
  <c r="F1281" i="2"/>
  <c r="K1280" i="2"/>
  <c r="J1280" i="2"/>
  <c r="I1280" i="2"/>
  <c r="H1280" i="2"/>
  <c r="G1280" i="2"/>
  <c r="F1280" i="2"/>
  <c r="K1279" i="2"/>
  <c r="J1279" i="2"/>
  <c r="I1279" i="2"/>
  <c r="H1279" i="2"/>
  <c r="G1279" i="2"/>
  <c r="F1279" i="2"/>
  <c r="K1278" i="2"/>
  <c r="J1278" i="2"/>
  <c r="I1278" i="2"/>
  <c r="H1278" i="2"/>
  <c r="G1278" i="2"/>
  <c r="F1278" i="2"/>
  <c r="K1277" i="2"/>
  <c r="J1277" i="2"/>
  <c r="I1277" i="2"/>
  <c r="H1277" i="2"/>
  <c r="G1277" i="2"/>
  <c r="F1277" i="2"/>
  <c r="K1276" i="2"/>
  <c r="J1276" i="2"/>
  <c r="I1276" i="2"/>
  <c r="H1276" i="2"/>
  <c r="G1276" i="2"/>
  <c r="F1276" i="2"/>
  <c r="K1275" i="2"/>
  <c r="J1275" i="2"/>
  <c r="I1275" i="2"/>
  <c r="H1275" i="2"/>
  <c r="G1275" i="2"/>
  <c r="F1275" i="2"/>
  <c r="K1274" i="2"/>
  <c r="J1274" i="2"/>
  <c r="I1274" i="2"/>
  <c r="H1274" i="2"/>
  <c r="G1274" i="2"/>
  <c r="F1274" i="2"/>
  <c r="K1273" i="2"/>
  <c r="J1273" i="2"/>
  <c r="I1273" i="2"/>
  <c r="H1273" i="2"/>
  <c r="G1273" i="2"/>
  <c r="F1273" i="2"/>
  <c r="K1272" i="2"/>
  <c r="J1272" i="2"/>
  <c r="I1272" i="2"/>
  <c r="H1272" i="2"/>
  <c r="G1272" i="2"/>
  <c r="F1272" i="2"/>
  <c r="K1271" i="2"/>
  <c r="J1271" i="2"/>
  <c r="I1271" i="2"/>
  <c r="H1271" i="2"/>
  <c r="G1271" i="2"/>
  <c r="F1271" i="2"/>
  <c r="K1270" i="2"/>
  <c r="J1270" i="2"/>
  <c r="I1270" i="2"/>
  <c r="H1270" i="2"/>
  <c r="G1270" i="2"/>
  <c r="F1270" i="2"/>
  <c r="K1269" i="2"/>
  <c r="J1269" i="2"/>
  <c r="I1269" i="2"/>
  <c r="H1269" i="2"/>
  <c r="G1269" i="2"/>
  <c r="F1269" i="2"/>
  <c r="K1268" i="2"/>
  <c r="J1268" i="2"/>
  <c r="I1268" i="2"/>
  <c r="H1268" i="2"/>
  <c r="G1268" i="2"/>
  <c r="F1268" i="2"/>
  <c r="K1267" i="2"/>
  <c r="J1267" i="2"/>
  <c r="I1267" i="2"/>
  <c r="H1267" i="2"/>
  <c r="G1267" i="2"/>
  <c r="F1267" i="2"/>
  <c r="K1266" i="2"/>
  <c r="J1266" i="2"/>
  <c r="I1266" i="2"/>
  <c r="H1266" i="2"/>
  <c r="G1266" i="2"/>
  <c r="F1266" i="2"/>
  <c r="K1265" i="2"/>
  <c r="J1265" i="2"/>
  <c r="I1265" i="2"/>
  <c r="H1265" i="2"/>
  <c r="G1265" i="2"/>
  <c r="F1265" i="2"/>
  <c r="K1264" i="2"/>
  <c r="J1264" i="2"/>
  <c r="I1264" i="2"/>
  <c r="H1264" i="2"/>
  <c r="G1264" i="2"/>
  <c r="F1264" i="2"/>
  <c r="K1263" i="2"/>
  <c r="J1263" i="2"/>
  <c r="I1263" i="2"/>
  <c r="H1263" i="2"/>
  <c r="G1263" i="2"/>
  <c r="F1263" i="2"/>
  <c r="K1262" i="2"/>
  <c r="J1262" i="2"/>
  <c r="I1262" i="2"/>
  <c r="H1262" i="2"/>
  <c r="G1262" i="2"/>
  <c r="F1262" i="2"/>
  <c r="K1261" i="2"/>
  <c r="J1261" i="2"/>
  <c r="I1261" i="2"/>
  <c r="H1261" i="2"/>
  <c r="G1261" i="2"/>
  <c r="F1261" i="2"/>
  <c r="K1260" i="2"/>
  <c r="J1260" i="2"/>
  <c r="I1260" i="2"/>
  <c r="H1260" i="2"/>
  <c r="G1260" i="2"/>
  <c r="F1260" i="2"/>
  <c r="K1259" i="2"/>
  <c r="J1259" i="2"/>
  <c r="I1259" i="2"/>
  <c r="H1259" i="2"/>
  <c r="G1259" i="2"/>
  <c r="F1259" i="2"/>
  <c r="K1258" i="2"/>
  <c r="J1258" i="2"/>
  <c r="I1258" i="2"/>
  <c r="H1258" i="2"/>
  <c r="G1258" i="2"/>
  <c r="F1258" i="2"/>
  <c r="K1257" i="2"/>
  <c r="J1257" i="2"/>
  <c r="I1257" i="2"/>
  <c r="H1257" i="2"/>
  <c r="G1257" i="2"/>
  <c r="F1257" i="2"/>
  <c r="K1256" i="2"/>
  <c r="J1256" i="2"/>
  <c r="I1256" i="2"/>
  <c r="H1256" i="2"/>
  <c r="G1256" i="2"/>
  <c r="F1256" i="2"/>
  <c r="K1255" i="2"/>
  <c r="J1255" i="2"/>
  <c r="I1255" i="2"/>
  <c r="H1255" i="2"/>
  <c r="G1255" i="2"/>
  <c r="F1255" i="2"/>
  <c r="K1254" i="2"/>
  <c r="J1254" i="2"/>
  <c r="I1254" i="2"/>
  <c r="H1254" i="2"/>
  <c r="G1254" i="2"/>
  <c r="F1254" i="2"/>
  <c r="K1253" i="2"/>
  <c r="J1253" i="2"/>
  <c r="I1253" i="2"/>
  <c r="H1253" i="2"/>
  <c r="G1253" i="2"/>
  <c r="F1253" i="2"/>
  <c r="K1252" i="2"/>
  <c r="J1252" i="2"/>
  <c r="I1252" i="2"/>
  <c r="H1252" i="2"/>
  <c r="G1252" i="2"/>
  <c r="F1252" i="2"/>
  <c r="K1251" i="2"/>
  <c r="J1251" i="2"/>
  <c r="I1251" i="2"/>
  <c r="H1251" i="2"/>
  <c r="G1251" i="2"/>
  <c r="F1251" i="2"/>
  <c r="K1250" i="2"/>
  <c r="J1250" i="2"/>
  <c r="I1250" i="2"/>
  <c r="H1250" i="2"/>
  <c r="G1250" i="2"/>
  <c r="F1250" i="2"/>
  <c r="K1249" i="2"/>
  <c r="J1249" i="2"/>
  <c r="I1249" i="2"/>
  <c r="H1249" i="2"/>
  <c r="G1249" i="2"/>
  <c r="F1249" i="2"/>
  <c r="K1248" i="2"/>
  <c r="J1248" i="2"/>
  <c r="I1248" i="2"/>
  <c r="H1248" i="2"/>
  <c r="G1248" i="2"/>
  <c r="F1248" i="2"/>
  <c r="K1247" i="2"/>
  <c r="J1247" i="2"/>
  <c r="I1247" i="2"/>
  <c r="H1247" i="2"/>
  <c r="G1247" i="2"/>
  <c r="F1247" i="2"/>
  <c r="K1246" i="2"/>
  <c r="J1246" i="2"/>
  <c r="I1246" i="2"/>
  <c r="H1246" i="2"/>
  <c r="G1246" i="2"/>
  <c r="F1246" i="2"/>
  <c r="K1245" i="2"/>
  <c r="J1245" i="2"/>
  <c r="I1245" i="2"/>
  <c r="H1245" i="2"/>
  <c r="G1245" i="2"/>
  <c r="F1245" i="2"/>
  <c r="K1244" i="2"/>
  <c r="J1244" i="2"/>
  <c r="I1244" i="2"/>
  <c r="H1244" i="2"/>
  <c r="G1244" i="2"/>
  <c r="F1244" i="2"/>
  <c r="K1243" i="2"/>
  <c r="J1243" i="2"/>
  <c r="I1243" i="2"/>
  <c r="H1243" i="2"/>
  <c r="G1243" i="2"/>
  <c r="F1243" i="2"/>
  <c r="K1242" i="2"/>
  <c r="J1242" i="2"/>
  <c r="I1242" i="2"/>
  <c r="H1242" i="2"/>
  <c r="G1242" i="2"/>
  <c r="F1242" i="2"/>
  <c r="K1241" i="2"/>
  <c r="J1241" i="2"/>
  <c r="I1241" i="2"/>
  <c r="H1241" i="2"/>
  <c r="G1241" i="2"/>
  <c r="F1241" i="2"/>
  <c r="K1240" i="2"/>
  <c r="J1240" i="2"/>
  <c r="I1240" i="2"/>
  <c r="H1240" i="2"/>
  <c r="G1240" i="2"/>
  <c r="F1240" i="2"/>
  <c r="K1239" i="2"/>
  <c r="J1239" i="2"/>
  <c r="I1239" i="2"/>
  <c r="H1239" i="2"/>
  <c r="G1239" i="2"/>
  <c r="F1239" i="2"/>
  <c r="K1238" i="2"/>
  <c r="J1238" i="2"/>
  <c r="I1238" i="2"/>
  <c r="H1238" i="2"/>
  <c r="G1238" i="2"/>
  <c r="F1238" i="2"/>
  <c r="K1237" i="2"/>
  <c r="J1237" i="2"/>
  <c r="I1237" i="2"/>
  <c r="H1237" i="2"/>
  <c r="G1237" i="2"/>
  <c r="F1237" i="2"/>
  <c r="K1236" i="2"/>
  <c r="J1236" i="2"/>
  <c r="I1236" i="2"/>
  <c r="H1236" i="2"/>
  <c r="G1236" i="2"/>
  <c r="F1236" i="2"/>
  <c r="K1235" i="2"/>
  <c r="J1235" i="2"/>
  <c r="I1235" i="2"/>
  <c r="H1235" i="2"/>
  <c r="G1235" i="2"/>
  <c r="F1235" i="2"/>
  <c r="K1234" i="2"/>
  <c r="J1234" i="2"/>
  <c r="I1234" i="2"/>
  <c r="H1234" i="2"/>
  <c r="G1234" i="2"/>
  <c r="F1234" i="2"/>
  <c r="K1233" i="2"/>
  <c r="J1233" i="2"/>
  <c r="I1233" i="2"/>
  <c r="H1233" i="2"/>
  <c r="G1233" i="2"/>
  <c r="F1233" i="2"/>
  <c r="K1232" i="2"/>
  <c r="J1232" i="2"/>
  <c r="I1232" i="2"/>
  <c r="H1232" i="2"/>
  <c r="G1232" i="2"/>
  <c r="F1232" i="2"/>
  <c r="K1231" i="2"/>
  <c r="J1231" i="2"/>
  <c r="I1231" i="2"/>
  <c r="H1231" i="2"/>
  <c r="G1231" i="2"/>
  <c r="F1231" i="2"/>
  <c r="K1230" i="2"/>
  <c r="J1230" i="2"/>
  <c r="I1230" i="2"/>
  <c r="H1230" i="2"/>
  <c r="G1230" i="2"/>
  <c r="F1230" i="2"/>
  <c r="K1229" i="2"/>
  <c r="J1229" i="2"/>
  <c r="I1229" i="2"/>
  <c r="H1229" i="2"/>
  <c r="G1229" i="2"/>
  <c r="F1229" i="2"/>
  <c r="K1228" i="2"/>
  <c r="J1228" i="2"/>
  <c r="I1228" i="2"/>
  <c r="H1228" i="2"/>
  <c r="G1228" i="2"/>
  <c r="F1228" i="2"/>
  <c r="K1227" i="2"/>
  <c r="J1227" i="2"/>
  <c r="I1227" i="2"/>
  <c r="H1227" i="2"/>
  <c r="G1227" i="2"/>
  <c r="F1227" i="2"/>
  <c r="K1226" i="2"/>
  <c r="J1226" i="2"/>
  <c r="I1226" i="2"/>
  <c r="H1226" i="2"/>
  <c r="G1226" i="2"/>
  <c r="F1226" i="2"/>
  <c r="K1225" i="2"/>
  <c r="J1225" i="2"/>
  <c r="I1225" i="2"/>
  <c r="H1225" i="2"/>
  <c r="G1225" i="2"/>
  <c r="F1225" i="2"/>
  <c r="K1224" i="2"/>
  <c r="J1224" i="2"/>
  <c r="I1224" i="2"/>
  <c r="H1224" i="2"/>
  <c r="G1224" i="2"/>
  <c r="F1224" i="2"/>
  <c r="K1223" i="2"/>
  <c r="J1223" i="2"/>
  <c r="I1223" i="2"/>
  <c r="H1223" i="2"/>
  <c r="G1223" i="2"/>
  <c r="F1223" i="2"/>
  <c r="K1222" i="2"/>
  <c r="J1222" i="2"/>
  <c r="I1222" i="2"/>
  <c r="H1222" i="2"/>
  <c r="G1222" i="2"/>
  <c r="F1222" i="2"/>
  <c r="K1221" i="2"/>
  <c r="J1221" i="2"/>
  <c r="I1221" i="2"/>
  <c r="H1221" i="2"/>
  <c r="G1221" i="2"/>
  <c r="F1221" i="2"/>
  <c r="K1220" i="2"/>
  <c r="J1220" i="2"/>
  <c r="I1220" i="2"/>
  <c r="H1220" i="2"/>
  <c r="G1220" i="2"/>
  <c r="F1220" i="2"/>
  <c r="K1219" i="2"/>
  <c r="J1219" i="2"/>
  <c r="I1219" i="2"/>
  <c r="H1219" i="2"/>
  <c r="G1219" i="2"/>
  <c r="F1219" i="2"/>
  <c r="K1218" i="2"/>
  <c r="J1218" i="2"/>
  <c r="I1218" i="2"/>
  <c r="H1218" i="2"/>
  <c r="G1218" i="2"/>
  <c r="F1218" i="2"/>
  <c r="K1217" i="2"/>
  <c r="J1217" i="2"/>
  <c r="I1217" i="2"/>
  <c r="H1217" i="2"/>
  <c r="G1217" i="2"/>
  <c r="F1217" i="2"/>
  <c r="K1216" i="2"/>
  <c r="J1216" i="2"/>
  <c r="I1216" i="2"/>
  <c r="H1216" i="2"/>
  <c r="G1216" i="2"/>
  <c r="F1216" i="2"/>
  <c r="K1215" i="2"/>
  <c r="J1215" i="2"/>
  <c r="I1215" i="2"/>
  <c r="H1215" i="2"/>
  <c r="G1215" i="2"/>
  <c r="F1215" i="2"/>
  <c r="K1214" i="2"/>
  <c r="J1214" i="2"/>
  <c r="I1214" i="2"/>
  <c r="H1214" i="2"/>
  <c r="G1214" i="2"/>
  <c r="F1214" i="2"/>
  <c r="K1213" i="2"/>
  <c r="J1213" i="2"/>
  <c r="I1213" i="2"/>
  <c r="H1213" i="2"/>
  <c r="G1213" i="2"/>
  <c r="F1213" i="2"/>
  <c r="K1212" i="2"/>
  <c r="J1212" i="2"/>
  <c r="I1212" i="2"/>
  <c r="H1212" i="2"/>
  <c r="G1212" i="2"/>
  <c r="F1212" i="2"/>
  <c r="K1211" i="2"/>
  <c r="J1211" i="2"/>
  <c r="I1211" i="2"/>
  <c r="H1211" i="2"/>
  <c r="G1211" i="2"/>
  <c r="F1211" i="2"/>
  <c r="K1210" i="2"/>
  <c r="J1210" i="2"/>
  <c r="I1210" i="2"/>
  <c r="H1210" i="2"/>
  <c r="G1210" i="2"/>
  <c r="F1210" i="2"/>
  <c r="K1209" i="2"/>
  <c r="J1209" i="2"/>
  <c r="I1209" i="2"/>
  <c r="H1209" i="2"/>
  <c r="G1209" i="2"/>
  <c r="F1209" i="2"/>
  <c r="K1208" i="2"/>
  <c r="J1208" i="2"/>
  <c r="I1208" i="2"/>
  <c r="H1208" i="2"/>
  <c r="G1208" i="2"/>
  <c r="F1208" i="2"/>
  <c r="K1207" i="2"/>
  <c r="J1207" i="2"/>
  <c r="I1207" i="2"/>
  <c r="H1207" i="2"/>
  <c r="G1207" i="2"/>
  <c r="F1207" i="2"/>
  <c r="K1206" i="2"/>
  <c r="J1206" i="2"/>
  <c r="I1206" i="2"/>
  <c r="H1206" i="2"/>
  <c r="G1206" i="2"/>
  <c r="F1206" i="2"/>
  <c r="K1205" i="2"/>
  <c r="J1205" i="2"/>
  <c r="I1205" i="2"/>
  <c r="H1205" i="2"/>
  <c r="G1205" i="2"/>
  <c r="F1205" i="2"/>
  <c r="K1204" i="2"/>
  <c r="J1204" i="2"/>
  <c r="I1204" i="2"/>
  <c r="H1204" i="2"/>
  <c r="G1204" i="2"/>
  <c r="F1204" i="2"/>
  <c r="K1203" i="2"/>
  <c r="J1203" i="2"/>
  <c r="I1203" i="2"/>
  <c r="H1203" i="2"/>
  <c r="G1203" i="2"/>
  <c r="F1203" i="2"/>
  <c r="K1202" i="2"/>
  <c r="J1202" i="2"/>
  <c r="I1202" i="2"/>
  <c r="H1202" i="2"/>
  <c r="G1202" i="2"/>
  <c r="F1202" i="2"/>
  <c r="K1201" i="2"/>
  <c r="J1201" i="2"/>
  <c r="I1201" i="2"/>
  <c r="H1201" i="2"/>
  <c r="G1201" i="2"/>
  <c r="F1201" i="2"/>
  <c r="K1200" i="2"/>
  <c r="J1200" i="2"/>
  <c r="I1200" i="2"/>
  <c r="H1200" i="2"/>
  <c r="G1200" i="2"/>
  <c r="F1200" i="2"/>
  <c r="K1199" i="2"/>
  <c r="J1199" i="2"/>
  <c r="I1199" i="2"/>
  <c r="H1199" i="2"/>
  <c r="G1199" i="2"/>
  <c r="F1199" i="2"/>
  <c r="K1198" i="2"/>
  <c r="J1198" i="2"/>
  <c r="I1198" i="2"/>
  <c r="H1198" i="2"/>
  <c r="G1198" i="2"/>
  <c r="F1198" i="2"/>
  <c r="K1197" i="2"/>
  <c r="J1197" i="2"/>
  <c r="I1197" i="2"/>
  <c r="H1197" i="2"/>
  <c r="G1197" i="2"/>
  <c r="F1197" i="2"/>
  <c r="K1196" i="2"/>
  <c r="J1196" i="2"/>
  <c r="I1196" i="2"/>
  <c r="H1196" i="2"/>
  <c r="G1196" i="2"/>
  <c r="F1196" i="2"/>
  <c r="K1195" i="2"/>
  <c r="J1195" i="2"/>
  <c r="I1195" i="2"/>
  <c r="H1195" i="2"/>
  <c r="G1195" i="2"/>
  <c r="F1195" i="2"/>
  <c r="K1194" i="2"/>
  <c r="J1194" i="2"/>
  <c r="I1194" i="2"/>
  <c r="H1194" i="2"/>
  <c r="G1194" i="2"/>
  <c r="F1194" i="2"/>
  <c r="K1193" i="2"/>
  <c r="J1193" i="2"/>
  <c r="I1193" i="2"/>
  <c r="H1193" i="2"/>
  <c r="G1193" i="2"/>
  <c r="F1193" i="2"/>
  <c r="K1192" i="2"/>
  <c r="J1192" i="2"/>
  <c r="I1192" i="2"/>
  <c r="H1192" i="2"/>
  <c r="G1192" i="2"/>
  <c r="F1192" i="2"/>
  <c r="K1191" i="2"/>
  <c r="J1191" i="2"/>
  <c r="I1191" i="2"/>
  <c r="H1191" i="2"/>
  <c r="G1191" i="2"/>
  <c r="F1191" i="2"/>
  <c r="K1190" i="2"/>
  <c r="J1190" i="2"/>
  <c r="I1190" i="2"/>
  <c r="H1190" i="2"/>
  <c r="G1190" i="2"/>
  <c r="F1190" i="2"/>
  <c r="K1189" i="2"/>
  <c r="J1189" i="2"/>
  <c r="I1189" i="2"/>
  <c r="H1189" i="2"/>
  <c r="G1189" i="2"/>
  <c r="F1189" i="2"/>
  <c r="K1188" i="2"/>
  <c r="J1188" i="2"/>
  <c r="I1188" i="2"/>
  <c r="H1188" i="2"/>
  <c r="G1188" i="2"/>
  <c r="F1188" i="2"/>
  <c r="K1187" i="2"/>
  <c r="J1187" i="2"/>
  <c r="I1187" i="2"/>
  <c r="H1187" i="2"/>
  <c r="G1187" i="2"/>
  <c r="F1187" i="2"/>
  <c r="K1186" i="2"/>
  <c r="J1186" i="2"/>
  <c r="I1186" i="2"/>
  <c r="H1186" i="2"/>
  <c r="G1186" i="2"/>
  <c r="F1186" i="2"/>
  <c r="K1185" i="2"/>
  <c r="J1185" i="2"/>
  <c r="I1185" i="2"/>
  <c r="H1185" i="2"/>
  <c r="G1185" i="2"/>
  <c r="F1185" i="2"/>
  <c r="K1184" i="2"/>
  <c r="J1184" i="2"/>
  <c r="I1184" i="2"/>
  <c r="H1184" i="2"/>
  <c r="G1184" i="2"/>
  <c r="F1184" i="2"/>
  <c r="K1183" i="2"/>
  <c r="J1183" i="2"/>
  <c r="I1183" i="2"/>
  <c r="H1183" i="2"/>
  <c r="G1183" i="2"/>
  <c r="F1183" i="2"/>
  <c r="K1182" i="2"/>
  <c r="J1182" i="2"/>
  <c r="I1182" i="2"/>
  <c r="H1182" i="2"/>
  <c r="G1182" i="2"/>
  <c r="F1182" i="2"/>
  <c r="K1181" i="2"/>
  <c r="J1181" i="2"/>
  <c r="I1181" i="2"/>
  <c r="H1181" i="2"/>
  <c r="G1181" i="2"/>
  <c r="F1181" i="2"/>
  <c r="K1180" i="2"/>
  <c r="J1180" i="2"/>
  <c r="I1180" i="2"/>
  <c r="H1180" i="2"/>
  <c r="G1180" i="2"/>
  <c r="F1180" i="2"/>
  <c r="K1179" i="2"/>
  <c r="J1179" i="2"/>
  <c r="I1179" i="2"/>
  <c r="H1179" i="2"/>
  <c r="G1179" i="2"/>
  <c r="F1179" i="2"/>
  <c r="K1178" i="2"/>
  <c r="J1178" i="2"/>
  <c r="I1178" i="2"/>
  <c r="H1178" i="2"/>
  <c r="G1178" i="2"/>
  <c r="F1178" i="2"/>
  <c r="K1177" i="2"/>
  <c r="J1177" i="2"/>
  <c r="I1177" i="2"/>
  <c r="H1177" i="2"/>
  <c r="G1177" i="2"/>
  <c r="F1177" i="2"/>
  <c r="K1176" i="2"/>
  <c r="J1176" i="2"/>
  <c r="I1176" i="2"/>
  <c r="H1176" i="2"/>
  <c r="G1176" i="2"/>
  <c r="F1176" i="2"/>
  <c r="K1175" i="2"/>
  <c r="J1175" i="2"/>
  <c r="I1175" i="2"/>
  <c r="H1175" i="2"/>
  <c r="G1175" i="2"/>
  <c r="F1175" i="2"/>
  <c r="K1174" i="2"/>
  <c r="J1174" i="2"/>
  <c r="I1174" i="2"/>
  <c r="H1174" i="2"/>
  <c r="G1174" i="2"/>
  <c r="F1174" i="2"/>
  <c r="K1173" i="2"/>
  <c r="J1173" i="2"/>
  <c r="I1173" i="2"/>
  <c r="H1173" i="2"/>
  <c r="G1173" i="2"/>
  <c r="F1173" i="2"/>
  <c r="K1172" i="2"/>
  <c r="J1172" i="2"/>
  <c r="I1172" i="2"/>
  <c r="H1172" i="2"/>
  <c r="G1172" i="2"/>
  <c r="F1172" i="2"/>
  <c r="K1171" i="2"/>
  <c r="J1171" i="2"/>
  <c r="I1171" i="2"/>
  <c r="H1171" i="2"/>
  <c r="G1171" i="2"/>
  <c r="F1171" i="2"/>
  <c r="K1170" i="2"/>
  <c r="J1170" i="2"/>
  <c r="I1170" i="2"/>
  <c r="H1170" i="2"/>
  <c r="G1170" i="2"/>
  <c r="F1170" i="2"/>
  <c r="K1169" i="2"/>
  <c r="J1169" i="2"/>
  <c r="I1169" i="2"/>
  <c r="H1169" i="2"/>
  <c r="G1169" i="2"/>
  <c r="F1169" i="2"/>
  <c r="K1168" i="2"/>
  <c r="J1168" i="2"/>
  <c r="I1168" i="2"/>
  <c r="H1168" i="2"/>
  <c r="G1168" i="2"/>
  <c r="F1168" i="2"/>
  <c r="K1167" i="2"/>
  <c r="J1167" i="2"/>
  <c r="I1167" i="2"/>
  <c r="H1167" i="2"/>
  <c r="G1167" i="2"/>
  <c r="F1167" i="2"/>
  <c r="K1166" i="2"/>
  <c r="J1166" i="2"/>
  <c r="I1166" i="2"/>
  <c r="H1166" i="2"/>
  <c r="G1166" i="2"/>
  <c r="F1166" i="2"/>
  <c r="K1165" i="2"/>
  <c r="J1165" i="2"/>
  <c r="I1165" i="2"/>
  <c r="H1165" i="2"/>
  <c r="G1165" i="2"/>
  <c r="F1165" i="2"/>
  <c r="K1164" i="2"/>
  <c r="J1164" i="2"/>
  <c r="I1164" i="2"/>
  <c r="H1164" i="2"/>
  <c r="G1164" i="2"/>
  <c r="F1164" i="2"/>
  <c r="K1163" i="2"/>
  <c r="J1163" i="2"/>
  <c r="I1163" i="2"/>
  <c r="H1163" i="2"/>
  <c r="G1163" i="2"/>
  <c r="F1163" i="2"/>
  <c r="K1162" i="2"/>
  <c r="J1162" i="2"/>
  <c r="I1162" i="2"/>
  <c r="H1162" i="2"/>
  <c r="G1162" i="2"/>
  <c r="F1162" i="2"/>
  <c r="K1161" i="2"/>
  <c r="J1161" i="2"/>
  <c r="I1161" i="2"/>
  <c r="H1161" i="2"/>
  <c r="G1161" i="2"/>
  <c r="F1161" i="2"/>
  <c r="K1160" i="2"/>
  <c r="J1160" i="2"/>
  <c r="I1160" i="2"/>
  <c r="H1160" i="2"/>
  <c r="G1160" i="2"/>
  <c r="F1160" i="2"/>
  <c r="K1159" i="2"/>
  <c r="J1159" i="2"/>
  <c r="I1159" i="2"/>
  <c r="H1159" i="2"/>
  <c r="G1159" i="2"/>
  <c r="F1159" i="2"/>
  <c r="K1158" i="2"/>
  <c r="J1158" i="2"/>
  <c r="I1158" i="2"/>
  <c r="H1158" i="2"/>
  <c r="G1158" i="2"/>
  <c r="F1158" i="2"/>
  <c r="K1157" i="2"/>
  <c r="J1157" i="2"/>
  <c r="I1157" i="2"/>
  <c r="H1157" i="2"/>
  <c r="G1157" i="2"/>
  <c r="F1157" i="2"/>
  <c r="K1156" i="2"/>
  <c r="J1156" i="2"/>
  <c r="I1156" i="2"/>
  <c r="H1156" i="2"/>
  <c r="G1156" i="2"/>
  <c r="F1156" i="2"/>
  <c r="K1155" i="2"/>
  <c r="J1155" i="2"/>
  <c r="I1155" i="2"/>
  <c r="H1155" i="2"/>
  <c r="G1155" i="2"/>
  <c r="F1155" i="2"/>
  <c r="K1154" i="2"/>
  <c r="J1154" i="2"/>
  <c r="I1154" i="2"/>
  <c r="H1154" i="2"/>
  <c r="G1154" i="2"/>
  <c r="F1154" i="2"/>
  <c r="K1153" i="2"/>
  <c r="J1153" i="2"/>
  <c r="I1153" i="2"/>
  <c r="H1153" i="2"/>
  <c r="G1153" i="2"/>
  <c r="F1153" i="2"/>
  <c r="K1152" i="2"/>
  <c r="J1152" i="2"/>
  <c r="I1152" i="2"/>
  <c r="H1152" i="2"/>
  <c r="G1152" i="2"/>
  <c r="F1152" i="2"/>
  <c r="K1151" i="2"/>
  <c r="J1151" i="2"/>
  <c r="I1151" i="2"/>
  <c r="H1151" i="2"/>
  <c r="G1151" i="2"/>
  <c r="F1151" i="2"/>
  <c r="K1150" i="2"/>
  <c r="J1150" i="2"/>
  <c r="I1150" i="2"/>
  <c r="H1150" i="2"/>
  <c r="G1150" i="2"/>
  <c r="F1150" i="2"/>
  <c r="K1149" i="2"/>
  <c r="J1149" i="2"/>
  <c r="I1149" i="2"/>
  <c r="H1149" i="2"/>
  <c r="G1149" i="2"/>
  <c r="F1149" i="2"/>
  <c r="K1148" i="2"/>
  <c r="J1148" i="2"/>
  <c r="I1148" i="2"/>
  <c r="H1148" i="2"/>
  <c r="G1148" i="2"/>
  <c r="F1148" i="2"/>
  <c r="K1147" i="2"/>
  <c r="J1147" i="2"/>
  <c r="I1147" i="2"/>
  <c r="H1147" i="2"/>
  <c r="G1147" i="2"/>
  <c r="F1147" i="2"/>
  <c r="K1146" i="2"/>
  <c r="J1146" i="2"/>
  <c r="I1146" i="2"/>
  <c r="H1146" i="2"/>
  <c r="G1146" i="2"/>
  <c r="F1146" i="2"/>
  <c r="K1145" i="2"/>
  <c r="J1145" i="2"/>
  <c r="I1145" i="2"/>
  <c r="H1145" i="2"/>
  <c r="G1145" i="2"/>
  <c r="F1145" i="2"/>
  <c r="K1144" i="2"/>
  <c r="J1144" i="2"/>
  <c r="I1144" i="2"/>
  <c r="H1144" i="2"/>
  <c r="G1144" i="2"/>
  <c r="F1144" i="2"/>
  <c r="K1143" i="2"/>
  <c r="J1143" i="2"/>
  <c r="I1143" i="2"/>
  <c r="H1143" i="2"/>
  <c r="G1143" i="2"/>
  <c r="F1143" i="2"/>
  <c r="K1142" i="2"/>
  <c r="J1142" i="2"/>
  <c r="I1142" i="2"/>
  <c r="H1142" i="2"/>
  <c r="G1142" i="2"/>
  <c r="F1142" i="2"/>
  <c r="K1141" i="2"/>
  <c r="J1141" i="2"/>
  <c r="I1141" i="2"/>
  <c r="H1141" i="2"/>
  <c r="G1141" i="2"/>
  <c r="F1141" i="2"/>
  <c r="K1140" i="2"/>
  <c r="J1140" i="2"/>
  <c r="I1140" i="2"/>
  <c r="H1140" i="2"/>
  <c r="G1140" i="2"/>
  <c r="F1140" i="2"/>
  <c r="K1139" i="2"/>
  <c r="J1139" i="2"/>
  <c r="I1139" i="2"/>
  <c r="H1139" i="2"/>
  <c r="G1139" i="2"/>
  <c r="F1139" i="2"/>
  <c r="K1138" i="2"/>
  <c r="J1138" i="2"/>
  <c r="I1138" i="2"/>
  <c r="H1138" i="2"/>
  <c r="G1138" i="2"/>
  <c r="F1138" i="2"/>
  <c r="K1137" i="2"/>
  <c r="J1137" i="2"/>
  <c r="I1137" i="2"/>
  <c r="H1137" i="2"/>
  <c r="G1137" i="2"/>
  <c r="F1137" i="2"/>
  <c r="K1136" i="2"/>
  <c r="J1136" i="2"/>
  <c r="I1136" i="2"/>
  <c r="H1136" i="2"/>
  <c r="G1136" i="2"/>
  <c r="F1136" i="2"/>
  <c r="K1135" i="2"/>
  <c r="J1135" i="2"/>
  <c r="I1135" i="2"/>
  <c r="H1135" i="2"/>
  <c r="G1135" i="2"/>
  <c r="F1135" i="2"/>
  <c r="K1134" i="2"/>
  <c r="J1134" i="2"/>
  <c r="I1134" i="2"/>
  <c r="H1134" i="2"/>
  <c r="G1134" i="2"/>
  <c r="F1134" i="2"/>
  <c r="K1133" i="2"/>
  <c r="J1133" i="2"/>
  <c r="I1133" i="2"/>
  <c r="H1133" i="2"/>
  <c r="G1133" i="2"/>
  <c r="F1133" i="2"/>
  <c r="K1132" i="2"/>
  <c r="J1132" i="2"/>
  <c r="I1132" i="2"/>
  <c r="H1132" i="2"/>
  <c r="G1132" i="2"/>
  <c r="F1132" i="2"/>
  <c r="K1131" i="2"/>
  <c r="J1131" i="2"/>
  <c r="I1131" i="2"/>
  <c r="H1131" i="2"/>
  <c r="G1131" i="2"/>
  <c r="F1131" i="2"/>
  <c r="K1130" i="2"/>
  <c r="J1130" i="2"/>
  <c r="I1130" i="2"/>
  <c r="H1130" i="2"/>
  <c r="G1130" i="2"/>
  <c r="F1130" i="2"/>
  <c r="K1129" i="2"/>
  <c r="J1129" i="2"/>
  <c r="I1129" i="2"/>
  <c r="H1129" i="2"/>
  <c r="G1129" i="2"/>
  <c r="F1129" i="2"/>
  <c r="K1128" i="2"/>
  <c r="J1128" i="2"/>
  <c r="I1128" i="2"/>
  <c r="H1128" i="2"/>
  <c r="G1128" i="2"/>
  <c r="F1128" i="2"/>
  <c r="K1127" i="2"/>
  <c r="J1127" i="2"/>
  <c r="I1127" i="2"/>
  <c r="H1127" i="2"/>
  <c r="G1127" i="2"/>
  <c r="F1127" i="2"/>
  <c r="K1126" i="2"/>
  <c r="J1126" i="2"/>
  <c r="I1126" i="2"/>
  <c r="H1126" i="2"/>
  <c r="G1126" i="2"/>
  <c r="F1126" i="2"/>
  <c r="K1125" i="2"/>
  <c r="J1125" i="2"/>
  <c r="I1125" i="2"/>
  <c r="H1125" i="2"/>
  <c r="G1125" i="2"/>
  <c r="F1125" i="2"/>
  <c r="K1124" i="2"/>
  <c r="J1124" i="2"/>
  <c r="I1124" i="2"/>
  <c r="H1124" i="2"/>
  <c r="G1124" i="2"/>
  <c r="F1124" i="2"/>
  <c r="K1123" i="2"/>
  <c r="J1123" i="2"/>
  <c r="I1123" i="2"/>
  <c r="H1123" i="2"/>
  <c r="G1123" i="2"/>
  <c r="F1123" i="2"/>
  <c r="K1122" i="2"/>
  <c r="J1122" i="2"/>
  <c r="I1122" i="2"/>
  <c r="H1122" i="2"/>
  <c r="G1122" i="2"/>
  <c r="F1122" i="2"/>
  <c r="K1121" i="2"/>
  <c r="J1121" i="2"/>
  <c r="I1121" i="2"/>
  <c r="H1121" i="2"/>
  <c r="G1121" i="2"/>
  <c r="F1121" i="2"/>
  <c r="K1120" i="2"/>
  <c r="J1120" i="2"/>
  <c r="I1120" i="2"/>
  <c r="H1120" i="2"/>
  <c r="G1120" i="2"/>
  <c r="F1120" i="2"/>
  <c r="K1119" i="2"/>
  <c r="J1119" i="2"/>
  <c r="I1119" i="2"/>
  <c r="H1119" i="2"/>
  <c r="G1119" i="2"/>
  <c r="F1119" i="2"/>
  <c r="K1118" i="2"/>
  <c r="J1118" i="2"/>
  <c r="I1118" i="2"/>
  <c r="H1118" i="2"/>
  <c r="G1118" i="2"/>
  <c r="F1118" i="2"/>
  <c r="K1117" i="2"/>
  <c r="J1117" i="2"/>
  <c r="I1117" i="2"/>
  <c r="H1117" i="2"/>
  <c r="G1117" i="2"/>
  <c r="F1117" i="2"/>
  <c r="K1116" i="2"/>
  <c r="J1116" i="2"/>
  <c r="I1116" i="2"/>
  <c r="H1116" i="2"/>
  <c r="G1116" i="2"/>
  <c r="F1116" i="2"/>
  <c r="K1115" i="2"/>
  <c r="J1115" i="2"/>
  <c r="I1115" i="2"/>
  <c r="H1115" i="2"/>
  <c r="G1115" i="2"/>
  <c r="F1115" i="2"/>
  <c r="K1114" i="2"/>
  <c r="J1114" i="2"/>
  <c r="I1114" i="2"/>
  <c r="H1114" i="2"/>
  <c r="G1114" i="2"/>
  <c r="F1114" i="2"/>
  <c r="K1113" i="2"/>
  <c r="J1113" i="2"/>
  <c r="I1113" i="2"/>
  <c r="H1113" i="2"/>
  <c r="G1113" i="2"/>
  <c r="F1113" i="2"/>
  <c r="K1112" i="2"/>
  <c r="J1112" i="2"/>
  <c r="I1112" i="2"/>
  <c r="H1112" i="2"/>
  <c r="G1112" i="2"/>
  <c r="F1112" i="2"/>
  <c r="K1111" i="2"/>
  <c r="J1111" i="2"/>
  <c r="I1111" i="2"/>
  <c r="H1111" i="2"/>
  <c r="G1111" i="2"/>
  <c r="F1111" i="2"/>
  <c r="K1110" i="2"/>
  <c r="J1110" i="2"/>
  <c r="I1110" i="2"/>
  <c r="H1110" i="2"/>
  <c r="G1110" i="2"/>
  <c r="F1110" i="2"/>
  <c r="K1109" i="2"/>
  <c r="J1109" i="2"/>
  <c r="I1109" i="2"/>
  <c r="H1109" i="2"/>
  <c r="G1109" i="2"/>
  <c r="F1109" i="2"/>
  <c r="K1108" i="2"/>
  <c r="J1108" i="2"/>
  <c r="I1108" i="2"/>
  <c r="H1108" i="2"/>
  <c r="G1108" i="2"/>
  <c r="F1108" i="2"/>
  <c r="K1107" i="2"/>
  <c r="J1107" i="2"/>
  <c r="I1107" i="2"/>
  <c r="H1107" i="2"/>
  <c r="G1107" i="2"/>
  <c r="F1107" i="2"/>
  <c r="K1106" i="2"/>
  <c r="J1106" i="2"/>
  <c r="I1106" i="2"/>
  <c r="H1106" i="2"/>
  <c r="G1106" i="2"/>
  <c r="F1106" i="2"/>
  <c r="K1105" i="2"/>
  <c r="J1105" i="2"/>
  <c r="I1105" i="2"/>
  <c r="H1105" i="2"/>
  <c r="G1105" i="2"/>
  <c r="F1105" i="2"/>
  <c r="K1104" i="2"/>
  <c r="J1104" i="2"/>
  <c r="I1104" i="2"/>
  <c r="H1104" i="2"/>
  <c r="G1104" i="2"/>
  <c r="F1104" i="2"/>
  <c r="K1103" i="2"/>
  <c r="J1103" i="2"/>
  <c r="I1103" i="2"/>
  <c r="H1103" i="2"/>
  <c r="G1103" i="2"/>
  <c r="F1103" i="2"/>
  <c r="K1102" i="2"/>
  <c r="J1102" i="2"/>
  <c r="I1102" i="2"/>
  <c r="H1102" i="2"/>
  <c r="G1102" i="2"/>
  <c r="F1102" i="2"/>
  <c r="K1101" i="2"/>
  <c r="J1101" i="2"/>
  <c r="I1101" i="2"/>
  <c r="H1101" i="2"/>
  <c r="G1101" i="2"/>
  <c r="F1101" i="2"/>
  <c r="K1100" i="2"/>
  <c r="J1100" i="2"/>
  <c r="I1100" i="2"/>
  <c r="H1100" i="2"/>
  <c r="G1100" i="2"/>
  <c r="F1100" i="2"/>
  <c r="K1099" i="2"/>
  <c r="J1099" i="2"/>
  <c r="I1099" i="2"/>
  <c r="H1099" i="2"/>
  <c r="G1099" i="2"/>
  <c r="F1099" i="2"/>
  <c r="K1098" i="2"/>
  <c r="J1098" i="2"/>
  <c r="I1098" i="2"/>
  <c r="H1098" i="2"/>
  <c r="G1098" i="2"/>
  <c r="F1098" i="2"/>
  <c r="K1097" i="2"/>
  <c r="J1097" i="2"/>
  <c r="I1097" i="2"/>
  <c r="H1097" i="2"/>
  <c r="G1097" i="2"/>
  <c r="F1097" i="2"/>
  <c r="K1096" i="2"/>
  <c r="J1096" i="2"/>
  <c r="I1096" i="2"/>
  <c r="H1096" i="2"/>
  <c r="G1096" i="2"/>
  <c r="F1096" i="2"/>
  <c r="K1095" i="2"/>
  <c r="J1095" i="2"/>
  <c r="I1095" i="2"/>
  <c r="H1095" i="2"/>
  <c r="G1095" i="2"/>
  <c r="F1095" i="2"/>
  <c r="K1094" i="2"/>
  <c r="J1094" i="2"/>
  <c r="I1094" i="2"/>
  <c r="H1094" i="2"/>
  <c r="G1094" i="2"/>
  <c r="F1094" i="2"/>
  <c r="K1093" i="2"/>
  <c r="J1093" i="2"/>
  <c r="I1093" i="2"/>
  <c r="H1093" i="2"/>
  <c r="G1093" i="2"/>
  <c r="F1093" i="2"/>
  <c r="K1092" i="2"/>
  <c r="J1092" i="2"/>
  <c r="I1092" i="2"/>
  <c r="H1092" i="2"/>
  <c r="G1092" i="2"/>
  <c r="F1092" i="2"/>
  <c r="K1091" i="2"/>
  <c r="J1091" i="2"/>
  <c r="I1091" i="2"/>
  <c r="H1091" i="2"/>
  <c r="G1091" i="2"/>
  <c r="F1091" i="2"/>
  <c r="K1090" i="2"/>
  <c r="J1090" i="2"/>
  <c r="I1090" i="2"/>
  <c r="H1090" i="2"/>
  <c r="G1090" i="2"/>
  <c r="F1090" i="2"/>
  <c r="K1089" i="2"/>
  <c r="J1089" i="2"/>
  <c r="I1089" i="2"/>
  <c r="H1089" i="2"/>
  <c r="G1089" i="2"/>
  <c r="F1089" i="2"/>
  <c r="K1088" i="2"/>
  <c r="J1088" i="2"/>
  <c r="I1088" i="2"/>
  <c r="H1088" i="2"/>
  <c r="G1088" i="2"/>
  <c r="F1088" i="2"/>
  <c r="K1087" i="2"/>
  <c r="J1087" i="2"/>
  <c r="I1087" i="2"/>
  <c r="H1087" i="2"/>
  <c r="G1087" i="2"/>
  <c r="F1087" i="2"/>
  <c r="K1086" i="2"/>
  <c r="J1086" i="2"/>
  <c r="I1086" i="2"/>
  <c r="H1086" i="2"/>
  <c r="G1086" i="2"/>
  <c r="F1086" i="2"/>
  <c r="K1085" i="2"/>
  <c r="J1085" i="2"/>
  <c r="I1085" i="2"/>
  <c r="H1085" i="2"/>
  <c r="G1085" i="2"/>
  <c r="F1085" i="2"/>
  <c r="K1084" i="2"/>
  <c r="J1084" i="2"/>
  <c r="I1084" i="2"/>
  <c r="H1084" i="2"/>
  <c r="G1084" i="2"/>
  <c r="F1084" i="2"/>
  <c r="K1083" i="2"/>
  <c r="J1083" i="2"/>
  <c r="I1083" i="2"/>
  <c r="H1083" i="2"/>
  <c r="G1083" i="2"/>
  <c r="F1083" i="2"/>
  <c r="K1082" i="2"/>
  <c r="J1082" i="2"/>
  <c r="I1082" i="2"/>
  <c r="H1082" i="2"/>
  <c r="G1082" i="2"/>
  <c r="F1082" i="2"/>
  <c r="K1081" i="2"/>
  <c r="J1081" i="2"/>
  <c r="I1081" i="2"/>
  <c r="H1081" i="2"/>
  <c r="G1081" i="2"/>
  <c r="F1081" i="2"/>
  <c r="K1080" i="2"/>
  <c r="J1080" i="2"/>
  <c r="I1080" i="2"/>
  <c r="H1080" i="2"/>
  <c r="G1080" i="2"/>
  <c r="F1080" i="2"/>
  <c r="K1079" i="2"/>
  <c r="J1079" i="2"/>
  <c r="I1079" i="2"/>
  <c r="H1079" i="2"/>
  <c r="G1079" i="2"/>
  <c r="F1079" i="2"/>
  <c r="K1078" i="2"/>
  <c r="J1078" i="2"/>
  <c r="I1078" i="2"/>
  <c r="H1078" i="2"/>
  <c r="G1078" i="2"/>
  <c r="F1078" i="2"/>
  <c r="K1077" i="2"/>
  <c r="J1077" i="2"/>
  <c r="I1077" i="2"/>
  <c r="H1077" i="2"/>
  <c r="G1077" i="2"/>
  <c r="F1077" i="2"/>
  <c r="K1076" i="2"/>
  <c r="J1076" i="2"/>
  <c r="I1076" i="2"/>
  <c r="H1076" i="2"/>
  <c r="G1076" i="2"/>
  <c r="F1076" i="2"/>
  <c r="K1075" i="2"/>
  <c r="J1075" i="2"/>
  <c r="I1075" i="2"/>
  <c r="H1075" i="2"/>
  <c r="G1075" i="2"/>
  <c r="F1075" i="2"/>
  <c r="K1074" i="2"/>
  <c r="J1074" i="2"/>
  <c r="I1074" i="2"/>
  <c r="H1074" i="2"/>
  <c r="G1074" i="2"/>
  <c r="F1074" i="2"/>
  <c r="K1073" i="2"/>
  <c r="J1073" i="2"/>
  <c r="I1073" i="2"/>
  <c r="H1073" i="2"/>
  <c r="G1073" i="2"/>
  <c r="F1073" i="2"/>
  <c r="K1072" i="2"/>
  <c r="J1072" i="2"/>
  <c r="I1072" i="2"/>
  <c r="H1072" i="2"/>
  <c r="G1072" i="2"/>
  <c r="F1072" i="2"/>
  <c r="K1071" i="2"/>
  <c r="J1071" i="2"/>
  <c r="I1071" i="2"/>
  <c r="H1071" i="2"/>
  <c r="G1071" i="2"/>
  <c r="F1071" i="2"/>
  <c r="K1070" i="2"/>
  <c r="J1070" i="2"/>
  <c r="I1070" i="2"/>
  <c r="H1070" i="2"/>
  <c r="G1070" i="2"/>
  <c r="F1070" i="2"/>
  <c r="K1069" i="2"/>
  <c r="J1069" i="2"/>
  <c r="I1069" i="2"/>
  <c r="H1069" i="2"/>
  <c r="G1069" i="2"/>
  <c r="F1069" i="2"/>
  <c r="K1068" i="2"/>
  <c r="J1068" i="2"/>
  <c r="I1068" i="2"/>
  <c r="H1068" i="2"/>
  <c r="G1068" i="2"/>
  <c r="F1068" i="2"/>
  <c r="K1067" i="2"/>
  <c r="J1067" i="2"/>
  <c r="I1067" i="2"/>
  <c r="H1067" i="2"/>
  <c r="G1067" i="2"/>
  <c r="F1067" i="2"/>
  <c r="K1066" i="2"/>
  <c r="J1066" i="2"/>
  <c r="I1066" i="2"/>
  <c r="H1066" i="2"/>
  <c r="G1066" i="2"/>
  <c r="F1066" i="2"/>
  <c r="K1065" i="2"/>
  <c r="J1065" i="2"/>
  <c r="I1065" i="2"/>
  <c r="H1065" i="2"/>
  <c r="G1065" i="2"/>
  <c r="F1065" i="2"/>
  <c r="K1064" i="2"/>
  <c r="J1064" i="2"/>
  <c r="I1064" i="2"/>
  <c r="H1064" i="2"/>
  <c r="G1064" i="2"/>
  <c r="F1064" i="2"/>
  <c r="K1063" i="2"/>
  <c r="J1063" i="2"/>
  <c r="I1063" i="2"/>
  <c r="H1063" i="2"/>
  <c r="G1063" i="2"/>
  <c r="F1063" i="2"/>
  <c r="K1062" i="2"/>
  <c r="J1062" i="2"/>
  <c r="I1062" i="2"/>
  <c r="H1062" i="2"/>
  <c r="G1062" i="2"/>
  <c r="F1062" i="2"/>
  <c r="K1061" i="2"/>
  <c r="J1061" i="2"/>
  <c r="I1061" i="2"/>
  <c r="H1061" i="2"/>
  <c r="G1061" i="2"/>
  <c r="F1061" i="2"/>
  <c r="K1060" i="2"/>
  <c r="J1060" i="2"/>
  <c r="I1060" i="2"/>
  <c r="H1060" i="2"/>
  <c r="G1060" i="2"/>
  <c r="F1060" i="2"/>
  <c r="K1059" i="2"/>
  <c r="J1059" i="2"/>
  <c r="I1059" i="2"/>
  <c r="H1059" i="2"/>
  <c r="G1059" i="2"/>
  <c r="F1059" i="2"/>
  <c r="K1058" i="2"/>
  <c r="J1058" i="2"/>
  <c r="I1058" i="2"/>
  <c r="H1058" i="2"/>
  <c r="G1058" i="2"/>
  <c r="F1058" i="2"/>
  <c r="K1057" i="2"/>
  <c r="J1057" i="2"/>
  <c r="I1057" i="2"/>
  <c r="H1057" i="2"/>
  <c r="G1057" i="2"/>
  <c r="F1057" i="2"/>
  <c r="K1056" i="2"/>
  <c r="J1056" i="2"/>
  <c r="I1056" i="2"/>
  <c r="H1056" i="2"/>
  <c r="G1056" i="2"/>
  <c r="F1056" i="2"/>
  <c r="K1055" i="2"/>
  <c r="J1055" i="2"/>
  <c r="I1055" i="2"/>
  <c r="H1055" i="2"/>
  <c r="G1055" i="2"/>
  <c r="F1055" i="2"/>
  <c r="K1054" i="2"/>
  <c r="J1054" i="2"/>
  <c r="I1054" i="2"/>
  <c r="H1054" i="2"/>
  <c r="G1054" i="2"/>
  <c r="F1054" i="2"/>
  <c r="K1053" i="2"/>
  <c r="J1053" i="2"/>
  <c r="I1053" i="2"/>
  <c r="H1053" i="2"/>
  <c r="G1053" i="2"/>
  <c r="F1053" i="2"/>
  <c r="K1052" i="2"/>
  <c r="J1052" i="2"/>
  <c r="I1052" i="2"/>
  <c r="H1052" i="2"/>
  <c r="G1052" i="2"/>
  <c r="F1052" i="2"/>
  <c r="K1051" i="2"/>
  <c r="J1051" i="2"/>
  <c r="I1051" i="2"/>
  <c r="H1051" i="2"/>
  <c r="G1051" i="2"/>
  <c r="F1051" i="2"/>
  <c r="K1050" i="2"/>
  <c r="J1050" i="2"/>
  <c r="I1050" i="2"/>
  <c r="H1050" i="2"/>
  <c r="G1050" i="2"/>
  <c r="F1050" i="2"/>
  <c r="K1049" i="2"/>
  <c r="J1049" i="2"/>
  <c r="I1049" i="2"/>
  <c r="H1049" i="2"/>
  <c r="G1049" i="2"/>
  <c r="F1049" i="2"/>
  <c r="K1048" i="2"/>
  <c r="J1048" i="2"/>
  <c r="I1048" i="2"/>
  <c r="H1048" i="2"/>
  <c r="G1048" i="2"/>
  <c r="F1048" i="2"/>
  <c r="K1047" i="2"/>
  <c r="J1047" i="2"/>
  <c r="I1047" i="2"/>
  <c r="H1047" i="2"/>
  <c r="G1047" i="2"/>
  <c r="F1047" i="2"/>
  <c r="K1046" i="2"/>
  <c r="J1046" i="2"/>
  <c r="I1046" i="2"/>
  <c r="H1046" i="2"/>
  <c r="G1046" i="2"/>
  <c r="F1046" i="2"/>
  <c r="K1045" i="2"/>
  <c r="J1045" i="2"/>
  <c r="I1045" i="2"/>
  <c r="H1045" i="2"/>
  <c r="G1045" i="2"/>
  <c r="F1045" i="2"/>
  <c r="K1044" i="2"/>
  <c r="J1044" i="2"/>
  <c r="I1044" i="2"/>
  <c r="H1044" i="2"/>
  <c r="G1044" i="2"/>
  <c r="F1044" i="2"/>
  <c r="K1043" i="2"/>
  <c r="J1043" i="2"/>
  <c r="I1043" i="2"/>
  <c r="H1043" i="2"/>
  <c r="G1043" i="2"/>
  <c r="F1043" i="2"/>
  <c r="K1042" i="2"/>
  <c r="J1042" i="2"/>
  <c r="I1042" i="2"/>
  <c r="H1042" i="2"/>
  <c r="G1042" i="2"/>
  <c r="F1042" i="2"/>
  <c r="K1041" i="2"/>
  <c r="J1041" i="2"/>
  <c r="I1041" i="2"/>
  <c r="H1041" i="2"/>
  <c r="G1041" i="2"/>
  <c r="F1041" i="2"/>
  <c r="K1040" i="2"/>
  <c r="J1040" i="2"/>
  <c r="I1040" i="2"/>
  <c r="H1040" i="2"/>
  <c r="G1040" i="2"/>
  <c r="F1040" i="2"/>
  <c r="K1039" i="2"/>
  <c r="J1039" i="2"/>
  <c r="I1039" i="2"/>
  <c r="H1039" i="2"/>
  <c r="G1039" i="2"/>
  <c r="F1039" i="2"/>
  <c r="K1038" i="2"/>
  <c r="J1038" i="2"/>
  <c r="I1038" i="2"/>
  <c r="H1038" i="2"/>
  <c r="G1038" i="2"/>
  <c r="F1038" i="2"/>
  <c r="K1037" i="2"/>
  <c r="J1037" i="2"/>
  <c r="I1037" i="2"/>
  <c r="H1037" i="2"/>
  <c r="G1037" i="2"/>
  <c r="F1037" i="2"/>
  <c r="K1036" i="2"/>
  <c r="J1036" i="2"/>
  <c r="I1036" i="2"/>
  <c r="H1036" i="2"/>
  <c r="G1036" i="2"/>
  <c r="F1036" i="2"/>
  <c r="K1035" i="2"/>
  <c r="J1035" i="2"/>
  <c r="I1035" i="2"/>
  <c r="H1035" i="2"/>
  <c r="G1035" i="2"/>
  <c r="F1035" i="2"/>
  <c r="K1034" i="2"/>
  <c r="J1034" i="2"/>
  <c r="I1034" i="2"/>
  <c r="H1034" i="2"/>
  <c r="G1034" i="2"/>
  <c r="F1034" i="2"/>
  <c r="K1033" i="2"/>
  <c r="J1033" i="2"/>
  <c r="I1033" i="2"/>
  <c r="H1033" i="2"/>
  <c r="G1033" i="2"/>
  <c r="F1033" i="2"/>
  <c r="K1032" i="2"/>
  <c r="J1032" i="2"/>
  <c r="I1032" i="2"/>
  <c r="H1032" i="2"/>
  <c r="G1032" i="2"/>
  <c r="F1032" i="2"/>
  <c r="K1031" i="2"/>
  <c r="J1031" i="2"/>
  <c r="I1031" i="2"/>
  <c r="H1031" i="2"/>
  <c r="G1031" i="2"/>
  <c r="F1031" i="2"/>
  <c r="K1030" i="2"/>
  <c r="J1030" i="2"/>
  <c r="I1030" i="2"/>
  <c r="H1030" i="2"/>
  <c r="G1030" i="2"/>
  <c r="F1030" i="2"/>
  <c r="K1029" i="2"/>
  <c r="J1029" i="2"/>
  <c r="I1029" i="2"/>
  <c r="H1029" i="2"/>
  <c r="G1029" i="2"/>
  <c r="F1029" i="2"/>
  <c r="K1028" i="2"/>
  <c r="J1028" i="2"/>
  <c r="I1028" i="2"/>
  <c r="H1028" i="2"/>
  <c r="G1028" i="2"/>
  <c r="F1028" i="2"/>
  <c r="K1027" i="2"/>
  <c r="J1027" i="2"/>
  <c r="I1027" i="2"/>
  <c r="H1027" i="2"/>
  <c r="G1027" i="2"/>
  <c r="F1027" i="2"/>
  <c r="K1026" i="2"/>
  <c r="J1026" i="2"/>
  <c r="I1026" i="2"/>
  <c r="H1026" i="2"/>
  <c r="G1026" i="2"/>
  <c r="F1026" i="2"/>
  <c r="K1025" i="2"/>
  <c r="J1025" i="2"/>
  <c r="I1025" i="2"/>
  <c r="H1025" i="2"/>
  <c r="G1025" i="2"/>
  <c r="F1025" i="2"/>
  <c r="K1024" i="2"/>
  <c r="J1024" i="2"/>
  <c r="I1024" i="2"/>
  <c r="H1024" i="2"/>
  <c r="G1024" i="2"/>
  <c r="F1024" i="2"/>
  <c r="K1023" i="2"/>
  <c r="J1023" i="2"/>
  <c r="I1023" i="2"/>
  <c r="H1023" i="2"/>
  <c r="G1023" i="2"/>
  <c r="F1023" i="2"/>
  <c r="K1022" i="2"/>
  <c r="J1022" i="2"/>
  <c r="I1022" i="2"/>
  <c r="H1022" i="2"/>
  <c r="G1022" i="2"/>
  <c r="F1022" i="2"/>
  <c r="K1021" i="2"/>
  <c r="J1021" i="2"/>
  <c r="I1021" i="2"/>
  <c r="H1021" i="2"/>
  <c r="G1021" i="2"/>
  <c r="F1021" i="2"/>
  <c r="K1020" i="2"/>
  <c r="J1020" i="2"/>
  <c r="I1020" i="2"/>
  <c r="H1020" i="2"/>
  <c r="G1020" i="2"/>
  <c r="F1020" i="2"/>
  <c r="K1019" i="2"/>
  <c r="J1019" i="2"/>
  <c r="I1019" i="2"/>
  <c r="H1019" i="2"/>
  <c r="G1019" i="2"/>
  <c r="F1019" i="2"/>
  <c r="K1018" i="2"/>
  <c r="J1018" i="2"/>
  <c r="I1018" i="2"/>
  <c r="H1018" i="2"/>
  <c r="G1018" i="2"/>
  <c r="F1018" i="2"/>
  <c r="K1017" i="2"/>
  <c r="J1017" i="2"/>
  <c r="I1017" i="2"/>
  <c r="H1017" i="2"/>
  <c r="G1017" i="2"/>
  <c r="F1017" i="2"/>
  <c r="K1016" i="2"/>
  <c r="J1016" i="2"/>
  <c r="I1016" i="2"/>
  <c r="H1016" i="2"/>
  <c r="G1016" i="2"/>
  <c r="F1016" i="2"/>
  <c r="K1015" i="2"/>
  <c r="J1015" i="2"/>
  <c r="I1015" i="2"/>
  <c r="H1015" i="2"/>
  <c r="G1015" i="2"/>
  <c r="F1015" i="2"/>
  <c r="K1014" i="2"/>
  <c r="J1014" i="2"/>
  <c r="I1014" i="2"/>
  <c r="H1014" i="2"/>
  <c r="G1014" i="2"/>
  <c r="F1014" i="2"/>
  <c r="K1013" i="2"/>
  <c r="J1013" i="2"/>
  <c r="I1013" i="2"/>
  <c r="H1013" i="2"/>
  <c r="G1013" i="2"/>
  <c r="F1013" i="2"/>
  <c r="K1012" i="2"/>
  <c r="J1012" i="2"/>
  <c r="I1012" i="2"/>
  <c r="H1012" i="2"/>
  <c r="G1012" i="2"/>
  <c r="F1012" i="2"/>
  <c r="K1011" i="2"/>
  <c r="J1011" i="2"/>
  <c r="I1011" i="2"/>
  <c r="H1011" i="2"/>
  <c r="G1011" i="2"/>
  <c r="F1011" i="2"/>
  <c r="K1010" i="2"/>
  <c r="J1010" i="2"/>
  <c r="I1010" i="2"/>
  <c r="H1010" i="2"/>
  <c r="G1010" i="2"/>
  <c r="F1010" i="2"/>
  <c r="K1009" i="2"/>
  <c r="J1009" i="2"/>
  <c r="I1009" i="2"/>
  <c r="H1009" i="2"/>
  <c r="G1009" i="2"/>
  <c r="F1009" i="2"/>
  <c r="K1008" i="2"/>
  <c r="J1008" i="2"/>
  <c r="I1008" i="2"/>
  <c r="H1008" i="2"/>
  <c r="G1008" i="2"/>
  <c r="F1008" i="2"/>
  <c r="K1007" i="2"/>
  <c r="J1007" i="2"/>
  <c r="I1007" i="2"/>
  <c r="H1007" i="2"/>
  <c r="G1007" i="2"/>
  <c r="F1007" i="2"/>
  <c r="K1006" i="2"/>
  <c r="J1006" i="2"/>
  <c r="I1006" i="2"/>
  <c r="H1006" i="2"/>
  <c r="G1006" i="2"/>
  <c r="F1006" i="2"/>
  <c r="K1005" i="2"/>
  <c r="J1005" i="2"/>
  <c r="I1005" i="2"/>
  <c r="H1005" i="2"/>
  <c r="G1005" i="2"/>
  <c r="F1005" i="2"/>
  <c r="K1004" i="2"/>
  <c r="J1004" i="2"/>
  <c r="I1004" i="2"/>
  <c r="H1004" i="2"/>
  <c r="G1004" i="2"/>
  <c r="F1004" i="2"/>
  <c r="K1003" i="2"/>
  <c r="J1003" i="2"/>
  <c r="I1003" i="2"/>
  <c r="H1003" i="2"/>
  <c r="G1003" i="2"/>
  <c r="F1003" i="2"/>
  <c r="K1002" i="2"/>
  <c r="J1002" i="2"/>
  <c r="I1002" i="2"/>
  <c r="H1002" i="2"/>
  <c r="G1002" i="2"/>
  <c r="F1002" i="2"/>
  <c r="K1001" i="2"/>
  <c r="J1001" i="2"/>
  <c r="I1001" i="2"/>
  <c r="H1001" i="2"/>
  <c r="G1001" i="2"/>
  <c r="F1001" i="2"/>
  <c r="K1000" i="2"/>
  <c r="J1000" i="2"/>
  <c r="I1000" i="2"/>
  <c r="H1000" i="2"/>
  <c r="G1000" i="2"/>
  <c r="F1000" i="2"/>
  <c r="K999" i="2"/>
  <c r="J999" i="2"/>
  <c r="I999" i="2"/>
  <c r="H999" i="2"/>
  <c r="G999" i="2"/>
  <c r="F999" i="2"/>
  <c r="K998" i="2"/>
  <c r="J998" i="2"/>
  <c r="I998" i="2"/>
  <c r="H998" i="2"/>
  <c r="G998" i="2"/>
  <c r="F998" i="2"/>
  <c r="K997" i="2"/>
  <c r="J997" i="2"/>
  <c r="I997" i="2"/>
  <c r="H997" i="2"/>
  <c r="G997" i="2"/>
  <c r="F997" i="2"/>
  <c r="K996" i="2"/>
  <c r="J996" i="2"/>
  <c r="I996" i="2"/>
  <c r="H996" i="2"/>
  <c r="G996" i="2"/>
  <c r="F996" i="2"/>
  <c r="K995" i="2"/>
  <c r="J995" i="2"/>
  <c r="I995" i="2"/>
  <c r="H995" i="2"/>
  <c r="G995" i="2"/>
  <c r="F995" i="2"/>
  <c r="K994" i="2"/>
  <c r="J994" i="2"/>
  <c r="I994" i="2"/>
  <c r="H994" i="2"/>
  <c r="G994" i="2"/>
  <c r="F994" i="2"/>
  <c r="K993" i="2"/>
  <c r="J993" i="2"/>
  <c r="I993" i="2"/>
  <c r="H993" i="2"/>
  <c r="G993" i="2"/>
  <c r="F993" i="2"/>
  <c r="K992" i="2"/>
  <c r="J992" i="2"/>
  <c r="I992" i="2"/>
  <c r="H992" i="2"/>
  <c r="G992" i="2"/>
  <c r="F992" i="2"/>
  <c r="K991" i="2"/>
  <c r="J991" i="2"/>
  <c r="I991" i="2"/>
  <c r="H991" i="2"/>
  <c r="G991" i="2"/>
  <c r="F991" i="2"/>
  <c r="K990" i="2"/>
  <c r="J990" i="2"/>
  <c r="I990" i="2"/>
  <c r="H990" i="2"/>
  <c r="G990" i="2"/>
  <c r="F990" i="2"/>
  <c r="K989" i="2"/>
  <c r="J989" i="2"/>
  <c r="I989" i="2"/>
  <c r="H989" i="2"/>
  <c r="G989" i="2"/>
  <c r="F989" i="2"/>
  <c r="K988" i="2"/>
  <c r="J988" i="2"/>
  <c r="I988" i="2"/>
  <c r="H988" i="2"/>
  <c r="G988" i="2"/>
  <c r="F988" i="2"/>
  <c r="K987" i="2"/>
  <c r="J987" i="2"/>
  <c r="I987" i="2"/>
  <c r="H987" i="2"/>
  <c r="G987" i="2"/>
  <c r="F987" i="2"/>
  <c r="K986" i="2"/>
  <c r="J986" i="2"/>
  <c r="I986" i="2"/>
  <c r="H986" i="2"/>
  <c r="G986" i="2"/>
  <c r="F986" i="2"/>
  <c r="K985" i="2"/>
  <c r="J985" i="2"/>
  <c r="I985" i="2"/>
  <c r="H985" i="2"/>
  <c r="G985" i="2"/>
  <c r="F985" i="2"/>
  <c r="K984" i="2"/>
  <c r="J984" i="2"/>
  <c r="I984" i="2"/>
  <c r="H984" i="2"/>
  <c r="G984" i="2"/>
  <c r="F984" i="2"/>
  <c r="K983" i="2"/>
  <c r="J983" i="2"/>
  <c r="I983" i="2"/>
  <c r="H983" i="2"/>
  <c r="G983" i="2"/>
  <c r="F983" i="2"/>
  <c r="K982" i="2"/>
  <c r="J982" i="2"/>
  <c r="I982" i="2"/>
  <c r="H982" i="2"/>
  <c r="G982" i="2"/>
  <c r="F982" i="2"/>
  <c r="K981" i="2"/>
  <c r="J981" i="2"/>
  <c r="I981" i="2"/>
  <c r="H981" i="2"/>
  <c r="G981" i="2"/>
  <c r="F981" i="2"/>
  <c r="K980" i="2"/>
  <c r="J980" i="2"/>
  <c r="I980" i="2"/>
  <c r="H980" i="2"/>
  <c r="G980" i="2"/>
  <c r="F980" i="2"/>
  <c r="K979" i="2"/>
  <c r="J979" i="2"/>
  <c r="I979" i="2"/>
  <c r="H979" i="2"/>
  <c r="G979" i="2"/>
  <c r="F979" i="2"/>
  <c r="K978" i="2"/>
  <c r="J978" i="2"/>
  <c r="I978" i="2"/>
  <c r="H978" i="2"/>
  <c r="G978" i="2"/>
  <c r="F978" i="2"/>
  <c r="K977" i="2"/>
  <c r="J977" i="2"/>
  <c r="I977" i="2"/>
  <c r="H977" i="2"/>
  <c r="G977" i="2"/>
  <c r="F977" i="2"/>
  <c r="K976" i="2"/>
  <c r="J976" i="2"/>
  <c r="I976" i="2"/>
  <c r="H976" i="2"/>
  <c r="G976" i="2"/>
  <c r="F976" i="2"/>
  <c r="K975" i="2"/>
  <c r="J975" i="2"/>
  <c r="I975" i="2"/>
  <c r="H975" i="2"/>
  <c r="G975" i="2"/>
  <c r="F975" i="2"/>
  <c r="K974" i="2"/>
  <c r="J974" i="2"/>
  <c r="I974" i="2"/>
  <c r="H974" i="2"/>
  <c r="G974" i="2"/>
  <c r="F974" i="2"/>
  <c r="K973" i="2"/>
  <c r="J973" i="2"/>
  <c r="I973" i="2"/>
  <c r="H973" i="2"/>
  <c r="G973" i="2"/>
  <c r="F973" i="2"/>
  <c r="K972" i="2"/>
  <c r="J972" i="2"/>
  <c r="I972" i="2"/>
  <c r="H972" i="2"/>
  <c r="G972" i="2"/>
  <c r="F972" i="2"/>
  <c r="K971" i="2"/>
  <c r="J971" i="2"/>
  <c r="I971" i="2"/>
  <c r="H971" i="2"/>
  <c r="G971" i="2"/>
  <c r="F971" i="2"/>
  <c r="K970" i="2"/>
  <c r="J970" i="2"/>
  <c r="I970" i="2"/>
  <c r="H970" i="2"/>
  <c r="G970" i="2"/>
  <c r="F970" i="2"/>
  <c r="K969" i="2"/>
  <c r="J969" i="2"/>
  <c r="I969" i="2"/>
  <c r="H969" i="2"/>
  <c r="G969" i="2"/>
  <c r="F969" i="2"/>
  <c r="K968" i="2"/>
  <c r="J968" i="2"/>
  <c r="I968" i="2"/>
  <c r="H968" i="2"/>
  <c r="G968" i="2"/>
  <c r="F968" i="2"/>
  <c r="K967" i="2"/>
  <c r="J967" i="2"/>
  <c r="I967" i="2"/>
  <c r="H967" i="2"/>
  <c r="G967" i="2"/>
  <c r="F967" i="2"/>
  <c r="K966" i="2"/>
  <c r="J966" i="2"/>
  <c r="I966" i="2"/>
  <c r="H966" i="2"/>
  <c r="G966" i="2"/>
  <c r="F966" i="2"/>
  <c r="K965" i="2"/>
  <c r="J965" i="2"/>
  <c r="I965" i="2"/>
  <c r="H965" i="2"/>
  <c r="G965" i="2"/>
  <c r="F965" i="2"/>
  <c r="K964" i="2"/>
  <c r="J964" i="2"/>
  <c r="I964" i="2"/>
  <c r="H964" i="2"/>
  <c r="G964" i="2"/>
  <c r="F964" i="2"/>
  <c r="K963" i="2"/>
  <c r="J963" i="2"/>
  <c r="I963" i="2"/>
  <c r="H963" i="2"/>
  <c r="G963" i="2"/>
  <c r="F963" i="2"/>
  <c r="K962" i="2"/>
  <c r="J962" i="2"/>
  <c r="I962" i="2"/>
  <c r="H962" i="2"/>
  <c r="G962" i="2"/>
  <c r="F962" i="2"/>
  <c r="K961" i="2"/>
  <c r="J961" i="2"/>
  <c r="I961" i="2"/>
  <c r="H961" i="2"/>
  <c r="G961" i="2"/>
  <c r="F961" i="2"/>
  <c r="K960" i="2"/>
  <c r="J960" i="2"/>
  <c r="I960" i="2"/>
  <c r="H960" i="2"/>
  <c r="G960" i="2"/>
  <c r="F960" i="2"/>
  <c r="K959" i="2"/>
  <c r="J959" i="2"/>
  <c r="I959" i="2"/>
  <c r="H959" i="2"/>
  <c r="G959" i="2"/>
  <c r="F959" i="2"/>
  <c r="K958" i="2"/>
  <c r="J958" i="2"/>
  <c r="I958" i="2"/>
  <c r="H958" i="2"/>
  <c r="G958" i="2"/>
  <c r="F958" i="2"/>
  <c r="K957" i="2"/>
  <c r="J957" i="2"/>
  <c r="I957" i="2"/>
  <c r="H957" i="2"/>
  <c r="G957" i="2"/>
  <c r="F957" i="2"/>
  <c r="K956" i="2"/>
  <c r="J956" i="2"/>
  <c r="I956" i="2"/>
  <c r="H956" i="2"/>
  <c r="G956" i="2"/>
  <c r="F956" i="2"/>
  <c r="K955" i="2"/>
  <c r="J955" i="2"/>
  <c r="I955" i="2"/>
  <c r="H955" i="2"/>
  <c r="G955" i="2"/>
  <c r="F955" i="2"/>
  <c r="K954" i="2"/>
  <c r="J954" i="2"/>
  <c r="I954" i="2"/>
  <c r="H954" i="2"/>
  <c r="G954" i="2"/>
  <c r="F954" i="2"/>
  <c r="K953" i="2"/>
  <c r="J953" i="2"/>
  <c r="I953" i="2"/>
  <c r="H953" i="2"/>
  <c r="G953" i="2"/>
  <c r="F953" i="2"/>
  <c r="K952" i="2"/>
  <c r="J952" i="2"/>
  <c r="I952" i="2"/>
  <c r="H952" i="2"/>
  <c r="G952" i="2"/>
  <c r="F952" i="2"/>
  <c r="K951" i="2"/>
  <c r="J951" i="2"/>
  <c r="I951" i="2"/>
  <c r="H951" i="2"/>
  <c r="G951" i="2"/>
  <c r="F951" i="2"/>
  <c r="K950" i="2"/>
  <c r="J950" i="2"/>
  <c r="I950" i="2"/>
  <c r="H950" i="2"/>
  <c r="G950" i="2"/>
  <c r="F950" i="2"/>
  <c r="K949" i="2"/>
  <c r="J949" i="2"/>
  <c r="I949" i="2"/>
  <c r="H949" i="2"/>
  <c r="G949" i="2"/>
  <c r="F949" i="2"/>
  <c r="K948" i="2"/>
  <c r="J948" i="2"/>
  <c r="I948" i="2"/>
  <c r="H948" i="2"/>
  <c r="G948" i="2"/>
  <c r="F948" i="2"/>
  <c r="K947" i="2"/>
  <c r="J947" i="2"/>
  <c r="I947" i="2"/>
  <c r="H947" i="2"/>
  <c r="G947" i="2"/>
  <c r="F947" i="2"/>
  <c r="K946" i="2"/>
  <c r="J946" i="2"/>
  <c r="I946" i="2"/>
  <c r="H946" i="2"/>
  <c r="G946" i="2"/>
  <c r="F946" i="2"/>
  <c r="K945" i="2"/>
  <c r="J945" i="2"/>
  <c r="I945" i="2"/>
  <c r="H945" i="2"/>
  <c r="G945" i="2"/>
  <c r="F945" i="2"/>
  <c r="K944" i="2"/>
  <c r="J944" i="2"/>
  <c r="I944" i="2"/>
  <c r="H944" i="2"/>
  <c r="G944" i="2"/>
  <c r="F944" i="2"/>
  <c r="K943" i="2"/>
  <c r="J943" i="2"/>
  <c r="I943" i="2"/>
  <c r="H943" i="2"/>
  <c r="G943" i="2"/>
  <c r="F943" i="2"/>
  <c r="K942" i="2"/>
  <c r="J942" i="2"/>
  <c r="I942" i="2"/>
  <c r="H942" i="2"/>
  <c r="G942" i="2"/>
  <c r="F942" i="2"/>
  <c r="K941" i="2"/>
  <c r="J941" i="2"/>
  <c r="I941" i="2"/>
  <c r="H941" i="2"/>
  <c r="G941" i="2"/>
  <c r="F941" i="2"/>
  <c r="K940" i="2"/>
  <c r="J940" i="2"/>
  <c r="I940" i="2"/>
  <c r="H940" i="2"/>
  <c r="G940" i="2"/>
  <c r="F940" i="2"/>
  <c r="K939" i="2"/>
  <c r="J939" i="2"/>
  <c r="I939" i="2"/>
  <c r="H939" i="2"/>
  <c r="G939" i="2"/>
  <c r="F939" i="2"/>
  <c r="K938" i="2"/>
  <c r="J938" i="2"/>
  <c r="I938" i="2"/>
  <c r="H938" i="2"/>
  <c r="G938" i="2"/>
  <c r="F938" i="2"/>
  <c r="K937" i="2"/>
  <c r="J937" i="2"/>
  <c r="I937" i="2"/>
  <c r="H937" i="2"/>
  <c r="G937" i="2"/>
  <c r="F937" i="2"/>
  <c r="K936" i="2"/>
  <c r="J936" i="2"/>
  <c r="I936" i="2"/>
  <c r="H936" i="2"/>
  <c r="G936" i="2"/>
  <c r="F936" i="2"/>
  <c r="K935" i="2"/>
  <c r="J935" i="2"/>
  <c r="I935" i="2"/>
  <c r="H935" i="2"/>
  <c r="G935" i="2"/>
  <c r="F935" i="2"/>
  <c r="K934" i="2"/>
  <c r="J934" i="2"/>
  <c r="I934" i="2"/>
  <c r="H934" i="2"/>
  <c r="G934" i="2"/>
  <c r="F934" i="2"/>
  <c r="K933" i="2"/>
  <c r="J933" i="2"/>
  <c r="I933" i="2"/>
  <c r="H933" i="2"/>
  <c r="G933" i="2"/>
  <c r="F933" i="2"/>
  <c r="K932" i="2"/>
  <c r="J932" i="2"/>
  <c r="I932" i="2"/>
  <c r="H932" i="2"/>
  <c r="G932" i="2"/>
  <c r="F932" i="2"/>
  <c r="K931" i="2"/>
  <c r="J931" i="2"/>
  <c r="I931" i="2"/>
  <c r="H931" i="2"/>
  <c r="G931" i="2"/>
  <c r="F931" i="2"/>
  <c r="K930" i="2"/>
  <c r="J930" i="2"/>
  <c r="I930" i="2"/>
  <c r="H930" i="2"/>
  <c r="G930" i="2"/>
  <c r="F930" i="2"/>
  <c r="K929" i="2"/>
  <c r="J929" i="2"/>
  <c r="I929" i="2"/>
  <c r="H929" i="2"/>
  <c r="G929" i="2"/>
  <c r="F929" i="2"/>
  <c r="K928" i="2"/>
  <c r="J928" i="2"/>
  <c r="I928" i="2"/>
  <c r="H928" i="2"/>
  <c r="G928" i="2"/>
  <c r="F928" i="2"/>
  <c r="K927" i="2"/>
  <c r="J927" i="2"/>
  <c r="I927" i="2"/>
  <c r="H927" i="2"/>
  <c r="G927" i="2"/>
  <c r="F927" i="2"/>
  <c r="K926" i="2"/>
  <c r="J926" i="2"/>
  <c r="I926" i="2"/>
  <c r="H926" i="2"/>
  <c r="G926" i="2"/>
  <c r="F926" i="2"/>
  <c r="K925" i="2"/>
  <c r="J925" i="2"/>
  <c r="I925" i="2"/>
  <c r="H925" i="2"/>
  <c r="G925" i="2"/>
  <c r="F925" i="2"/>
  <c r="K924" i="2"/>
  <c r="J924" i="2"/>
  <c r="I924" i="2"/>
  <c r="H924" i="2"/>
  <c r="G924" i="2"/>
  <c r="F924" i="2"/>
  <c r="K923" i="2"/>
  <c r="J923" i="2"/>
  <c r="I923" i="2"/>
  <c r="H923" i="2"/>
  <c r="G923" i="2"/>
  <c r="F923" i="2"/>
  <c r="K922" i="2"/>
  <c r="J922" i="2"/>
  <c r="I922" i="2"/>
  <c r="H922" i="2"/>
  <c r="G922" i="2"/>
  <c r="F922" i="2"/>
  <c r="K921" i="2"/>
  <c r="J921" i="2"/>
  <c r="I921" i="2"/>
  <c r="H921" i="2"/>
  <c r="G921" i="2"/>
  <c r="F921" i="2"/>
  <c r="K920" i="2"/>
  <c r="J920" i="2"/>
  <c r="I920" i="2"/>
  <c r="H920" i="2"/>
  <c r="G920" i="2"/>
  <c r="F920" i="2"/>
  <c r="K919" i="2"/>
  <c r="J919" i="2"/>
  <c r="I919" i="2"/>
  <c r="H919" i="2"/>
  <c r="G919" i="2"/>
  <c r="F919" i="2"/>
  <c r="K918" i="2"/>
  <c r="J918" i="2"/>
  <c r="I918" i="2"/>
  <c r="H918" i="2"/>
  <c r="G918" i="2"/>
  <c r="F918" i="2"/>
  <c r="K917" i="2"/>
  <c r="J917" i="2"/>
  <c r="I917" i="2"/>
  <c r="H917" i="2"/>
  <c r="G917" i="2"/>
  <c r="F917" i="2"/>
  <c r="K916" i="2"/>
  <c r="J916" i="2"/>
  <c r="I916" i="2"/>
  <c r="H916" i="2"/>
  <c r="G916" i="2"/>
  <c r="F916" i="2"/>
  <c r="K915" i="2"/>
  <c r="J915" i="2"/>
  <c r="I915" i="2"/>
  <c r="H915" i="2"/>
  <c r="G915" i="2"/>
  <c r="F915" i="2"/>
  <c r="K914" i="2"/>
  <c r="J914" i="2"/>
  <c r="I914" i="2"/>
  <c r="H914" i="2"/>
  <c r="G914" i="2"/>
  <c r="F914" i="2"/>
  <c r="K913" i="2"/>
  <c r="J913" i="2"/>
  <c r="I913" i="2"/>
  <c r="H913" i="2"/>
  <c r="G913" i="2"/>
  <c r="F913" i="2"/>
  <c r="K912" i="2"/>
  <c r="J912" i="2"/>
  <c r="I912" i="2"/>
  <c r="H912" i="2"/>
  <c r="G912" i="2"/>
  <c r="F912" i="2"/>
  <c r="K911" i="2"/>
  <c r="J911" i="2"/>
  <c r="I911" i="2"/>
  <c r="H911" i="2"/>
  <c r="G911" i="2"/>
  <c r="F911" i="2"/>
  <c r="K910" i="2"/>
  <c r="J910" i="2"/>
  <c r="I910" i="2"/>
  <c r="H910" i="2"/>
  <c r="G910" i="2"/>
  <c r="F910" i="2"/>
  <c r="K909" i="2"/>
  <c r="J909" i="2"/>
  <c r="I909" i="2"/>
  <c r="H909" i="2"/>
  <c r="G909" i="2"/>
  <c r="F909" i="2"/>
  <c r="K908" i="2"/>
  <c r="J908" i="2"/>
  <c r="I908" i="2"/>
  <c r="H908" i="2"/>
  <c r="G908" i="2"/>
  <c r="F908" i="2"/>
  <c r="K907" i="2"/>
  <c r="J907" i="2"/>
  <c r="I907" i="2"/>
  <c r="H907" i="2"/>
  <c r="G907" i="2"/>
  <c r="F907" i="2"/>
  <c r="K906" i="2"/>
  <c r="J906" i="2"/>
  <c r="I906" i="2"/>
  <c r="H906" i="2"/>
  <c r="G906" i="2"/>
  <c r="F906" i="2"/>
  <c r="K905" i="2"/>
  <c r="J905" i="2"/>
  <c r="I905" i="2"/>
  <c r="H905" i="2"/>
  <c r="G905" i="2"/>
  <c r="F905" i="2"/>
  <c r="K904" i="2"/>
  <c r="J904" i="2"/>
  <c r="I904" i="2"/>
  <c r="H904" i="2"/>
  <c r="G904" i="2"/>
  <c r="F904" i="2"/>
  <c r="K903" i="2"/>
  <c r="J903" i="2"/>
  <c r="I903" i="2"/>
  <c r="H903" i="2"/>
  <c r="G903" i="2"/>
  <c r="F903" i="2"/>
  <c r="K902" i="2"/>
  <c r="J902" i="2"/>
  <c r="I902" i="2"/>
  <c r="H902" i="2"/>
  <c r="G902" i="2"/>
  <c r="F902" i="2"/>
  <c r="K901" i="2"/>
  <c r="J901" i="2"/>
  <c r="I901" i="2"/>
  <c r="H901" i="2"/>
  <c r="G901" i="2"/>
  <c r="F901" i="2"/>
  <c r="K900" i="2"/>
  <c r="J900" i="2"/>
  <c r="I900" i="2"/>
  <c r="H900" i="2"/>
  <c r="G900" i="2"/>
  <c r="F900" i="2"/>
  <c r="K899" i="2"/>
  <c r="J899" i="2"/>
  <c r="I899" i="2"/>
  <c r="H899" i="2"/>
  <c r="G899" i="2"/>
  <c r="F899" i="2"/>
  <c r="K898" i="2"/>
  <c r="J898" i="2"/>
  <c r="I898" i="2"/>
  <c r="H898" i="2"/>
  <c r="G898" i="2"/>
  <c r="F898" i="2"/>
  <c r="K897" i="2"/>
  <c r="J897" i="2"/>
  <c r="I897" i="2"/>
  <c r="H897" i="2"/>
  <c r="G897" i="2"/>
  <c r="F897" i="2"/>
  <c r="K896" i="2"/>
  <c r="J896" i="2"/>
  <c r="I896" i="2"/>
  <c r="H896" i="2"/>
  <c r="G896" i="2"/>
  <c r="F896" i="2"/>
  <c r="K895" i="2"/>
  <c r="J895" i="2"/>
  <c r="I895" i="2"/>
  <c r="H895" i="2"/>
  <c r="G895" i="2"/>
  <c r="F895" i="2"/>
  <c r="K894" i="2"/>
  <c r="J894" i="2"/>
  <c r="I894" i="2"/>
  <c r="H894" i="2"/>
  <c r="G894" i="2"/>
  <c r="F894" i="2"/>
  <c r="K893" i="2"/>
  <c r="J893" i="2"/>
  <c r="I893" i="2"/>
  <c r="H893" i="2"/>
  <c r="G893" i="2"/>
  <c r="F893" i="2"/>
  <c r="K892" i="2"/>
  <c r="J892" i="2"/>
  <c r="I892" i="2"/>
  <c r="H892" i="2"/>
  <c r="G892" i="2"/>
  <c r="F892" i="2"/>
  <c r="K891" i="2"/>
  <c r="J891" i="2"/>
  <c r="I891" i="2"/>
  <c r="H891" i="2"/>
  <c r="G891" i="2"/>
  <c r="F891" i="2"/>
  <c r="K890" i="2"/>
  <c r="J890" i="2"/>
  <c r="I890" i="2"/>
  <c r="H890" i="2"/>
  <c r="G890" i="2"/>
  <c r="F890" i="2"/>
  <c r="K889" i="2"/>
  <c r="J889" i="2"/>
  <c r="I889" i="2"/>
  <c r="H889" i="2"/>
  <c r="G889" i="2"/>
  <c r="F889" i="2"/>
  <c r="K888" i="2"/>
  <c r="J888" i="2"/>
  <c r="I888" i="2"/>
  <c r="H888" i="2"/>
  <c r="G888" i="2"/>
  <c r="F888" i="2"/>
  <c r="K887" i="2"/>
  <c r="J887" i="2"/>
  <c r="I887" i="2"/>
  <c r="H887" i="2"/>
  <c r="G887" i="2"/>
  <c r="F887" i="2"/>
  <c r="K886" i="2"/>
  <c r="J886" i="2"/>
  <c r="I886" i="2"/>
  <c r="H886" i="2"/>
  <c r="G886" i="2"/>
  <c r="F886" i="2"/>
  <c r="K885" i="2"/>
  <c r="J885" i="2"/>
  <c r="I885" i="2"/>
  <c r="H885" i="2"/>
  <c r="G885" i="2"/>
  <c r="F885" i="2"/>
  <c r="K884" i="2"/>
  <c r="J884" i="2"/>
  <c r="I884" i="2"/>
  <c r="H884" i="2"/>
  <c r="G884" i="2"/>
  <c r="F884" i="2"/>
  <c r="K883" i="2"/>
  <c r="J883" i="2"/>
  <c r="I883" i="2"/>
  <c r="H883" i="2"/>
  <c r="G883" i="2"/>
  <c r="F883" i="2"/>
  <c r="K882" i="2"/>
  <c r="J882" i="2"/>
  <c r="I882" i="2"/>
  <c r="H882" i="2"/>
  <c r="G882" i="2"/>
  <c r="F882" i="2"/>
  <c r="K881" i="2"/>
  <c r="J881" i="2"/>
  <c r="I881" i="2"/>
  <c r="H881" i="2"/>
  <c r="G881" i="2"/>
  <c r="F881" i="2"/>
  <c r="K880" i="2"/>
  <c r="J880" i="2"/>
  <c r="I880" i="2"/>
  <c r="H880" i="2"/>
  <c r="G880" i="2"/>
  <c r="F880" i="2"/>
  <c r="K879" i="2"/>
  <c r="J879" i="2"/>
  <c r="I879" i="2"/>
  <c r="H879" i="2"/>
  <c r="G879" i="2"/>
  <c r="F879" i="2"/>
  <c r="K878" i="2"/>
  <c r="J878" i="2"/>
  <c r="I878" i="2"/>
  <c r="H878" i="2"/>
  <c r="G878" i="2"/>
  <c r="F878" i="2"/>
  <c r="K877" i="2"/>
  <c r="J877" i="2"/>
  <c r="I877" i="2"/>
  <c r="H877" i="2"/>
  <c r="G877" i="2"/>
  <c r="F877" i="2"/>
  <c r="K876" i="2"/>
  <c r="J876" i="2"/>
  <c r="I876" i="2"/>
  <c r="H876" i="2"/>
  <c r="G876" i="2"/>
  <c r="F876" i="2"/>
  <c r="K875" i="2"/>
  <c r="J875" i="2"/>
  <c r="I875" i="2"/>
  <c r="H875" i="2"/>
  <c r="G875" i="2"/>
  <c r="F875" i="2"/>
  <c r="K874" i="2"/>
  <c r="J874" i="2"/>
  <c r="I874" i="2"/>
  <c r="H874" i="2"/>
  <c r="G874" i="2"/>
  <c r="F874" i="2"/>
  <c r="K873" i="2"/>
  <c r="J873" i="2"/>
  <c r="I873" i="2"/>
  <c r="H873" i="2"/>
  <c r="G873" i="2"/>
  <c r="F873" i="2"/>
  <c r="K872" i="2"/>
  <c r="J872" i="2"/>
  <c r="I872" i="2"/>
  <c r="H872" i="2"/>
  <c r="G872" i="2"/>
  <c r="F872" i="2"/>
  <c r="K871" i="2"/>
  <c r="J871" i="2"/>
  <c r="I871" i="2"/>
  <c r="H871" i="2"/>
  <c r="G871" i="2"/>
  <c r="F871" i="2"/>
  <c r="K870" i="2"/>
  <c r="J870" i="2"/>
  <c r="I870" i="2"/>
  <c r="H870" i="2"/>
  <c r="G870" i="2"/>
  <c r="F870" i="2"/>
  <c r="K869" i="2"/>
  <c r="J869" i="2"/>
  <c r="I869" i="2"/>
  <c r="H869" i="2"/>
  <c r="G869" i="2"/>
  <c r="F869" i="2"/>
  <c r="K868" i="2"/>
  <c r="J868" i="2"/>
  <c r="I868" i="2"/>
  <c r="H868" i="2"/>
  <c r="G868" i="2"/>
  <c r="F868" i="2"/>
  <c r="K867" i="2"/>
  <c r="J867" i="2"/>
  <c r="I867" i="2"/>
  <c r="H867" i="2"/>
  <c r="G867" i="2"/>
  <c r="F867" i="2"/>
  <c r="K866" i="2"/>
  <c r="J866" i="2"/>
  <c r="I866" i="2"/>
  <c r="H866" i="2"/>
  <c r="G866" i="2"/>
  <c r="F866" i="2"/>
  <c r="K865" i="2"/>
  <c r="J865" i="2"/>
  <c r="I865" i="2"/>
  <c r="H865" i="2"/>
  <c r="G865" i="2"/>
  <c r="F865" i="2"/>
  <c r="K864" i="2"/>
  <c r="J864" i="2"/>
  <c r="I864" i="2"/>
  <c r="H864" i="2"/>
  <c r="G864" i="2"/>
  <c r="F864" i="2"/>
  <c r="K863" i="2"/>
  <c r="J863" i="2"/>
  <c r="I863" i="2"/>
  <c r="H863" i="2"/>
  <c r="G863" i="2"/>
  <c r="F863" i="2"/>
  <c r="K862" i="2"/>
  <c r="J862" i="2"/>
  <c r="I862" i="2"/>
  <c r="H862" i="2"/>
  <c r="G862" i="2"/>
  <c r="F862" i="2"/>
  <c r="K861" i="2"/>
  <c r="J861" i="2"/>
  <c r="I861" i="2"/>
  <c r="H861" i="2"/>
  <c r="G861" i="2"/>
  <c r="F861" i="2"/>
  <c r="K860" i="2"/>
  <c r="J860" i="2"/>
  <c r="I860" i="2"/>
  <c r="H860" i="2"/>
  <c r="G860" i="2"/>
  <c r="F860" i="2"/>
  <c r="K859" i="2"/>
  <c r="J859" i="2"/>
  <c r="I859" i="2"/>
  <c r="H859" i="2"/>
  <c r="G859" i="2"/>
  <c r="F859" i="2"/>
  <c r="K858" i="2"/>
  <c r="J858" i="2"/>
  <c r="I858" i="2"/>
  <c r="H858" i="2"/>
  <c r="G858" i="2"/>
  <c r="F858" i="2"/>
  <c r="K857" i="2"/>
  <c r="J857" i="2"/>
  <c r="I857" i="2"/>
  <c r="H857" i="2"/>
  <c r="G857" i="2"/>
  <c r="F857" i="2"/>
  <c r="K856" i="2"/>
  <c r="J856" i="2"/>
  <c r="I856" i="2"/>
  <c r="H856" i="2"/>
  <c r="G856" i="2"/>
  <c r="F856" i="2"/>
  <c r="K855" i="2"/>
  <c r="J855" i="2"/>
  <c r="I855" i="2"/>
  <c r="H855" i="2"/>
  <c r="G855" i="2"/>
  <c r="F855" i="2"/>
  <c r="K854" i="2"/>
  <c r="J854" i="2"/>
  <c r="I854" i="2"/>
  <c r="H854" i="2"/>
  <c r="G854" i="2"/>
  <c r="F854" i="2"/>
  <c r="K853" i="2"/>
  <c r="J853" i="2"/>
  <c r="I853" i="2"/>
  <c r="H853" i="2"/>
  <c r="G853" i="2"/>
  <c r="F853" i="2"/>
  <c r="K852" i="2"/>
  <c r="J852" i="2"/>
  <c r="I852" i="2"/>
  <c r="H852" i="2"/>
  <c r="G852" i="2"/>
  <c r="F852" i="2"/>
  <c r="K851" i="2"/>
  <c r="J851" i="2"/>
  <c r="I851" i="2"/>
  <c r="H851" i="2"/>
  <c r="G851" i="2"/>
  <c r="F851" i="2"/>
  <c r="K850" i="2"/>
  <c r="J850" i="2"/>
  <c r="I850" i="2"/>
  <c r="H850" i="2"/>
  <c r="G850" i="2"/>
  <c r="F850" i="2"/>
  <c r="K849" i="2"/>
  <c r="J849" i="2"/>
  <c r="I849" i="2"/>
  <c r="H849" i="2"/>
  <c r="G849" i="2"/>
  <c r="F849" i="2"/>
  <c r="K848" i="2"/>
  <c r="J848" i="2"/>
  <c r="I848" i="2"/>
  <c r="H848" i="2"/>
  <c r="G848" i="2"/>
  <c r="F848" i="2"/>
  <c r="K847" i="2"/>
  <c r="J847" i="2"/>
  <c r="I847" i="2"/>
  <c r="H847" i="2"/>
  <c r="G847" i="2"/>
  <c r="F847" i="2"/>
  <c r="K846" i="2"/>
  <c r="J846" i="2"/>
  <c r="I846" i="2"/>
  <c r="H846" i="2"/>
  <c r="G846" i="2"/>
  <c r="F846" i="2"/>
  <c r="K845" i="2"/>
  <c r="J845" i="2"/>
  <c r="I845" i="2"/>
  <c r="H845" i="2"/>
  <c r="G845" i="2"/>
  <c r="F845" i="2"/>
  <c r="K844" i="2"/>
  <c r="J844" i="2"/>
  <c r="I844" i="2"/>
  <c r="H844" i="2"/>
  <c r="G844" i="2"/>
  <c r="F844" i="2"/>
  <c r="K843" i="2"/>
  <c r="J843" i="2"/>
  <c r="I843" i="2"/>
  <c r="H843" i="2"/>
  <c r="G843" i="2"/>
  <c r="F843" i="2"/>
  <c r="K842" i="2"/>
  <c r="J842" i="2"/>
  <c r="I842" i="2"/>
  <c r="H842" i="2"/>
  <c r="G842" i="2"/>
  <c r="F842" i="2"/>
  <c r="K841" i="2"/>
  <c r="J841" i="2"/>
  <c r="I841" i="2"/>
  <c r="H841" i="2"/>
  <c r="G841" i="2"/>
  <c r="F841" i="2"/>
  <c r="K840" i="2"/>
  <c r="J840" i="2"/>
  <c r="I840" i="2"/>
  <c r="H840" i="2"/>
  <c r="G840" i="2"/>
  <c r="F840" i="2"/>
  <c r="K839" i="2"/>
  <c r="J839" i="2"/>
  <c r="I839" i="2"/>
  <c r="H839" i="2"/>
  <c r="G839" i="2"/>
  <c r="F839" i="2"/>
  <c r="K838" i="2"/>
  <c r="J838" i="2"/>
  <c r="I838" i="2"/>
  <c r="H838" i="2"/>
  <c r="G838" i="2"/>
  <c r="F838" i="2"/>
  <c r="K837" i="2"/>
  <c r="J837" i="2"/>
  <c r="I837" i="2"/>
  <c r="H837" i="2"/>
  <c r="G837" i="2"/>
  <c r="F837" i="2"/>
  <c r="K836" i="2"/>
  <c r="J836" i="2"/>
  <c r="I836" i="2"/>
  <c r="H836" i="2"/>
  <c r="G836" i="2"/>
  <c r="F836" i="2"/>
  <c r="K835" i="2"/>
  <c r="J835" i="2"/>
  <c r="I835" i="2"/>
  <c r="H835" i="2"/>
  <c r="G835" i="2"/>
  <c r="F835" i="2"/>
  <c r="K834" i="2"/>
  <c r="J834" i="2"/>
  <c r="I834" i="2"/>
  <c r="H834" i="2"/>
  <c r="G834" i="2"/>
  <c r="F834" i="2"/>
  <c r="K833" i="2"/>
  <c r="J833" i="2"/>
  <c r="I833" i="2"/>
  <c r="H833" i="2"/>
  <c r="G833" i="2"/>
  <c r="F833" i="2"/>
  <c r="K832" i="2"/>
  <c r="J832" i="2"/>
  <c r="I832" i="2"/>
  <c r="H832" i="2"/>
  <c r="G832" i="2"/>
  <c r="F832" i="2"/>
  <c r="K831" i="2"/>
  <c r="J831" i="2"/>
  <c r="I831" i="2"/>
  <c r="H831" i="2"/>
  <c r="G831" i="2"/>
  <c r="F831" i="2"/>
  <c r="K830" i="2"/>
  <c r="J830" i="2"/>
  <c r="I830" i="2"/>
  <c r="H830" i="2"/>
  <c r="G830" i="2"/>
  <c r="F830" i="2"/>
  <c r="K829" i="2"/>
  <c r="J829" i="2"/>
  <c r="I829" i="2"/>
  <c r="H829" i="2"/>
  <c r="G829" i="2"/>
  <c r="F829" i="2"/>
  <c r="K828" i="2"/>
  <c r="J828" i="2"/>
  <c r="I828" i="2"/>
  <c r="H828" i="2"/>
  <c r="G828" i="2"/>
  <c r="F828" i="2"/>
  <c r="K827" i="2"/>
  <c r="J827" i="2"/>
  <c r="I827" i="2"/>
  <c r="H827" i="2"/>
  <c r="G827" i="2"/>
  <c r="F827" i="2"/>
  <c r="K826" i="2"/>
  <c r="J826" i="2"/>
  <c r="I826" i="2"/>
  <c r="H826" i="2"/>
  <c r="G826" i="2"/>
  <c r="F826" i="2"/>
  <c r="K825" i="2"/>
  <c r="J825" i="2"/>
  <c r="I825" i="2"/>
  <c r="H825" i="2"/>
  <c r="G825" i="2"/>
  <c r="F825" i="2"/>
  <c r="K824" i="2"/>
  <c r="J824" i="2"/>
  <c r="I824" i="2"/>
  <c r="H824" i="2"/>
  <c r="G824" i="2"/>
  <c r="F824" i="2"/>
  <c r="K823" i="2"/>
  <c r="J823" i="2"/>
  <c r="I823" i="2"/>
  <c r="H823" i="2"/>
  <c r="G823" i="2"/>
  <c r="F823" i="2"/>
  <c r="K822" i="2"/>
  <c r="J822" i="2"/>
  <c r="I822" i="2"/>
  <c r="H822" i="2"/>
  <c r="G822" i="2"/>
  <c r="F822" i="2"/>
  <c r="K821" i="2"/>
  <c r="J821" i="2"/>
  <c r="I821" i="2"/>
  <c r="H821" i="2"/>
  <c r="G821" i="2"/>
  <c r="F821" i="2"/>
  <c r="K820" i="2"/>
  <c r="J820" i="2"/>
  <c r="I820" i="2"/>
  <c r="H820" i="2"/>
  <c r="G820" i="2"/>
  <c r="F820" i="2"/>
  <c r="K819" i="2"/>
  <c r="J819" i="2"/>
  <c r="I819" i="2"/>
  <c r="H819" i="2"/>
  <c r="G819" i="2"/>
  <c r="F819" i="2"/>
  <c r="K818" i="2"/>
  <c r="J818" i="2"/>
  <c r="I818" i="2"/>
  <c r="H818" i="2"/>
  <c r="G818" i="2"/>
  <c r="F818" i="2"/>
  <c r="K817" i="2"/>
  <c r="J817" i="2"/>
  <c r="I817" i="2"/>
  <c r="H817" i="2"/>
  <c r="G817" i="2"/>
  <c r="F817" i="2"/>
  <c r="K816" i="2"/>
  <c r="J816" i="2"/>
  <c r="I816" i="2"/>
  <c r="H816" i="2"/>
  <c r="G816" i="2"/>
  <c r="F816" i="2"/>
  <c r="K815" i="2"/>
  <c r="J815" i="2"/>
  <c r="I815" i="2"/>
  <c r="H815" i="2"/>
  <c r="G815" i="2"/>
  <c r="F815" i="2"/>
  <c r="K814" i="2"/>
  <c r="J814" i="2"/>
  <c r="I814" i="2"/>
  <c r="H814" i="2"/>
  <c r="G814" i="2"/>
  <c r="F814" i="2"/>
  <c r="K813" i="2"/>
  <c r="J813" i="2"/>
  <c r="I813" i="2"/>
  <c r="H813" i="2"/>
  <c r="G813" i="2"/>
  <c r="F813" i="2"/>
  <c r="K812" i="2"/>
  <c r="J812" i="2"/>
  <c r="I812" i="2"/>
  <c r="H812" i="2"/>
  <c r="G812" i="2"/>
  <c r="F812" i="2"/>
  <c r="K811" i="2"/>
  <c r="J811" i="2"/>
  <c r="I811" i="2"/>
  <c r="H811" i="2"/>
  <c r="G811" i="2"/>
  <c r="F811" i="2"/>
  <c r="K810" i="2"/>
  <c r="J810" i="2"/>
  <c r="I810" i="2"/>
  <c r="H810" i="2"/>
  <c r="G810" i="2"/>
  <c r="F810" i="2"/>
  <c r="K809" i="2"/>
  <c r="J809" i="2"/>
  <c r="I809" i="2"/>
  <c r="H809" i="2"/>
  <c r="G809" i="2"/>
  <c r="F809" i="2"/>
  <c r="K808" i="2"/>
  <c r="J808" i="2"/>
  <c r="I808" i="2"/>
  <c r="H808" i="2"/>
  <c r="G808" i="2"/>
  <c r="F808" i="2"/>
  <c r="K807" i="2"/>
  <c r="J807" i="2"/>
  <c r="I807" i="2"/>
  <c r="H807" i="2"/>
  <c r="G807" i="2"/>
  <c r="F807" i="2"/>
  <c r="K806" i="2"/>
  <c r="J806" i="2"/>
  <c r="I806" i="2"/>
  <c r="H806" i="2"/>
  <c r="G806" i="2"/>
  <c r="F806" i="2"/>
  <c r="K805" i="2"/>
  <c r="J805" i="2"/>
  <c r="I805" i="2"/>
  <c r="H805" i="2"/>
  <c r="G805" i="2"/>
  <c r="F805" i="2"/>
  <c r="K804" i="2"/>
  <c r="J804" i="2"/>
  <c r="I804" i="2"/>
  <c r="H804" i="2"/>
  <c r="G804" i="2"/>
  <c r="F804" i="2"/>
  <c r="K803" i="2"/>
  <c r="J803" i="2"/>
  <c r="I803" i="2"/>
  <c r="H803" i="2"/>
  <c r="G803" i="2"/>
  <c r="F803" i="2"/>
  <c r="K802" i="2"/>
  <c r="J802" i="2"/>
  <c r="I802" i="2"/>
  <c r="H802" i="2"/>
  <c r="G802" i="2"/>
  <c r="F802" i="2"/>
  <c r="K801" i="2"/>
  <c r="J801" i="2"/>
  <c r="I801" i="2"/>
  <c r="H801" i="2"/>
  <c r="G801" i="2"/>
  <c r="F801" i="2"/>
  <c r="K800" i="2"/>
  <c r="J800" i="2"/>
  <c r="I800" i="2"/>
  <c r="H800" i="2"/>
  <c r="G800" i="2"/>
  <c r="F800" i="2"/>
  <c r="K799" i="2"/>
  <c r="J799" i="2"/>
  <c r="I799" i="2"/>
  <c r="H799" i="2"/>
  <c r="G799" i="2"/>
  <c r="F799" i="2"/>
  <c r="K798" i="2"/>
  <c r="J798" i="2"/>
  <c r="I798" i="2"/>
  <c r="H798" i="2"/>
  <c r="G798" i="2"/>
  <c r="F798" i="2"/>
  <c r="K797" i="2"/>
  <c r="J797" i="2"/>
  <c r="I797" i="2"/>
  <c r="H797" i="2"/>
  <c r="G797" i="2"/>
  <c r="F797" i="2"/>
  <c r="K796" i="2"/>
  <c r="J796" i="2"/>
  <c r="I796" i="2"/>
  <c r="H796" i="2"/>
  <c r="G796" i="2"/>
  <c r="F796" i="2"/>
  <c r="K795" i="2"/>
  <c r="J795" i="2"/>
  <c r="I795" i="2"/>
  <c r="H795" i="2"/>
  <c r="G795" i="2"/>
  <c r="F795" i="2"/>
  <c r="K794" i="2"/>
  <c r="J794" i="2"/>
  <c r="I794" i="2"/>
  <c r="H794" i="2"/>
  <c r="G794" i="2"/>
  <c r="F794" i="2"/>
  <c r="K793" i="2"/>
  <c r="J793" i="2"/>
  <c r="I793" i="2"/>
  <c r="H793" i="2"/>
  <c r="G793" i="2"/>
  <c r="F793" i="2"/>
  <c r="K792" i="2"/>
  <c r="J792" i="2"/>
  <c r="I792" i="2"/>
  <c r="H792" i="2"/>
  <c r="G792" i="2"/>
  <c r="F792" i="2"/>
  <c r="K791" i="2"/>
  <c r="J791" i="2"/>
  <c r="I791" i="2"/>
  <c r="H791" i="2"/>
  <c r="G791" i="2"/>
  <c r="F791" i="2"/>
  <c r="K790" i="2"/>
  <c r="J790" i="2"/>
  <c r="I790" i="2"/>
  <c r="H790" i="2"/>
  <c r="G790" i="2"/>
  <c r="F790" i="2"/>
  <c r="K789" i="2"/>
  <c r="J789" i="2"/>
  <c r="I789" i="2"/>
  <c r="H789" i="2"/>
  <c r="G789" i="2"/>
  <c r="F789" i="2"/>
  <c r="K788" i="2"/>
  <c r="J788" i="2"/>
  <c r="I788" i="2"/>
  <c r="H788" i="2"/>
  <c r="G788" i="2"/>
  <c r="F788" i="2"/>
  <c r="K787" i="2"/>
  <c r="J787" i="2"/>
  <c r="I787" i="2"/>
  <c r="H787" i="2"/>
  <c r="G787" i="2"/>
  <c r="F787" i="2"/>
  <c r="K786" i="2"/>
  <c r="J786" i="2"/>
  <c r="I786" i="2"/>
  <c r="H786" i="2"/>
  <c r="G786" i="2"/>
  <c r="F786" i="2"/>
  <c r="K785" i="2"/>
  <c r="J785" i="2"/>
  <c r="I785" i="2"/>
  <c r="H785" i="2"/>
  <c r="G785" i="2"/>
  <c r="F785" i="2"/>
  <c r="K784" i="2"/>
  <c r="J784" i="2"/>
  <c r="I784" i="2"/>
  <c r="H784" i="2"/>
  <c r="G784" i="2"/>
  <c r="F784" i="2"/>
  <c r="K783" i="2"/>
  <c r="J783" i="2"/>
  <c r="I783" i="2"/>
  <c r="H783" i="2"/>
  <c r="G783" i="2"/>
  <c r="F783" i="2"/>
  <c r="K782" i="2"/>
  <c r="J782" i="2"/>
  <c r="I782" i="2"/>
  <c r="H782" i="2"/>
  <c r="G782" i="2"/>
  <c r="F782" i="2"/>
  <c r="K781" i="2"/>
  <c r="J781" i="2"/>
  <c r="I781" i="2"/>
  <c r="H781" i="2"/>
  <c r="G781" i="2"/>
  <c r="F781" i="2"/>
  <c r="K780" i="2"/>
  <c r="J780" i="2"/>
  <c r="I780" i="2"/>
  <c r="H780" i="2"/>
  <c r="G780" i="2"/>
  <c r="F780" i="2"/>
  <c r="K779" i="2"/>
  <c r="J779" i="2"/>
  <c r="I779" i="2"/>
  <c r="H779" i="2"/>
  <c r="G779" i="2"/>
  <c r="F779" i="2"/>
  <c r="K778" i="2"/>
  <c r="J778" i="2"/>
  <c r="I778" i="2"/>
  <c r="H778" i="2"/>
  <c r="G778" i="2"/>
  <c r="F778" i="2"/>
  <c r="K777" i="2"/>
  <c r="J777" i="2"/>
  <c r="I777" i="2"/>
  <c r="H777" i="2"/>
  <c r="G777" i="2"/>
  <c r="F777" i="2"/>
  <c r="K776" i="2"/>
  <c r="J776" i="2"/>
  <c r="I776" i="2"/>
  <c r="H776" i="2"/>
  <c r="G776" i="2"/>
  <c r="F776" i="2"/>
  <c r="K775" i="2"/>
  <c r="J775" i="2"/>
  <c r="I775" i="2"/>
  <c r="H775" i="2"/>
  <c r="G775" i="2"/>
  <c r="F775" i="2"/>
  <c r="K774" i="2"/>
  <c r="J774" i="2"/>
  <c r="I774" i="2"/>
  <c r="H774" i="2"/>
  <c r="G774" i="2"/>
  <c r="F774" i="2"/>
  <c r="K773" i="2"/>
  <c r="J773" i="2"/>
  <c r="I773" i="2"/>
  <c r="H773" i="2"/>
  <c r="G773" i="2"/>
  <c r="F773" i="2"/>
  <c r="K772" i="2"/>
  <c r="J772" i="2"/>
  <c r="I772" i="2"/>
  <c r="H772" i="2"/>
  <c r="G772" i="2"/>
  <c r="F772" i="2"/>
  <c r="K771" i="2"/>
  <c r="J771" i="2"/>
  <c r="I771" i="2"/>
  <c r="H771" i="2"/>
  <c r="G771" i="2"/>
  <c r="F771" i="2"/>
  <c r="K770" i="2"/>
  <c r="J770" i="2"/>
  <c r="I770" i="2"/>
  <c r="H770" i="2"/>
  <c r="G770" i="2"/>
  <c r="F770" i="2"/>
  <c r="K769" i="2"/>
  <c r="J769" i="2"/>
  <c r="I769" i="2"/>
  <c r="H769" i="2"/>
  <c r="G769" i="2"/>
  <c r="F769" i="2"/>
  <c r="K768" i="2"/>
  <c r="J768" i="2"/>
  <c r="I768" i="2"/>
  <c r="H768" i="2"/>
  <c r="G768" i="2"/>
  <c r="F768" i="2"/>
  <c r="K767" i="2"/>
  <c r="J767" i="2"/>
  <c r="I767" i="2"/>
  <c r="H767" i="2"/>
  <c r="G767" i="2"/>
  <c r="F767" i="2"/>
  <c r="K766" i="2"/>
  <c r="J766" i="2"/>
  <c r="I766" i="2"/>
  <c r="H766" i="2"/>
  <c r="G766" i="2"/>
  <c r="F766" i="2"/>
  <c r="K765" i="2"/>
  <c r="J765" i="2"/>
  <c r="I765" i="2"/>
  <c r="H765" i="2"/>
  <c r="G765" i="2"/>
  <c r="F765" i="2"/>
  <c r="K764" i="2"/>
  <c r="J764" i="2"/>
  <c r="I764" i="2"/>
  <c r="H764" i="2"/>
  <c r="G764" i="2"/>
  <c r="F764" i="2"/>
  <c r="K763" i="2"/>
  <c r="J763" i="2"/>
  <c r="I763" i="2"/>
  <c r="H763" i="2"/>
  <c r="G763" i="2"/>
  <c r="F763" i="2"/>
  <c r="K762" i="2"/>
  <c r="J762" i="2"/>
  <c r="I762" i="2"/>
  <c r="H762" i="2"/>
  <c r="G762" i="2"/>
  <c r="F762" i="2"/>
  <c r="K761" i="2"/>
  <c r="J761" i="2"/>
  <c r="I761" i="2"/>
  <c r="H761" i="2"/>
  <c r="G761" i="2"/>
  <c r="F761" i="2"/>
  <c r="K760" i="2"/>
  <c r="J760" i="2"/>
  <c r="I760" i="2"/>
  <c r="H760" i="2"/>
  <c r="G760" i="2"/>
  <c r="F760" i="2"/>
  <c r="K759" i="2"/>
  <c r="J759" i="2"/>
  <c r="I759" i="2"/>
  <c r="H759" i="2"/>
  <c r="G759" i="2"/>
  <c r="F759" i="2"/>
  <c r="K758" i="2"/>
  <c r="J758" i="2"/>
  <c r="I758" i="2"/>
  <c r="H758" i="2"/>
  <c r="G758" i="2"/>
  <c r="F758" i="2"/>
  <c r="K757" i="2"/>
  <c r="J757" i="2"/>
  <c r="I757" i="2"/>
  <c r="H757" i="2"/>
  <c r="G757" i="2"/>
  <c r="F757" i="2"/>
  <c r="K756" i="2"/>
  <c r="J756" i="2"/>
  <c r="I756" i="2"/>
  <c r="H756" i="2"/>
  <c r="G756" i="2"/>
  <c r="F756" i="2"/>
  <c r="K755" i="2"/>
  <c r="J755" i="2"/>
  <c r="I755" i="2"/>
  <c r="H755" i="2"/>
  <c r="G755" i="2"/>
  <c r="F755" i="2"/>
  <c r="K754" i="2"/>
  <c r="J754" i="2"/>
  <c r="I754" i="2"/>
  <c r="H754" i="2"/>
  <c r="G754" i="2"/>
  <c r="F754" i="2"/>
  <c r="K753" i="2"/>
  <c r="J753" i="2"/>
  <c r="I753" i="2"/>
  <c r="H753" i="2"/>
  <c r="G753" i="2"/>
  <c r="F753" i="2"/>
  <c r="K752" i="2"/>
  <c r="J752" i="2"/>
  <c r="I752" i="2"/>
  <c r="H752" i="2"/>
  <c r="G752" i="2"/>
  <c r="F752" i="2"/>
  <c r="K751" i="2"/>
  <c r="J751" i="2"/>
  <c r="I751" i="2"/>
  <c r="H751" i="2"/>
  <c r="G751" i="2"/>
  <c r="F751" i="2"/>
  <c r="K750" i="2"/>
  <c r="J750" i="2"/>
  <c r="I750" i="2"/>
  <c r="H750" i="2"/>
  <c r="G750" i="2"/>
  <c r="F750" i="2"/>
  <c r="K749" i="2"/>
  <c r="J749" i="2"/>
  <c r="I749" i="2"/>
  <c r="H749" i="2"/>
  <c r="G749" i="2"/>
  <c r="F749" i="2"/>
  <c r="K748" i="2"/>
  <c r="J748" i="2"/>
  <c r="I748" i="2"/>
  <c r="H748" i="2"/>
  <c r="G748" i="2"/>
  <c r="F748" i="2"/>
  <c r="K747" i="2"/>
  <c r="J747" i="2"/>
  <c r="I747" i="2"/>
  <c r="H747" i="2"/>
  <c r="G747" i="2"/>
  <c r="F747" i="2"/>
  <c r="K746" i="2"/>
  <c r="J746" i="2"/>
  <c r="I746" i="2"/>
  <c r="H746" i="2"/>
  <c r="G746" i="2"/>
  <c r="F746" i="2"/>
  <c r="K745" i="2"/>
  <c r="J745" i="2"/>
  <c r="I745" i="2"/>
  <c r="H745" i="2"/>
  <c r="G745" i="2"/>
  <c r="F745" i="2"/>
  <c r="K744" i="2"/>
  <c r="J744" i="2"/>
  <c r="I744" i="2"/>
  <c r="H744" i="2"/>
  <c r="G744" i="2"/>
  <c r="F744" i="2"/>
  <c r="K743" i="2"/>
  <c r="J743" i="2"/>
  <c r="I743" i="2"/>
  <c r="H743" i="2"/>
  <c r="G743" i="2"/>
  <c r="F743" i="2"/>
  <c r="K742" i="2"/>
  <c r="J742" i="2"/>
  <c r="I742" i="2"/>
  <c r="H742" i="2"/>
  <c r="G742" i="2"/>
  <c r="F742" i="2"/>
  <c r="K741" i="2"/>
  <c r="J741" i="2"/>
  <c r="I741" i="2"/>
  <c r="H741" i="2"/>
  <c r="G741" i="2"/>
  <c r="F741" i="2"/>
  <c r="K740" i="2"/>
  <c r="J740" i="2"/>
  <c r="I740" i="2"/>
  <c r="H740" i="2"/>
  <c r="G740" i="2"/>
  <c r="F740" i="2"/>
  <c r="K739" i="2"/>
  <c r="J739" i="2"/>
  <c r="I739" i="2"/>
  <c r="H739" i="2"/>
  <c r="G739" i="2"/>
  <c r="F739" i="2"/>
  <c r="K738" i="2"/>
  <c r="J738" i="2"/>
  <c r="I738" i="2"/>
  <c r="H738" i="2"/>
  <c r="G738" i="2"/>
  <c r="F738" i="2"/>
  <c r="K737" i="2"/>
  <c r="J737" i="2"/>
  <c r="I737" i="2"/>
  <c r="H737" i="2"/>
  <c r="G737" i="2"/>
  <c r="F737" i="2"/>
  <c r="K736" i="2"/>
  <c r="J736" i="2"/>
  <c r="I736" i="2"/>
  <c r="H736" i="2"/>
  <c r="G736" i="2"/>
  <c r="F736" i="2"/>
  <c r="K735" i="2"/>
  <c r="J735" i="2"/>
  <c r="I735" i="2"/>
  <c r="H735" i="2"/>
  <c r="G735" i="2"/>
  <c r="F735" i="2"/>
  <c r="K734" i="2"/>
  <c r="J734" i="2"/>
  <c r="I734" i="2"/>
  <c r="H734" i="2"/>
  <c r="G734" i="2"/>
  <c r="F734" i="2"/>
  <c r="K733" i="2"/>
  <c r="J733" i="2"/>
  <c r="I733" i="2"/>
  <c r="H733" i="2"/>
  <c r="G733" i="2"/>
  <c r="F733" i="2"/>
  <c r="K732" i="2"/>
  <c r="J732" i="2"/>
  <c r="I732" i="2"/>
  <c r="H732" i="2"/>
  <c r="G732" i="2"/>
  <c r="F732" i="2"/>
  <c r="K731" i="2"/>
  <c r="J731" i="2"/>
  <c r="I731" i="2"/>
  <c r="H731" i="2"/>
  <c r="G731" i="2"/>
  <c r="F731" i="2"/>
  <c r="K730" i="2"/>
  <c r="J730" i="2"/>
  <c r="I730" i="2"/>
  <c r="H730" i="2"/>
  <c r="G730" i="2"/>
  <c r="F730" i="2"/>
  <c r="K729" i="2"/>
  <c r="J729" i="2"/>
  <c r="I729" i="2"/>
  <c r="H729" i="2"/>
  <c r="G729" i="2"/>
  <c r="F729" i="2"/>
  <c r="K728" i="2"/>
  <c r="J728" i="2"/>
  <c r="I728" i="2"/>
  <c r="H728" i="2"/>
  <c r="G728" i="2"/>
  <c r="F728" i="2"/>
  <c r="K727" i="2"/>
  <c r="J727" i="2"/>
  <c r="I727" i="2"/>
  <c r="H727" i="2"/>
  <c r="G727" i="2"/>
  <c r="F727" i="2"/>
  <c r="K726" i="2"/>
  <c r="J726" i="2"/>
  <c r="I726" i="2"/>
  <c r="H726" i="2"/>
  <c r="G726" i="2"/>
  <c r="F726" i="2"/>
  <c r="K725" i="2"/>
  <c r="J725" i="2"/>
  <c r="I725" i="2"/>
  <c r="H725" i="2"/>
  <c r="G725" i="2"/>
  <c r="F725" i="2"/>
  <c r="K724" i="2"/>
  <c r="J724" i="2"/>
  <c r="I724" i="2"/>
  <c r="H724" i="2"/>
  <c r="G724" i="2"/>
  <c r="F724" i="2"/>
  <c r="K723" i="2"/>
  <c r="J723" i="2"/>
  <c r="I723" i="2"/>
  <c r="H723" i="2"/>
  <c r="G723" i="2"/>
  <c r="F723" i="2"/>
  <c r="K722" i="2"/>
  <c r="J722" i="2"/>
  <c r="I722" i="2"/>
  <c r="H722" i="2"/>
  <c r="G722" i="2"/>
  <c r="F722" i="2"/>
  <c r="K721" i="2"/>
  <c r="J721" i="2"/>
  <c r="I721" i="2"/>
  <c r="H721" i="2"/>
  <c r="G721" i="2"/>
  <c r="F721" i="2"/>
  <c r="K720" i="2"/>
  <c r="J720" i="2"/>
  <c r="I720" i="2"/>
  <c r="H720" i="2"/>
  <c r="G720" i="2"/>
  <c r="F720" i="2"/>
  <c r="K719" i="2"/>
  <c r="J719" i="2"/>
  <c r="I719" i="2"/>
  <c r="H719" i="2"/>
  <c r="G719" i="2"/>
  <c r="F719" i="2"/>
  <c r="K718" i="2"/>
  <c r="J718" i="2"/>
  <c r="I718" i="2"/>
  <c r="H718" i="2"/>
  <c r="G718" i="2"/>
  <c r="F718" i="2"/>
  <c r="K717" i="2"/>
  <c r="J717" i="2"/>
  <c r="I717" i="2"/>
  <c r="H717" i="2"/>
  <c r="G717" i="2"/>
  <c r="F717" i="2"/>
  <c r="K716" i="2"/>
  <c r="J716" i="2"/>
  <c r="I716" i="2"/>
  <c r="H716" i="2"/>
  <c r="G716" i="2"/>
  <c r="F716" i="2"/>
  <c r="K715" i="2"/>
  <c r="J715" i="2"/>
  <c r="I715" i="2"/>
  <c r="H715" i="2"/>
  <c r="G715" i="2"/>
  <c r="F715" i="2"/>
  <c r="K714" i="2"/>
  <c r="J714" i="2"/>
  <c r="I714" i="2"/>
  <c r="H714" i="2"/>
  <c r="G714" i="2"/>
  <c r="F714" i="2"/>
  <c r="K713" i="2"/>
  <c r="J713" i="2"/>
  <c r="I713" i="2"/>
  <c r="H713" i="2"/>
  <c r="G713" i="2"/>
  <c r="F713" i="2"/>
  <c r="K712" i="2"/>
  <c r="J712" i="2"/>
  <c r="I712" i="2"/>
  <c r="H712" i="2"/>
  <c r="G712" i="2"/>
  <c r="F712" i="2"/>
  <c r="K711" i="2"/>
  <c r="J711" i="2"/>
  <c r="I711" i="2"/>
  <c r="H711" i="2"/>
  <c r="G711" i="2"/>
  <c r="F711" i="2"/>
  <c r="K710" i="2"/>
  <c r="J710" i="2"/>
  <c r="I710" i="2"/>
  <c r="H710" i="2"/>
  <c r="G710" i="2"/>
  <c r="F710" i="2"/>
  <c r="K709" i="2"/>
  <c r="J709" i="2"/>
  <c r="I709" i="2"/>
  <c r="H709" i="2"/>
  <c r="G709" i="2"/>
  <c r="F709" i="2"/>
  <c r="K708" i="2"/>
  <c r="J708" i="2"/>
  <c r="I708" i="2"/>
  <c r="H708" i="2"/>
  <c r="G708" i="2"/>
  <c r="F708" i="2"/>
  <c r="K707" i="2"/>
  <c r="J707" i="2"/>
  <c r="I707" i="2"/>
  <c r="H707" i="2"/>
  <c r="G707" i="2"/>
  <c r="F707" i="2"/>
  <c r="K706" i="2"/>
  <c r="J706" i="2"/>
  <c r="I706" i="2"/>
  <c r="H706" i="2"/>
  <c r="G706" i="2"/>
  <c r="F706" i="2"/>
  <c r="K705" i="2"/>
  <c r="J705" i="2"/>
  <c r="I705" i="2"/>
  <c r="H705" i="2"/>
  <c r="G705" i="2"/>
  <c r="F705" i="2"/>
  <c r="K704" i="2"/>
  <c r="J704" i="2"/>
  <c r="I704" i="2"/>
  <c r="H704" i="2"/>
  <c r="G704" i="2"/>
  <c r="F704" i="2"/>
  <c r="K703" i="2"/>
  <c r="J703" i="2"/>
  <c r="I703" i="2"/>
  <c r="H703" i="2"/>
  <c r="G703" i="2"/>
  <c r="F703" i="2"/>
  <c r="K702" i="2"/>
  <c r="J702" i="2"/>
  <c r="I702" i="2"/>
  <c r="H702" i="2"/>
  <c r="G702" i="2"/>
  <c r="F702" i="2"/>
  <c r="K701" i="2"/>
  <c r="J701" i="2"/>
  <c r="I701" i="2"/>
  <c r="H701" i="2"/>
  <c r="G701" i="2"/>
  <c r="F701" i="2"/>
  <c r="K700" i="2"/>
  <c r="J700" i="2"/>
  <c r="I700" i="2"/>
  <c r="H700" i="2"/>
  <c r="G700" i="2"/>
  <c r="F700" i="2"/>
  <c r="K699" i="2"/>
  <c r="J699" i="2"/>
  <c r="I699" i="2"/>
  <c r="H699" i="2"/>
  <c r="G699" i="2"/>
  <c r="F699" i="2"/>
  <c r="K698" i="2"/>
  <c r="J698" i="2"/>
  <c r="I698" i="2"/>
  <c r="H698" i="2"/>
  <c r="G698" i="2"/>
  <c r="F698" i="2"/>
  <c r="K697" i="2"/>
  <c r="J697" i="2"/>
  <c r="I697" i="2"/>
  <c r="H697" i="2"/>
  <c r="G697" i="2"/>
  <c r="F697" i="2"/>
  <c r="K696" i="2"/>
  <c r="J696" i="2"/>
  <c r="I696" i="2"/>
  <c r="H696" i="2"/>
  <c r="G696" i="2"/>
  <c r="F696" i="2"/>
  <c r="K695" i="2"/>
  <c r="J695" i="2"/>
  <c r="I695" i="2"/>
  <c r="H695" i="2"/>
  <c r="G695" i="2"/>
  <c r="F695" i="2"/>
  <c r="K694" i="2"/>
  <c r="J694" i="2"/>
  <c r="I694" i="2"/>
  <c r="H694" i="2"/>
  <c r="G694" i="2"/>
  <c r="F694" i="2"/>
  <c r="K693" i="2"/>
  <c r="J693" i="2"/>
  <c r="I693" i="2"/>
  <c r="H693" i="2"/>
  <c r="G693" i="2"/>
  <c r="F693" i="2"/>
  <c r="K692" i="2"/>
  <c r="J692" i="2"/>
  <c r="I692" i="2"/>
  <c r="H692" i="2"/>
  <c r="G692" i="2"/>
  <c r="F692" i="2"/>
  <c r="K691" i="2"/>
  <c r="J691" i="2"/>
  <c r="I691" i="2"/>
  <c r="H691" i="2"/>
  <c r="G691" i="2"/>
  <c r="F691" i="2"/>
  <c r="K690" i="2"/>
  <c r="J690" i="2"/>
  <c r="I690" i="2"/>
  <c r="H690" i="2"/>
  <c r="G690" i="2"/>
  <c r="F690" i="2"/>
  <c r="K689" i="2"/>
  <c r="J689" i="2"/>
  <c r="I689" i="2"/>
  <c r="H689" i="2"/>
  <c r="G689" i="2"/>
  <c r="F689" i="2"/>
  <c r="K688" i="2"/>
  <c r="J688" i="2"/>
  <c r="I688" i="2"/>
  <c r="H688" i="2"/>
  <c r="G688" i="2"/>
  <c r="F688" i="2"/>
  <c r="K687" i="2"/>
  <c r="J687" i="2"/>
  <c r="I687" i="2"/>
  <c r="H687" i="2"/>
  <c r="G687" i="2"/>
  <c r="F687" i="2"/>
  <c r="K686" i="2"/>
  <c r="J686" i="2"/>
  <c r="I686" i="2"/>
  <c r="H686" i="2"/>
  <c r="G686" i="2"/>
  <c r="F686" i="2"/>
  <c r="K685" i="2"/>
  <c r="J685" i="2"/>
  <c r="I685" i="2"/>
  <c r="H685" i="2"/>
  <c r="G685" i="2"/>
  <c r="F685" i="2"/>
  <c r="K684" i="2"/>
  <c r="J684" i="2"/>
  <c r="I684" i="2"/>
  <c r="H684" i="2"/>
  <c r="G684" i="2"/>
  <c r="F684" i="2"/>
  <c r="K683" i="2"/>
  <c r="J683" i="2"/>
  <c r="I683" i="2"/>
  <c r="H683" i="2"/>
  <c r="G683" i="2"/>
  <c r="F683" i="2"/>
  <c r="K682" i="2"/>
  <c r="J682" i="2"/>
  <c r="I682" i="2"/>
  <c r="H682" i="2"/>
  <c r="G682" i="2"/>
  <c r="F682" i="2"/>
  <c r="K681" i="2"/>
  <c r="J681" i="2"/>
  <c r="I681" i="2"/>
  <c r="H681" i="2"/>
  <c r="G681" i="2"/>
  <c r="F681" i="2"/>
  <c r="K680" i="2"/>
  <c r="J680" i="2"/>
  <c r="I680" i="2"/>
  <c r="H680" i="2"/>
  <c r="G680" i="2"/>
  <c r="F680" i="2"/>
  <c r="K679" i="2"/>
  <c r="J679" i="2"/>
  <c r="I679" i="2"/>
  <c r="H679" i="2"/>
  <c r="G679" i="2"/>
  <c r="F679" i="2"/>
  <c r="K678" i="2"/>
  <c r="J678" i="2"/>
  <c r="I678" i="2"/>
  <c r="H678" i="2"/>
  <c r="G678" i="2"/>
  <c r="F678" i="2"/>
  <c r="K677" i="2"/>
  <c r="J677" i="2"/>
  <c r="I677" i="2"/>
  <c r="H677" i="2"/>
  <c r="G677" i="2"/>
  <c r="F677" i="2"/>
  <c r="K676" i="2"/>
  <c r="J676" i="2"/>
  <c r="I676" i="2"/>
  <c r="H676" i="2"/>
  <c r="G676" i="2"/>
  <c r="F676" i="2"/>
  <c r="K675" i="2"/>
  <c r="J675" i="2"/>
  <c r="I675" i="2"/>
  <c r="H675" i="2"/>
  <c r="G675" i="2"/>
  <c r="F675" i="2"/>
  <c r="K674" i="2"/>
  <c r="J674" i="2"/>
  <c r="I674" i="2"/>
  <c r="H674" i="2"/>
  <c r="G674" i="2"/>
  <c r="F674" i="2"/>
  <c r="K673" i="2"/>
  <c r="J673" i="2"/>
  <c r="I673" i="2"/>
  <c r="H673" i="2"/>
  <c r="G673" i="2"/>
  <c r="F673" i="2"/>
  <c r="K672" i="2"/>
  <c r="J672" i="2"/>
  <c r="I672" i="2"/>
  <c r="H672" i="2"/>
  <c r="G672" i="2"/>
  <c r="F672" i="2"/>
  <c r="K671" i="2"/>
  <c r="J671" i="2"/>
  <c r="I671" i="2"/>
  <c r="H671" i="2"/>
  <c r="G671" i="2"/>
  <c r="F671" i="2"/>
  <c r="K670" i="2"/>
  <c r="J670" i="2"/>
  <c r="I670" i="2"/>
  <c r="H670" i="2"/>
  <c r="G670" i="2"/>
  <c r="F670" i="2"/>
  <c r="K669" i="2"/>
  <c r="J669" i="2"/>
  <c r="I669" i="2"/>
  <c r="H669" i="2"/>
  <c r="G669" i="2"/>
  <c r="F669" i="2"/>
  <c r="K668" i="2"/>
  <c r="J668" i="2"/>
  <c r="I668" i="2"/>
  <c r="H668" i="2"/>
  <c r="G668" i="2"/>
  <c r="F668" i="2"/>
  <c r="K667" i="2"/>
  <c r="J667" i="2"/>
  <c r="I667" i="2"/>
  <c r="H667" i="2"/>
  <c r="G667" i="2"/>
  <c r="F667" i="2"/>
  <c r="K666" i="2"/>
  <c r="J666" i="2"/>
  <c r="I666" i="2"/>
  <c r="H666" i="2"/>
  <c r="G666" i="2"/>
  <c r="F666" i="2"/>
  <c r="K665" i="2"/>
  <c r="J665" i="2"/>
  <c r="I665" i="2"/>
  <c r="H665" i="2"/>
  <c r="G665" i="2"/>
  <c r="F665" i="2"/>
  <c r="K664" i="2"/>
  <c r="J664" i="2"/>
  <c r="I664" i="2"/>
  <c r="H664" i="2"/>
  <c r="G664" i="2"/>
  <c r="F664" i="2"/>
  <c r="K663" i="2"/>
  <c r="J663" i="2"/>
  <c r="I663" i="2"/>
  <c r="H663" i="2"/>
  <c r="G663" i="2"/>
  <c r="F663" i="2"/>
  <c r="K662" i="2"/>
  <c r="J662" i="2"/>
  <c r="I662" i="2"/>
  <c r="H662" i="2"/>
  <c r="G662" i="2"/>
  <c r="F662" i="2"/>
  <c r="K661" i="2"/>
  <c r="J661" i="2"/>
  <c r="I661" i="2"/>
  <c r="H661" i="2"/>
  <c r="G661" i="2"/>
  <c r="F661" i="2"/>
  <c r="K660" i="2"/>
  <c r="J660" i="2"/>
  <c r="I660" i="2"/>
  <c r="H660" i="2"/>
  <c r="G660" i="2"/>
  <c r="F660" i="2"/>
  <c r="K659" i="2"/>
  <c r="J659" i="2"/>
  <c r="I659" i="2"/>
  <c r="H659" i="2"/>
  <c r="G659" i="2"/>
  <c r="F659" i="2"/>
  <c r="K658" i="2"/>
  <c r="J658" i="2"/>
  <c r="I658" i="2"/>
  <c r="H658" i="2"/>
  <c r="G658" i="2"/>
  <c r="F658" i="2"/>
  <c r="K657" i="2"/>
  <c r="J657" i="2"/>
  <c r="I657" i="2"/>
  <c r="H657" i="2"/>
  <c r="G657" i="2"/>
  <c r="F657" i="2"/>
  <c r="K656" i="2"/>
  <c r="J656" i="2"/>
  <c r="I656" i="2"/>
  <c r="H656" i="2"/>
  <c r="G656" i="2"/>
  <c r="F656" i="2"/>
  <c r="K655" i="2"/>
  <c r="J655" i="2"/>
  <c r="I655" i="2"/>
  <c r="H655" i="2"/>
  <c r="G655" i="2"/>
  <c r="F655" i="2"/>
  <c r="K654" i="2"/>
  <c r="J654" i="2"/>
  <c r="I654" i="2"/>
  <c r="H654" i="2"/>
  <c r="G654" i="2"/>
  <c r="F654" i="2"/>
  <c r="K653" i="2"/>
  <c r="J653" i="2"/>
  <c r="I653" i="2"/>
  <c r="H653" i="2"/>
  <c r="G653" i="2"/>
  <c r="F653" i="2"/>
  <c r="K652" i="2"/>
  <c r="J652" i="2"/>
  <c r="I652" i="2"/>
  <c r="H652" i="2"/>
  <c r="G652" i="2"/>
  <c r="F652" i="2"/>
  <c r="K651" i="2"/>
  <c r="J651" i="2"/>
  <c r="I651" i="2"/>
  <c r="H651" i="2"/>
  <c r="G651" i="2"/>
  <c r="F651" i="2"/>
  <c r="K650" i="2"/>
  <c r="J650" i="2"/>
  <c r="I650" i="2"/>
  <c r="H650" i="2"/>
  <c r="G650" i="2"/>
  <c r="F650" i="2"/>
  <c r="K649" i="2"/>
  <c r="J649" i="2"/>
  <c r="I649" i="2"/>
  <c r="H649" i="2"/>
  <c r="G649" i="2"/>
  <c r="F649" i="2"/>
  <c r="K648" i="2"/>
  <c r="J648" i="2"/>
  <c r="I648" i="2"/>
  <c r="H648" i="2"/>
  <c r="G648" i="2"/>
  <c r="F648" i="2"/>
  <c r="K647" i="2"/>
  <c r="J647" i="2"/>
  <c r="I647" i="2"/>
  <c r="H647" i="2"/>
  <c r="G647" i="2"/>
  <c r="F647" i="2"/>
  <c r="K646" i="2"/>
  <c r="J646" i="2"/>
  <c r="I646" i="2"/>
  <c r="H646" i="2"/>
  <c r="G646" i="2"/>
  <c r="F646" i="2"/>
  <c r="K645" i="2"/>
  <c r="J645" i="2"/>
  <c r="I645" i="2"/>
  <c r="H645" i="2"/>
  <c r="G645" i="2"/>
  <c r="F645" i="2"/>
  <c r="K644" i="2"/>
  <c r="J644" i="2"/>
  <c r="I644" i="2"/>
  <c r="H644" i="2"/>
  <c r="G644" i="2"/>
  <c r="F644" i="2"/>
  <c r="K643" i="2"/>
  <c r="J643" i="2"/>
  <c r="I643" i="2"/>
  <c r="H643" i="2"/>
  <c r="G643" i="2"/>
  <c r="F643" i="2"/>
  <c r="K642" i="2"/>
  <c r="J642" i="2"/>
  <c r="I642" i="2"/>
  <c r="H642" i="2"/>
  <c r="G642" i="2"/>
  <c r="F642" i="2"/>
  <c r="K641" i="2"/>
  <c r="J641" i="2"/>
  <c r="I641" i="2"/>
  <c r="H641" i="2"/>
  <c r="G641" i="2"/>
  <c r="F641" i="2"/>
  <c r="K640" i="2"/>
  <c r="J640" i="2"/>
  <c r="I640" i="2"/>
  <c r="H640" i="2"/>
  <c r="G640" i="2"/>
  <c r="F640" i="2"/>
  <c r="K639" i="2"/>
  <c r="J639" i="2"/>
  <c r="I639" i="2"/>
  <c r="H639" i="2"/>
  <c r="G639" i="2"/>
  <c r="F639" i="2"/>
  <c r="K638" i="2"/>
  <c r="J638" i="2"/>
  <c r="I638" i="2"/>
  <c r="H638" i="2"/>
  <c r="G638" i="2"/>
  <c r="F638" i="2"/>
  <c r="K637" i="2"/>
  <c r="J637" i="2"/>
  <c r="I637" i="2"/>
  <c r="H637" i="2"/>
  <c r="G637" i="2"/>
  <c r="F637" i="2"/>
  <c r="K636" i="2"/>
  <c r="J636" i="2"/>
  <c r="I636" i="2"/>
  <c r="H636" i="2"/>
  <c r="G636" i="2"/>
  <c r="F636" i="2"/>
  <c r="K635" i="2"/>
  <c r="J635" i="2"/>
  <c r="I635" i="2"/>
  <c r="H635" i="2"/>
  <c r="G635" i="2"/>
  <c r="F635" i="2"/>
  <c r="K634" i="2"/>
  <c r="J634" i="2"/>
  <c r="I634" i="2"/>
  <c r="H634" i="2"/>
  <c r="G634" i="2"/>
  <c r="F634" i="2"/>
  <c r="K633" i="2"/>
  <c r="J633" i="2"/>
  <c r="I633" i="2"/>
  <c r="H633" i="2"/>
  <c r="G633" i="2"/>
  <c r="F633" i="2"/>
  <c r="K632" i="2"/>
  <c r="J632" i="2"/>
  <c r="I632" i="2"/>
  <c r="H632" i="2"/>
  <c r="G632" i="2"/>
  <c r="F632" i="2"/>
  <c r="K631" i="2"/>
  <c r="J631" i="2"/>
  <c r="I631" i="2"/>
  <c r="H631" i="2"/>
  <c r="G631" i="2"/>
  <c r="F631" i="2"/>
  <c r="K630" i="2"/>
  <c r="J630" i="2"/>
  <c r="I630" i="2"/>
  <c r="H630" i="2"/>
  <c r="G630" i="2"/>
  <c r="F630" i="2"/>
  <c r="K629" i="2"/>
  <c r="J629" i="2"/>
  <c r="I629" i="2"/>
  <c r="H629" i="2"/>
  <c r="G629" i="2"/>
  <c r="F629" i="2"/>
  <c r="K628" i="2"/>
  <c r="J628" i="2"/>
  <c r="I628" i="2"/>
  <c r="H628" i="2"/>
  <c r="G628" i="2"/>
  <c r="F628" i="2"/>
  <c r="K627" i="2"/>
  <c r="J627" i="2"/>
  <c r="I627" i="2"/>
  <c r="H627" i="2"/>
  <c r="G627" i="2"/>
  <c r="F627" i="2"/>
  <c r="K626" i="2"/>
  <c r="J626" i="2"/>
  <c r="I626" i="2"/>
  <c r="H626" i="2"/>
  <c r="G626" i="2"/>
  <c r="F626" i="2"/>
  <c r="K625" i="2"/>
  <c r="J625" i="2"/>
  <c r="I625" i="2"/>
  <c r="H625" i="2"/>
  <c r="G625" i="2"/>
  <c r="F625" i="2"/>
  <c r="K624" i="2"/>
  <c r="J624" i="2"/>
  <c r="I624" i="2"/>
  <c r="H624" i="2"/>
  <c r="G624" i="2"/>
  <c r="F624" i="2"/>
  <c r="K623" i="2"/>
  <c r="J623" i="2"/>
  <c r="I623" i="2"/>
  <c r="H623" i="2"/>
  <c r="G623" i="2"/>
  <c r="F623" i="2"/>
  <c r="K622" i="2"/>
  <c r="J622" i="2"/>
  <c r="I622" i="2"/>
  <c r="H622" i="2"/>
  <c r="G622" i="2"/>
  <c r="F622" i="2"/>
  <c r="K621" i="2"/>
  <c r="J621" i="2"/>
  <c r="I621" i="2"/>
  <c r="H621" i="2"/>
  <c r="G621" i="2"/>
  <c r="F621" i="2"/>
  <c r="K620" i="2"/>
  <c r="J620" i="2"/>
  <c r="I620" i="2"/>
  <c r="H620" i="2"/>
  <c r="G620" i="2"/>
  <c r="F620" i="2"/>
  <c r="K619" i="2"/>
  <c r="J619" i="2"/>
  <c r="I619" i="2"/>
  <c r="H619" i="2"/>
  <c r="G619" i="2"/>
  <c r="F619" i="2"/>
  <c r="K618" i="2"/>
  <c r="J618" i="2"/>
  <c r="I618" i="2"/>
  <c r="H618" i="2"/>
  <c r="G618" i="2"/>
  <c r="F618" i="2"/>
  <c r="K617" i="2"/>
  <c r="J617" i="2"/>
  <c r="I617" i="2"/>
  <c r="H617" i="2"/>
  <c r="G617" i="2"/>
  <c r="F617" i="2"/>
  <c r="K616" i="2"/>
  <c r="J616" i="2"/>
  <c r="I616" i="2"/>
  <c r="H616" i="2"/>
  <c r="G616" i="2"/>
  <c r="F616" i="2"/>
  <c r="K615" i="2"/>
  <c r="J615" i="2"/>
  <c r="I615" i="2"/>
  <c r="H615" i="2"/>
  <c r="G615" i="2"/>
  <c r="F615" i="2"/>
  <c r="K614" i="2"/>
  <c r="J614" i="2"/>
  <c r="I614" i="2"/>
  <c r="H614" i="2"/>
  <c r="G614" i="2"/>
  <c r="F614" i="2"/>
  <c r="K613" i="2"/>
  <c r="J613" i="2"/>
  <c r="I613" i="2"/>
  <c r="H613" i="2"/>
  <c r="G613" i="2"/>
  <c r="F613" i="2"/>
  <c r="K612" i="2"/>
  <c r="J612" i="2"/>
  <c r="I612" i="2"/>
  <c r="H612" i="2"/>
  <c r="G612" i="2"/>
  <c r="F612" i="2"/>
  <c r="K611" i="2"/>
  <c r="J611" i="2"/>
  <c r="I611" i="2"/>
  <c r="H611" i="2"/>
  <c r="G611" i="2"/>
  <c r="F611" i="2"/>
  <c r="K610" i="2"/>
  <c r="J610" i="2"/>
  <c r="I610" i="2"/>
  <c r="H610" i="2"/>
  <c r="G610" i="2"/>
  <c r="F610" i="2"/>
  <c r="K609" i="2"/>
  <c r="J609" i="2"/>
  <c r="I609" i="2"/>
  <c r="H609" i="2"/>
  <c r="G609" i="2"/>
  <c r="F609" i="2"/>
  <c r="K608" i="2"/>
  <c r="J608" i="2"/>
  <c r="I608" i="2"/>
  <c r="H608" i="2"/>
  <c r="G608" i="2"/>
  <c r="F608" i="2"/>
  <c r="K607" i="2"/>
  <c r="J607" i="2"/>
  <c r="I607" i="2"/>
  <c r="H607" i="2"/>
  <c r="G607" i="2"/>
  <c r="F607" i="2"/>
  <c r="K606" i="2"/>
  <c r="J606" i="2"/>
  <c r="I606" i="2"/>
  <c r="H606" i="2"/>
  <c r="G606" i="2"/>
  <c r="F606" i="2"/>
  <c r="K605" i="2"/>
  <c r="J605" i="2"/>
  <c r="I605" i="2"/>
  <c r="H605" i="2"/>
  <c r="G605" i="2"/>
  <c r="F605" i="2"/>
  <c r="K604" i="2"/>
  <c r="J604" i="2"/>
  <c r="I604" i="2"/>
  <c r="H604" i="2"/>
  <c r="G604" i="2"/>
  <c r="F604" i="2"/>
  <c r="K603" i="2"/>
  <c r="J603" i="2"/>
  <c r="I603" i="2"/>
  <c r="H603" i="2"/>
  <c r="G603" i="2"/>
  <c r="F603" i="2"/>
  <c r="K602" i="2"/>
  <c r="J602" i="2"/>
  <c r="I602" i="2"/>
  <c r="H602" i="2"/>
  <c r="G602" i="2"/>
  <c r="F602" i="2"/>
  <c r="K601" i="2"/>
  <c r="J601" i="2"/>
  <c r="I601" i="2"/>
  <c r="H601" i="2"/>
  <c r="G601" i="2"/>
  <c r="F601" i="2"/>
  <c r="K600" i="2"/>
  <c r="J600" i="2"/>
  <c r="I600" i="2"/>
  <c r="H600" i="2"/>
  <c r="G600" i="2"/>
  <c r="F600" i="2"/>
  <c r="K599" i="2"/>
  <c r="J599" i="2"/>
  <c r="I599" i="2"/>
  <c r="H599" i="2"/>
  <c r="G599" i="2"/>
  <c r="F599" i="2"/>
  <c r="K598" i="2"/>
  <c r="J598" i="2"/>
  <c r="I598" i="2"/>
  <c r="H598" i="2"/>
  <c r="G598" i="2"/>
  <c r="F598" i="2"/>
  <c r="K597" i="2"/>
  <c r="J597" i="2"/>
  <c r="I597" i="2"/>
  <c r="H597" i="2"/>
  <c r="G597" i="2"/>
  <c r="F597" i="2"/>
  <c r="K596" i="2"/>
  <c r="J596" i="2"/>
  <c r="I596" i="2"/>
  <c r="H596" i="2"/>
  <c r="G596" i="2"/>
  <c r="F596" i="2"/>
  <c r="K595" i="2"/>
  <c r="J595" i="2"/>
  <c r="I595" i="2"/>
  <c r="H595" i="2"/>
  <c r="G595" i="2"/>
  <c r="F595" i="2"/>
  <c r="K594" i="2"/>
  <c r="J594" i="2"/>
  <c r="I594" i="2"/>
  <c r="H594" i="2"/>
  <c r="G594" i="2"/>
  <c r="F594" i="2"/>
  <c r="K593" i="2"/>
  <c r="J593" i="2"/>
  <c r="I593" i="2"/>
  <c r="H593" i="2"/>
  <c r="G593" i="2"/>
  <c r="F593" i="2"/>
  <c r="K592" i="2"/>
  <c r="J592" i="2"/>
  <c r="I592" i="2"/>
  <c r="H592" i="2"/>
  <c r="G592" i="2"/>
  <c r="F592" i="2"/>
  <c r="K591" i="2"/>
  <c r="J591" i="2"/>
  <c r="I591" i="2"/>
  <c r="H591" i="2"/>
  <c r="G591" i="2"/>
  <c r="F591" i="2"/>
  <c r="K590" i="2"/>
  <c r="J590" i="2"/>
  <c r="I590" i="2"/>
  <c r="H590" i="2"/>
  <c r="G590" i="2"/>
  <c r="F590" i="2"/>
  <c r="K589" i="2"/>
  <c r="J589" i="2"/>
  <c r="I589" i="2"/>
  <c r="H589" i="2"/>
  <c r="G589" i="2"/>
  <c r="F589" i="2"/>
  <c r="K588" i="2"/>
  <c r="J588" i="2"/>
  <c r="I588" i="2"/>
  <c r="H588" i="2"/>
  <c r="G588" i="2"/>
  <c r="F588" i="2"/>
  <c r="K587" i="2"/>
  <c r="J587" i="2"/>
  <c r="I587" i="2"/>
  <c r="H587" i="2"/>
  <c r="G587" i="2"/>
  <c r="F587" i="2"/>
  <c r="K586" i="2"/>
  <c r="J586" i="2"/>
  <c r="I586" i="2"/>
  <c r="H586" i="2"/>
  <c r="G586" i="2"/>
  <c r="F586" i="2"/>
  <c r="K585" i="2"/>
  <c r="J585" i="2"/>
  <c r="I585" i="2"/>
  <c r="H585" i="2"/>
  <c r="G585" i="2"/>
  <c r="F585" i="2"/>
  <c r="K584" i="2"/>
  <c r="J584" i="2"/>
  <c r="I584" i="2"/>
  <c r="H584" i="2"/>
  <c r="G584" i="2"/>
  <c r="F584" i="2"/>
  <c r="K583" i="2"/>
  <c r="J583" i="2"/>
  <c r="I583" i="2"/>
  <c r="H583" i="2"/>
  <c r="G583" i="2"/>
  <c r="F583" i="2"/>
  <c r="K582" i="2"/>
  <c r="J582" i="2"/>
  <c r="I582" i="2"/>
  <c r="H582" i="2"/>
  <c r="G582" i="2"/>
  <c r="F582" i="2"/>
  <c r="K581" i="2"/>
  <c r="J581" i="2"/>
  <c r="I581" i="2"/>
  <c r="H581" i="2"/>
  <c r="G581" i="2"/>
  <c r="F581" i="2"/>
  <c r="K580" i="2"/>
  <c r="J580" i="2"/>
  <c r="I580" i="2"/>
  <c r="H580" i="2"/>
  <c r="G580" i="2"/>
  <c r="F580" i="2"/>
  <c r="K579" i="2"/>
  <c r="J579" i="2"/>
  <c r="I579" i="2"/>
  <c r="H579" i="2"/>
  <c r="G579" i="2"/>
  <c r="F579" i="2"/>
  <c r="K578" i="2"/>
  <c r="J578" i="2"/>
  <c r="I578" i="2"/>
  <c r="H578" i="2"/>
  <c r="G578" i="2"/>
  <c r="F578" i="2"/>
  <c r="K577" i="2"/>
  <c r="J577" i="2"/>
  <c r="I577" i="2"/>
  <c r="H577" i="2"/>
  <c r="G577" i="2"/>
  <c r="F577" i="2"/>
  <c r="K576" i="2"/>
  <c r="J576" i="2"/>
  <c r="I576" i="2"/>
  <c r="H576" i="2"/>
  <c r="G576" i="2"/>
  <c r="F576" i="2"/>
  <c r="K575" i="2"/>
  <c r="J575" i="2"/>
  <c r="I575" i="2"/>
  <c r="H575" i="2"/>
  <c r="G575" i="2"/>
  <c r="F575" i="2"/>
  <c r="K574" i="2"/>
  <c r="J574" i="2"/>
  <c r="I574" i="2"/>
  <c r="H574" i="2"/>
  <c r="G574" i="2"/>
  <c r="F574" i="2"/>
  <c r="K573" i="2"/>
  <c r="J573" i="2"/>
  <c r="I573" i="2"/>
  <c r="H573" i="2"/>
  <c r="G573" i="2"/>
  <c r="F573" i="2"/>
  <c r="K572" i="2"/>
  <c r="J572" i="2"/>
  <c r="I572" i="2"/>
  <c r="H572" i="2"/>
  <c r="G572" i="2"/>
  <c r="F572" i="2"/>
  <c r="K571" i="2"/>
  <c r="J571" i="2"/>
  <c r="I571" i="2"/>
  <c r="H571" i="2"/>
  <c r="G571" i="2"/>
  <c r="F571" i="2"/>
  <c r="K570" i="2"/>
  <c r="J570" i="2"/>
  <c r="I570" i="2"/>
  <c r="H570" i="2"/>
  <c r="G570" i="2"/>
  <c r="F570" i="2"/>
  <c r="K569" i="2"/>
  <c r="J569" i="2"/>
  <c r="I569" i="2"/>
  <c r="H569" i="2"/>
  <c r="G569" i="2"/>
  <c r="F569" i="2"/>
  <c r="K568" i="2"/>
  <c r="J568" i="2"/>
  <c r="I568" i="2"/>
  <c r="H568" i="2"/>
  <c r="G568" i="2"/>
  <c r="F568" i="2"/>
  <c r="K567" i="2"/>
  <c r="J567" i="2"/>
  <c r="I567" i="2"/>
  <c r="H567" i="2"/>
  <c r="G567" i="2"/>
  <c r="F567" i="2"/>
  <c r="K566" i="2"/>
  <c r="J566" i="2"/>
  <c r="I566" i="2"/>
  <c r="H566" i="2"/>
  <c r="G566" i="2"/>
  <c r="F566" i="2"/>
  <c r="K565" i="2"/>
  <c r="J565" i="2"/>
  <c r="I565" i="2"/>
  <c r="H565" i="2"/>
  <c r="G565" i="2"/>
  <c r="F565" i="2"/>
  <c r="K564" i="2"/>
  <c r="J564" i="2"/>
  <c r="I564" i="2"/>
  <c r="H564" i="2"/>
  <c r="G564" i="2"/>
  <c r="F564" i="2"/>
  <c r="K563" i="2"/>
  <c r="J563" i="2"/>
  <c r="I563" i="2"/>
  <c r="H563" i="2"/>
  <c r="G563" i="2"/>
  <c r="F563" i="2"/>
  <c r="K562" i="2"/>
  <c r="J562" i="2"/>
  <c r="I562" i="2"/>
  <c r="H562" i="2"/>
  <c r="G562" i="2"/>
  <c r="F562" i="2"/>
  <c r="K561" i="2"/>
  <c r="J561" i="2"/>
  <c r="I561" i="2"/>
  <c r="H561" i="2"/>
  <c r="G561" i="2"/>
  <c r="F561" i="2"/>
  <c r="K560" i="2"/>
  <c r="J560" i="2"/>
  <c r="I560" i="2"/>
  <c r="H560" i="2"/>
  <c r="G560" i="2"/>
  <c r="F560" i="2"/>
  <c r="K559" i="2"/>
  <c r="J559" i="2"/>
  <c r="I559" i="2"/>
  <c r="H559" i="2"/>
  <c r="G559" i="2"/>
  <c r="F559" i="2"/>
  <c r="K558" i="2"/>
  <c r="J558" i="2"/>
  <c r="I558" i="2"/>
  <c r="H558" i="2"/>
  <c r="G558" i="2"/>
  <c r="F558" i="2"/>
  <c r="K557" i="2"/>
  <c r="J557" i="2"/>
  <c r="I557" i="2"/>
  <c r="H557" i="2"/>
  <c r="G557" i="2"/>
  <c r="F557" i="2"/>
  <c r="K556" i="2"/>
  <c r="J556" i="2"/>
  <c r="I556" i="2"/>
  <c r="H556" i="2"/>
  <c r="G556" i="2"/>
  <c r="F556" i="2"/>
  <c r="K555" i="2"/>
  <c r="J555" i="2"/>
  <c r="I555" i="2"/>
  <c r="H555" i="2"/>
  <c r="G555" i="2"/>
  <c r="F555" i="2"/>
  <c r="K554" i="2"/>
  <c r="J554" i="2"/>
  <c r="I554" i="2"/>
  <c r="H554" i="2"/>
  <c r="G554" i="2"/>
  <c r="F554" i="2"/>
  <c r="K553" i="2"/>
  <c r="J553" i="2"/>
  <c r="I553" i="2"/>
  <c r="H553" i="2"/>
  <c r="G553" i="2"/>
  <c r="F553" i="2"/>
  <c r="K552" i="2"/>
  <c r="J552" i="2"/>
  <c r="I552" i="2"/>
  <c r="H552" i="2"/>
  <c r="G552" i="2"/>
  <c r="F552" i="2"/>
  <c r="K551" i="2"/>
  <c r="J551" i="2"/>
  <c r="I551" i="2"/>
  <c r="H551" i="2"/>
  <c r="G551" i="2"/>
  <c r="F551" i="2"/>
  <c r="K550" i="2"/>
  <c r="J550" i="2"/>
  <c r="I550" i="2"/>
  <c r="H550" i="2"/>
  <c r="G550" i="2"/>
  <c r="F550" i="2"/>
  <c r="K549" i="2"/>
  <c r="J549" i="2"/>
  <c r="I549" i="2"/>
  <c r="H549" i="2"/>
  <c r="G549" i="2"/>
  <c r="F549" i="2"/>
  <c r="K548" i="2"/>
  <c r="J548" i="2"/>
  <c r="I548" i="2"/>
  <c r="H548" i="2"/>
  <c r="G548" i="2"/>
  <c r="F548" i="2"/>
  <c r="K547" i="2"/>
  <c r="J547" i="2"/>
  <c r="I547" i="2"/>
  <c r="H547" i="2"/>
  <c r="G547" i="2"/>
  <c r="F547" i="2"/>
  <c r="K546" i="2"/>
  <c r="J546" i="2"/>
  <c r="I546" i="2"/>
  <c r="H546" i="2"/>
  <c r="G546" i="2"/>
  <c r="F546" i="2"/>
  <c r="K545" i="2"/>
  <c r="J545" i="2"/>
  <c r="I545" i="2"/>
  <c r="H545" i="2"/>
  <c r="G545" i="2"/>
  <c r="F545" i="2"/>
  <c r="K544" i="2"/>
  <c r="J544" i="2"/>
  <c r="I544" i="2"/>
  <c r="H544" i="2"/>
  <c r="G544" i="2"/>
  <c r="F544" i="2"/>
  <c r="K543" i="2"/>
  <c r="J543" i="2"/>
  <c r="I543" i="2"/>
  <c r="H543" i="2"/>
  <c r="G543" i="2"/>
  <c r="F543" i="2"/>
  <c r="K542" i="2"/>
  <c r="J542" i="2"/>
  <c r="I542" i="2"/>
  <c r="H542" i="2"/>
  <c r="G542" i="2"/>
  <c r="F542" i="2"/>
  <c r="K541" i="2"/>
  <c r="J541" i="2"/>
  <c r="I541" i="2"/>
  <c r="H541" i="2"/>
  <c r="G541" i="2"/>
  <c r="F541" i="2"/>
  <c r="K540" i="2"/>
  <c r="J540" i="2"/>
  <c r="I540" i="2"/>
  <c r="H540" i="2"/>
  <c r="G540" i="2"/>
  <c r="F540" i="2"/>
  <c r="K539" i="2"/>
  <c r="J539" i="2"/>
  <c r="I539" i="2"/>
  <c r="H539" i="2"/>
  <c r="G539" i="2"/>
  <c r="F539" i="2"/>
  <c r="K538" i="2"/>
  <c r="J538" i="2"/>
  <c r="I538" i="2"/>
  <c r="H538" i="2"/>
  <c r="G538" i="2"/>
  <c r="F538" i="2"/>
  <c r="K537" i="2"/>
  <c r="J537" i="2"/>
  <c r="I537" i="2"/>
  <c r="H537" i="2"/>
  <c r="G537" i="2"/>
  <c r="F537" i="2"/>
  <c r="K536" i="2"/>
  <c r="J536" i="2"/>
  <c r="I536" i="2"/>
  <c r="H536" i="2"/>
  <c r="G536" i="2"/>
  <c r="F536" i="2"/>
  <c r="K535" i="2"/>
  <c r="J535" i="2"/>
  <c r="I535" i="2"/>
  <c r="H535" i="2"/>
  <c r="G535" i="2"/>
  <c r="F535" i="2"/>
  <c r="K534" i="2"/>
  <c r="J534" i="2"/>
  <c r="I534" i="2"/>
  <c r="H534" i="2"/>
  <c r="G534" i="2"/>
  <c r="F534" i="2"/>
  <c r="K533" i="2"/>
  <c r="J533" i="2"/>
  <c r="I533" i="2"/>
  <c r="H533" i="2"/>
  <c r="G533" i="2"/>
  <c r="F533" i="2"/>
  <c r="K532" i="2"/>
  <c r="J532" i="2"/>
  <c r="I532" i="2"/>
  <c r="H532" i="2"/>
  <c r="G532" i="2"/>
  <c r="F532" i="2"/>
  <c r="K531" i="2"/>
  <c r="J531" i="2"/>
  <c r="I531" i="2"/>
  <c r="H531" i="2"/>
  <c r="G531" i="2"/>
  <c r="F531" i="2"/>
  <c r="K530" i="2"/>
  <c r="J530" i="2"/>
  <c r="I530" i="2"/>
  <c r="H530" i="2"/>
  <c r="G530" i="2"/>
  <c r="F530" i="2"/>
  <c r="K529" i="2"/>
  <c r="J529" i="2"/>
  <c r="I529" i="2"/>
  <c r="H529" i="2"/>
  <c r="G529" i="2"/>
  <c r="F529" i="2"/>
  <c r="K528" i="2"/>
  <c r="J528" i="2"/>
  <c r="I528" i="2"/>
  <c r="H528" i="2"/>
  <c r="G528" i="2"/>
  <c r="F528" i="2"/>
  <c r="K527" i="2"/>
  <c r="J527" i="2"/>
  <c r="I527" i="2"/>
  <c r="H527" i="2"/>
  <c r="G527" i="2"/>
  <c r="F527" i="2"/>
  <c r="K526" i="2"/>
  <c r="J526" i="2"/>
  <c r="I526" i="2"/>
  <c r="H526" i="2"/>
  <c r="G526" i="2"/>
  <c r="F526" i="2"/>
  <c r="K525" i="2"/>
  <c r="J525" i="2"/>
  <c r="I525" i="2"/>
  <c r="H525" i="2"/>
  <c r="G525" i="2"/>
  <c r="F525" i="2"/>
  <c r="K524" i="2"/>
  <c r="J524" i="2"/>
  <c r="I524" i="2"/>
  <c r="H524" i="2"/>
  <c r="G524" i="2"/>
  <c r="F524" i="2"/>
  <c r="K523" i="2"/>
  <c r="J523" i="2"/>
  <c r="I523" i="2"/>
  <c r="H523" i="2"/>
  <c r="G523" i="2"/>
  <c r="F523" i="2"/>
  <c r="K522" i="2"/>
  <c r="J522" i="2"/>
  <c r="I522" i="2"/>
  <c r="H522" i="2"/>
  <c r="G522" i="2"/>
  <c r="F522" i="2"/>
  <c r="K521" i="2"/>
  <c r="J521" i="2"/>
  <c r="I521" i="2"/>
  <c r="H521" i="2"/>
  <c r="G521" i="2"/>
  <c r="F521" i="2"/>
  <c r="K520" i="2"/>
  <c r="J520" i="2"/>
  <c r="I520" i="2"/>
  <c r="H520" i="2"/>
  <c r="G520" i="2"/>
  <c r="F520" i="2"/>
  <c r="K519" i="2"/>
  <c r="J519" i="2"/>
  <c r="I519" i="2"/>
  <c r="H519" i="2"/>
  <c r="G519" i="2"/>
  <c r="F519" i="2"/>
  <c r="K518" i="2"/>
  <c r="J518" i="2"/>
  <c r="I518" i="2"/>
  <c r="H518" i="2"/>
  <c r="G518" i="2"/>
  <c r="F518" i="2"/>
  <c r="K517" i="2"/>
  <c r="J517" i="2"/>
  <c r="I517" i="2"/>
  <c r="H517" i="2"/>
  <c r="G517" i="2"/>
  <c r="F517" i="2"/>
  <c r="K516" i="2"/>
  <c r="J516" i="2"/>
  <c r="I516" i="2"/>
  <c r="H516" i="2"/>
  <c r="G516" i="2"/>
  <c r="F516" i="2"/>
  <c r="K515" i="2"/>
  <c r="J515" i="2"/>
  <c r="I515" i="2"/>
  <c r="H515" i="2"/>
  <c r="G515" i="2"/>
  <c r="F515" i="2"/>
  <c r="K514" i="2"/>
  <c r="J514" i="2"/>
  <c r="I514" i="2"/>
  <c r="H514" i="2"/>
  <c r="G514" i="2"/>
  <c r="F514" i="2"/>
  <c r="K513" i="2"/>
  <c r="J513" i="2"/>
  <c r="I513" i="2"/>
  <c r="H513" i="2"/>
  <c r="G513" i="2"/>
  <c r="F513" i="2"/>
  <c r="K512" i="2"/>
  <c r="J512" i="2"/>
  <c r="I512" i="2"/>
  <c r="H512" i="2"/>
  <c r="G512" i="2"/>
  <c r="F512" i="2"/>
  <c r="K511" i="2"/>
  <c r="J511" i="2"/>
  <c r="I511" i="2"/>
  <c r="H511" i="2"/>
  <c r="G511" i="2"/>
  <c r="F511" i="2"/>
  <c r="K510" i="2"/>
  <c r="J510" i="2"/>
  <c r="I510" i="2"/>
  <c r="H510" i="2"/>
  <c r="G510" i="2"/>
  <c r="F510" i="2"/>
  <c r="K509" i="2"/>
  <c r="J509" i="2"/>
  <c r="I509" i="2"/>
  <c r="H509" i="2"/>
  <c r="G509" i="2"/>
  <c r="F509" i="2"/>
  <c r="K508" i="2"/>
  <c r="J508" i="2"/>
  <c r="I508" i="2"/>
  <c r="H508" i="2"/>
  <c r="G508" i="2"/>
  <c r="F508" i="2"/>
  <c r="K507" i="2"/>
  <c r="J507" i="2"/>
  <c r="I507" i="2"/>
  <c r="H507" i="2"/>
  <c r="G507" i="2"/>
  <c r="F507" i="2"/>
  <c r="K506" i="2"/>
  <c r="J506" i="2"/>
  <c r="I506" i="2"/>
  <c r="H506" i="2"/>
  <c r="G506" i="2"/>
  <c r="F506" i="2"/>
  <c r="K505" i="2"/>
  <c r="J505" i="2"/>
  <c r="I505" i="2"/>
  <c r="H505" i="2"/>
  <c r="G505" i="2"/>
  <c r="F505" i="2"/>
  <c r="K504" i="2"/>
  <c r="J504" i="2"/>
  <c r="I504" i="2"/>
  <c r="H504" i="2"/>
  <c r="G504" i="2"/>
  <c r="F504" i="2"/>
  <c r="K503" i="2"/>
  <c r="J503" i="2"/>
  <c r="I503" i="2"/>
  <c r="H503" i="2"/>
  <c r="G503" i="2"/>
  <c r="F503" i="2"/>
  <c r="K502" i="2"/>
  <c r="J502" i="2"/>
  <c r="I502" i="2"/>
  <c r="H502" i="2"/>
  <c r="G502" i="2"/>
  <c r="F502" i="2"/>
  <c r="K501" i="2"/>
  <c r="J501" i="2"/>
  <c r="I501" i="2"/>
  <c r="H501" i="2"/>
  <c r="G501" i="2"/>
  <c r="F501" i="2"/>
  <c r="K500" i="2"/>
  <c r="J500" i="2"/>
  <c r="I500" i="2"/>
  <c r="H500" i="2"/>
  <c r="G500" i="2"/>
  <c r="F500" i="2"/>
  <c r="K499" i="2"/>
  <c r="J499" i="2"/>
  <c r="I499" i="2"/>
  <c r="H499" i="2"/>
  <c r="G499" i="2"/>
  <c r="F499" i="2"/>
  <c r="K498" i="2"/>
  <c r="J498" i="2"/>
  <c r="I498" i="2"/>
  <c r="H498" i="2"/>
  <c r="G498" i="2"/>
  <c r="F498" i="2"/>
  <c r="K497" i="2"/>
  <c r="J497" i="2"/>
  <c r="I497" i="2"/>
  <c r="H497" i="2"/>
  <c r="G497" i="2"/>
  <c r="F497" i="2"/>
  <c r="K496" i="2"/>
  <c r="J496" i="2"/>
  <c r="I496" i="2"/>
  <c r="H496" i="2"/>
  <c r="G496" i="2"/>
  <c r="F496" i="2"/>
  <c r="K495" i="2"/>
  <c r="J495" i="2"/>
  <c r="I495" i="2"/>
  <c r="H495" i="2"/>
  <c r="G495" i="2"/>
  <c r="F495" i="2"/>
  <c r="K494" i="2"/>
  <c r="J494" i="2"/>
  <c r="I494" i="2"/>
  <c r="H494" i="2"/>
  <c r="G494" i="2"/>
  <c r="F494" i="2"/>
  <c r="K493" i="2"/>
  <c r="J493" i="2"/>
  <c r="I493" i="2"/>
  <c r="H493" i="2"/>
  <c r="G493" i="2"/>
  <c r="F493" i="2"/>
  <c r="K492" i="2"/>
  <c r="J492" i="2"/>
  <c r="I492" i="2"/>
  <c r="H492" i="2"/>
  <c r="G492" i="2"/>
  <c r="F492" i="2"/>
  <c r="K491" i="2"/>
  <c r="J491" i="2"/>
  <c r="I491" i="2"/>
  <c r="H491" i="2"/>
  <c r="G491" i="2"/>
  <c r="F491" i="2"/>
  <c r="K490" i="2"/>
  <c r="J490" i="2"/>
  <c r="I490" i="2"/>
  <c r="H490" i="2"/>
  <c r="G490" i="2"/>
  <c r="F490" i="2"/>
  <c r="K489" i="2"/>
  <c r="J489" i="2"/>
  <c r="I489" i="2"/>
  <c r="H489" i="2"/>
  <c r="G489" i="2"/>
  <c r="F489" i="2"/>
  <c r="K488" i="2"/>
  <c r="J488" i="2"/>
  <c r="I488" i="2"/>
  <c r="H488" i="2"/>
  <c r="G488" i="2"/>
  <c r="F488" i="2"/>
  <c r="K487" i="2"/>
  <c r="J487" i="2"/>
  <c r="I487" i="2"/>
  <c r="H487" i="2"/>
  <c r="G487" i="2"/>
  <c r="F487" i="2"/>
  <c r="K486" i="2"/>
  <c r="J486" i="2"/>
  <c r="I486" i="2"/>
  <c r="H486" i="2"/>
  <c r="G486" i="2"/>
  <c r="F486" i="2"/>
  <c r="K485" i="2"/>
  <c r="J485" i="2"/>
  <c r="I485" i="2"/>
  <c r="H485" i="2"/>
  <c r="G485" i="2"/>
  <c r="F485" i="2"/>
  <c r="K484" i="2"/>
  <c r="J484" i="2"/>
  <c r="I484" i="2"/>
  <c r="H484" i="2"/>
  <c r="G484" i="2"/>
  <c r="F484" i="2"/>
  <c r="K483" i="2"/>
  <c r="J483" i="2"/>
  <c r="I483" i="2"/>
  <c r="H483" i="2"/>
  <c r="G483" i="2"/>
  <c r="F483" i="2"/>
  <c r="K482" i="2"/>
  <c r="J482" i="2"/>
  <c r="I482" i="2"/>
  <c r="H482" i="2"/>
  <c r="G482" i="2"/>
  <c r="F482" i="2"/>
  <c r="K481" i="2"/>
  <c r="J481" i="2"/>
  <c r="I481" i="2"/>
  <c r="H481" i="2"/>
  <c r="G481" i="2"/>
  <c r="F481" i="2"/>
  <c r="K480" i="2"/>
  <c r="J480" i="2"/>
  <c r="I480" i="2"/>
  <c r="H480" i="2"/>
  <c r="G480" i="2"/>
  <c r="F480" i="2"/>
  <c r="K479" i="2"/>
  <c r="J479" i="2"/>
  <c r="I479" i="2"/>
  <c r="H479" i="2"/>
  <c r="G479" i="2"/>
  <c r="F479" i="2"/>
  <c r="K478" i="2"/>
  <c r="J478" i="2"/>
  <c r="I478" i="2"/>
  <c r="H478" i="2"/>
  <c r="G478" i="2"/>
  <c r="F478" i="2"/>
  <c r="K477" i="2"/>
  <c r="J477" i="2"/>
  <c r="I477" i="2"/>
  <c r="H477" i="2"/>
  <c r="G477" i="2"/>
  <c r="F477" i="2"/>
  <c r="K476" i="2"/>
  <c r="J476" i="2"/>
  <c r="I476" i="2"/>
  <c r="H476" i="2"/>
  <c r="G476" i="2"/>
  <c r="F476" i="2"/>
  <c r="K475" i="2"/>
  <c r="J475" i="2"/>
  <c r="I475" i="2"/>
  <c r="H475" i="2"/>
  <c r="G475" i="2"/>
  <c r="F475" i="2"/>
  <c r="K474" i="2"/>
  <c r="J474" i="2"/>
  <c r="I474" i="2"/>
  <c r="H474" i="2"/>
  <c r="G474" i="2"/>
  <c r="F474" i="2"/>
  <c r="K473" i="2"/>
  <c r="J473" i="2"/>
  <c r="I473" i="2"/>
  <c r="H473" i="2"/>
  <c r="G473" i="2"/>
  <c r="F473" i="2"/>
  <c r="K472" i="2"/>
  <c r="J472" i="2"/>
  <c r="I472" i="2"/>
  <c r="H472" i="2"/>
  <c r="G472" i="2"/>
  <c r="F472" i="2"/>
  <c r="K471" i="2"/>
  <c r="J471" i="2"/>
  <c r="I471" i="2"/>
  <c r="H471" i="2"/>
  <c r="G471" i="2"/>
  <c r="F471" i="2"/>
  <c r="K470" i="2"/>
  <c r="J470" i="2"/>
  <c r="I470" i="2"/>
  <c r="H470" i="2"/>
  <c r="G470" i="2"/>
  <c r="F470" i="2"/>
  <c r="K469" i="2"/>
  <c r="J469" i="2"/>
  <c r="I469" i="2"/>
  <c r="H469" i="2"/>
  <c r="G469" i="2"/>
  <c r="F469" i="2"/>
  <c r="K468" i="2"/>
  <c r="J468" i="2"/>
  <c r="I468" i="2"/>
  <c r="H468" i="2"/>
  <c r="G468" i="2"/>
  <c r="F468" i="2"/>
  <c r="K467" i="2"/>
  <c r="J467" i="2"/>
  <c r="I467" i="2"/>
  <c r="H467" i="2"/>
  <c r="G467" i="2"/>
  <c r="F467" i="2"/>
  <c r="K466" i="2"/>
  <c r="J466" i="2"/>
  <c r="I466" i="2"/>
  <c r="H466" i="2"/>
  <c r="G466" i="2"/>
  <c r="F466" i="2"/>
  <c r="K465" i="2"/>
  <c r="J465" i="2"/>
  <c r="I465" i="2"/>
  <c r="H465" i="2"/>
  <c r="G465" i="2"/>
  <c r="F465" i="2"/>
  <c r="K464" i="2"/>
  <c r="J464" i="2"/>
  <c r="I464" i="2"/>
  <c r="H464" i="2"/>
  <c r="G464" i="2"/>
  <c r="F464" i="2"/>
  <c r="K463" i="2"/>
  <c r="J463" i="2"/>
  <c r="I463" i="2"/>
  <c r="H463" i="2"/>
  <c r="G463" i="2"/>
  <c r="F463" i="2"/>
  <c r="K462" i="2"/>
  <c r="J462" i="2"/>
  <c r="I462" i="2"/>
  <c r="H462" i="2"/>
  <c r="G462" i="2"/>
  <c r="F462" i="2"/>
  <c r="K461" i="2"/>
  <c r="J461" i="2"/>
  <c r="I461" i="2"/>
  <c r="H461" i="2"/>
  <c r="G461" i="2"/>
  <c r="F461" i="2"/>
  <c r="K460" i="2"/>
  <c r="J460" i="2"/>
  <c r="I460" i="2"/>
  <c r="H460" i="2"/>
  <c r="G460" i="2"/>
  <c r="F460" i="2"/>
  <c r="K459" i="2"/>
  <c r="J459" i="2"/>
  <c r="I459" i="2"/>
  <c r="H459" i="2"/>
  <c r="G459" i="2"/>
  <c r="F459" i="2"/>
  <c r="K458" i="2"/>
  <c r="J458" i="2"/>
  <c r="I458" i="2"/>
  <c r="H458" i="2"/>
  <c r="G458" i="2"/>
  <c r="F458" i="2"/>
  <c r="K457" i="2"/>
  <c r="J457" i="2"/>
  <c r="I457" i="2"/>
  <c r="H457" i="2"/>
  <c r="G457" i="2"/>
  <c r="F457" i="2"/>
  <c r="K456" i="2"/>
  <c r="J456" i="2"/>
  <c r="I456" i="2"/>
  <c r="H456" i="2"/>
  <c r="G456" i="2"/>
  <c r="F456" i="2"/>
  <c r="K455" i="2"/>
  <c r="J455" i="2"/>
  <c r="I455" i="2"/>
  <c r="H455" i="2"/>
  <c r="G455" i="2"/>
  <c r="F455" i="2"/>
  <c r="K454" i="2"/>
  <c r="J454" i="2"/>
  <c r="I454" i="2"/>
  <c r="H454" i="2"/>
  <c r="G454" i="2"/>
  <c r="F454" i="2"/>
  <c r="K453" i="2"/>
  <c r="J453" i="2"/>
  <c r="I453" i="2"/>
  <c r="H453" i="2"/>
  <c r="G453" i="2"/>
  <c r="F453" i="2"/>
  <c r="K452" i="2"/>
  <c r="J452" i="2"/>
  <c r="I452" i="2"/>
  <c r="H452" i="2"/>
  <c r="G452" i="2"/>
  <c r="F452" i="2"/>
  <c r="K451" i="2"/>
  <c r="J451" i="2"/>
  <c r="I451" i="2"/>
  <c r="H451" i="2"/>
  <c r="G451" i="2"/>
  <c r="F451" i="2"/>
  <c r="K450" i="2"/>
  <c r="J450" i="2"/>
  <c r="I450" i="2"/>
  <c r="H450" i="2"/>
  <c r="G450" i="2"/>
  <c r="F450" i="2"/>
  <c r="K449" i="2"/>
  <c r="J449" i="2"/>
  <c r="I449" i="2"/>
  <c r="H449" i="2"/>
  <c r="G449" i="2"/>
  <c r="F449" i="2"/>
  <c r="K448" i="2"/>
  <c r="J448" i="2"/>
  <c r="I448" i="2"/>
  <c r="H448" i="2"/>
  <c r="G448" i="2"/>
  <c r="F448" i="2"/>
  <c r="K447" i="2"/>
  <c r="J447" i="2"/>
  <c r="I447" i="2"/>
  <c r="H447" i="2"/>
  <c r="G447" i="2"/>
  <c r="F447" i="2"/>
  <c r="K446" i="2"/>
  <c r="J446" i="2"/>
  <c r="I446" i="2"/>
  <c r="H446" i="2"/>
  <c r="G446" i="2"/>
  <c r="F446" i="2"/>
  <c r="K445" i="2"/>
  <c r="J445" i="2"/>
  <c r="I445" i="2"/>
  <c r="H445" i="2"/>
  <c r="G445" i="2"/>
  <c r="F445" i="2"/>
  <c r="K444" i="2"/>
  <c r="J444" i="2"/>
  <c r="I444" i="2"/>
  <c r="H444" i="2"/>
  <c r="G444" i="2"/>
  <c r="F444" i="2"/>
  <c r="K443" i="2"/>
  <c r="J443" i="2"/>
  <c r="I443" i="2"/>
  <c r="H443" i="2"/>
  <c r="G443" i="2"/>
  <c r="F443" i="2"/>
  <c r="K442" i="2"/>
  <c r="J442" i="2"/>
  <c r="I442" i="2"/>
  <c r="H442" i="2"/>
  <c r="G442" i="2"/>
  <c r="F442" i="2"/>
  <c r="K441" i="2"/>
  <c r="J441" i="2"/>
  <c r="I441" i="2"/>
  <c r="H441" i="2"/>
  <c r="G441" i="2"/>
  <c r="F441" i="2"/>
  <c r="K440" i="2"/>
  <c r="J440" i="2"/>
  <c r="I440" i="2"/>
  <c r="H440" i="2"/>
  <c r="G440" i="2"/>
  <c r="F440" i="2"/>
  <c r="K439" i="2"/>
  <c r="J439" i="2"/>
  <c r="I439" i="2"/>
  <c r="H439" i="2"/>
  <c r="G439" i="2"/>
  <c r="F439" i="2"/>
  <c r="K438" i="2"/>
  <c r="J438" i="2"/>
  <c r="I438" i="2"/>
  <c r="H438" i="2"/>
  <c r="G438" i="2"/>
  <c r="F438" i="2"/>
  <c r="K437" i="2"/>
  <c r="J437" i="2"/>
  <c r="I437" i="2"/>
  <c r="H437" i="2"/>
  <c r="G437" i="2"/>
  <c r="F437" i="2"/>
  <c r="K436" i="2"/>
  <c r="J436" i="2"/>
  <c r="I436" i="2"/>
  <c r="H436" i="2"/>
  <c r="G436" i="2"/>
  <c r="F436" i="2"/>
  <c r="K435" i="2"/>
  <c r="J435" i="2"/>
  <c r="I435" i="2"/>
  <c r="H435" i="2"/>
  <c r="G435" i="2"/>
  <c r="F435" i="2"/>
  <c r="K434" i="2"/>
  <c r="J434" i="2"/>
  <c r="I434" i="2"/>
  <c r="H434" i="2"/>
  <c r="G434" i="2"/>
  <c r="F434" i="2"/>
  <c r="K433" i="2"/>
  <c r="J433" i="2"/>
  <c r="I433" i="2"/>
  <c r="H433" i="2"/>
  <c r="G433" i="2"/>
  <c r="F433" i="2"/>
  <c r="K432" i="2"/>
  <c r="J432" i="2"/>
  <c r="I432" i="2"/>
  <c r="H432" i="2"/>
  <c r="G432" i="2"/>
  <c r="F432" i="2"/>
  <c r="K431" i="2"/>
  <c r="J431" i="2"/>
  <c r="I431" i="2"/>
  <c r="H431" i="2"/>
  <c r="G431" i="2"/>
  <c r="F431" i="2"/>
  <c r="K430" i="2"/>
  <c r="J430" i="2"/>
  <c r="I430" i="2"/>
  <c r="H430" i="2"/>
  <c r="G430" i="2"/>
  <c r="F430" i="2"/>
  <c r="K429" i="2"/>
  <c r="J429" i="2"/>
  <c r="I429" i="2"/>
  <c r="H429" i="2"/>
  <c r="G429" i="2"/>
  <c r="F429" i="2"/>
  <c r="K428" i="2"/>
  <c r="J428" i="2"/>
  <c r="I428" i="2"/>
  <c r="H428" i="2"/>
  <c r="G428" i="2"/>
  <c r="F428" i="2"/>
  <c r="K427" i="2"/>
  <c r="J427" i="2"/>
  <c r="I427" i="2"/>
  <c r="H427" i="2"/>
  <c r="G427" i="2"/>
  <c r="F427" i="2"/>
  <c r="K426" i="2"/>
  <c r="J426" i="2"/>
  <c r="I426" i="2"/>
  <c r="H426" i="2"/>
  <c r="G426" i="2"/>
  <c r="F426" i="2"/>
  <c r="K425" i="2"/>
  <c r="J425" i="2"/>
  <c r="I425" i="2"/>
  <c r="H425" i="2"/>
  <c r="G425" i="2"/>
  <c r="F425" i="2"/>
  <c r="K424" i="2"/>
  <c r="J424" i="2"/>
  <c r="I424" i="2"/>
  <c r="H424" i="2"/>
  <c r="G424" i="2"/>
  <c r="F424" i="2"/>
  <c r="K423" i="2"/>
  <c r="J423" i="2"/>
  <c r="I423" i="2"/>
  <c r="H423" i="2"/>
  <c r="G423" i="2"/>
  <c r="F423" i="2"/>
  <c r="K422" i="2"/>
  <c r="J422" i="2"/>
  <c r="I422" i="2"/>
  <c r="H422" i="2"/>
  <c r="G422" i="2"/>
  <c r="F422" i="2"/>
  <c r="K421" i="2"/>
  <c r="J421" i="2"/>
  <c r="I421" i="2"/>
  <c r="H421" i="2"/>
  <c r="G421" i="2"/>
  <c r="F421" i="2"/>
  <c r="K420" i="2"/>
  <c r="J420" i="2"/>
  <c r="I420" i="2"/>
  <c r="H420" i="2"/>
  <c r="G420" i="2"/>
  <c r="F420" i="2"/>
  <c r="K419" i="2"/>
  <c r="J419" i="2"/>
  <c r="I419" i="2"/>
  <c r="H419" i="2"/>
  <c r="G419" i="2"/>
  <c r="F419" i="2"/>
  <c r="K418" i="2"/>
  <c r="J418" i="2"/>
  <c r="I418" i="2"/>
  <c r="H418" i="2"/>
  <c r="G418" i="2"/>
  <c r="F418" i="2"/>
  <c r="K417" i="2"/>
  <c r="J417" i="2"/>
  <c r="I417" i="2"/>
  <c r="H417" i="2"/>
  <c r="G417" i="2"/>
  <c r="F417" i="2"/>
  <c r="K416" i="2"/>
  <c r="J416" i="2"/>
  <c r="I416" i="2"/>
  <c r="H416" i="2"/>
  <c r="G416" i="2"/>
  <c r="F416" i="2"/>
  <c r="K415" i="2"/>
  <c r="J415" i="2"/>
  <c r="I415" i="2"/>
  <c r="H415" i="2"/>
  <c r="G415" i="2"/>
  <c r="F415" i="2"/>
  <c r="K414" i="2"/>
  <c r="J414" i="2"/>
  <c r="I414" i="2"/>
  <c r="H414" i="2"/>
  <c r="G414" i="2"/>
  <c r="F414" i="2"/>
  <c r="K413" i="2"/>
  <c r="J413" i="2"/>
  <c r="I413" i="2"/>
  <c r="H413" i="2"/>
  <c r="G413" i="2"/>
  <c r="F413" i="2"/>
  <c r="K412" i="2"/>
  <c r="J412" i="2"/>
  <c r="I412" i="2"/>
  <c r="H412" i="2"/>
  <c r="G412" i="2"/>
  <c r="F412" i="2"/>
  <c r="K411" i="2"/>
  <c r="J411" i="2"/>
  <c r="I411" i="2"/>
  <c r="H411" i="2"/>
  <c r="G411" i="2"/>
  <c r="F411" i="2"/>
  <c r="K410" i="2"/>
  <c r="J410" i="2"/>
  <c r="I410" i="2"/>
  <c r="H410" i="2"/>
  <c r="G410" i="2"/>
  <c r="F410" i="2"/>
  <c r="K409" i="2"/>
  <c r="J409" i="2"/>
  <c r="I409" i="2"/>
  <c r="H409" i="2"/>
  <c r="G409" i="2"/>
  <c r="F409" i="2"/>
  <c r="K408" i="2"/>
  <c r="J408" i="2"/>
  <c r="I408" i="2"/>
  <c r="H408" i="2"/>
  <c r="G408" i="2"/>
  <c r="F408" i="2"/>
  <c r="K407" i="2"/>
  <c r="J407" i="2"/>
  <c r="I407" i="2"/>
  <c r="H407" i="2"/>
  <c r="G407" i="2"/>
  <c r="F407" i="2"/>
  <c r="K406" i="2"/>
  <c r="J406" i="2"/>
  <c r="I406" i="2"/>
  <c r="H406" i="2"/>
  <c r="G406" i="2"/>
  <c r="F406" i="2"/>
  <c r="K405" i="2"/>
  <c r="J405" i="2"/>
  <c r="I405" i="2"/>
  <c r="H405" i="2"/>
  <c r="G405" i="2"/>
  <c r="F405" i="2"/>
  <c r="K404" i="2"/>
  <c r="J404" i="2"/>
  <c r="I404" i="2"/>
  <c r="H404" i="2"/>
  <c r="G404" i="2"/>
  <c r="F404" i="2"/>
  <c r="K403" i="2"/>
  <c r="J403" i="2"/>
  <c r="I403" i="2"/>
  <c r="H403" i="2"/>
  <c r="G403" i="2"/>
  <c r="F403" i="2"/>
  <c r="K402" i="2"/>
  <c r="J402" i="2"/>
  <c r="I402" i="2"/>
  <c r="H402" i="2"/>
  <c r="G402" i="2"/>
  <c r="F402" i="2"/>
  <c r="K401" i="2"/>
  <c r="J401" i="2"/>
  <c r="I401" i="2"/>
  <c r="H401" i="2"/>
  <c r="G401" i="2"/>
  <c r="F401" i="2"/>
  <c r="K400" i="2"/>
  <c r="J400" i="2"/>
  <c r="I400" i="2"/>
  <c r="H400" i="2"/>
  <c r="G400" i="2"/>
  <c r="F400" i="2"/>
  <c r="K399" i="2"/>
  <c r="J399" i="2"/>
  <c r="I399" i="2"/>
  <c r="H399" i="2"/>
  <c r="G399" i="2"/>
  <c r="F399" i="2"/>
  <c r="K398" i="2"/>
  <c r="J398" i="2"/>
  <c r="I398" i="2"/>
  <c r="H398" i="2"/>
  <c r="G398" i="2"/>
  <c r="F398" i="2"/>
  <c r="K397" i="2"/>
  <c r="J397" i="2"/>
  <c r="I397" i="2"/>
  <c r="H397" i="2"/>
  <c r="G397" i="2"/>
  <c r="F397" i="2"/>
  <c r="K396" i="2"/>
  <c r="J396" i="2"/>
  <c r="I396" i="2"/>
  <c r="H396" i="2"/>
  <c r="G396" i="2"/>
  <c r="F396" i="2"/>
  <c r="K395" i="2"/>
  <c r="J395" i="2"/>
  <c r="I395" i="2"/>
  <c r="H395" i="2"/>
  <c r="G395" i="2"/>
  <c r="F395" i="2"/>
  <c r="K394" i="2"/>
  <c r="J394" i="2"/>
  <c r="I394" i="2"/>
  <c r="H394" i="2"/>
  <c r="G394" i="2"/>
  <c r="F394" i="2"/>
  <c r="K393" i="2"/>
  <c r="J393" i="2"/>
  <c r="I393" i="2"/>
  <c r="H393" i="2"/>
  <c r="G393" i="2"/>
  <c r="F393" i="2"/>
  <c r="K392" i="2"/>
  <c r="J392" i="2"/>
  <c r="I392" i="2"/>
  <c r="H392" i="2"/>
  <c r="G392" i="2"/>
  <c r="F392" i="2"/>
  <c r="K391" i="2"/>
  <c r="J391" i="2"/>
  <c r="I391" i="2"/>
  <c r="H391" i="2"/>
  <c r="G391" i="2"/>
  <c r="F391" i="2"/>
  <c r="K390" i="2"/>
  <c r="J390" i="2"/>
  <c r="I390" i="2"/>
  <c r="H390" i="2"/>
  <c r="G390" i="2"/>
  <c r="F390" i="2"/>
  <c r="K389" i="2"/>
  <c r="J389" i="2"/>
  <c r="I389" i="2"/>
  <c r="H389" i="2"/>
  <c r="G389" i="2"/>
  <c r="F389" i="2"/>
  <c r="K388" i="2"/>
  <c r="J388" i="2"/>
  <c r="I388" i="2"/>
  <c r="H388" i="2"/>
  <c r="G388" i="2"/>
  <c r="F388" i="2"/>
  <c r="K387" i="2"/>
  <c r="J387" i="2"/>
  <c r="I387" i="2"/>
  <c r="H387" i="2"/>
  <c r="G387" i="2"/>
  <c r="F387" i="2"/>
  <c r="K386" i="2"/>
  <c r="J386" i="2"/>
  <c r="I386" i="2"/>
  <c r="H386" i="2"/>
  <c r="G386" i="2"/>
  <c r="F386" i="2"/>
  <c r="K385" i="2"/>
  <c r="J385" i="2"/>
  <c r="I385" i="2"/>
  <c r="H385" i="2"/>
  <c r="G385" i="2"/>
  <c r="F385" i="2"/>
  <c r="K384" i="2"/>
  <c r="J384" i="2"/>
  <c r="I384" i="2"/>
  <c r="H384" i="2"/>
  <c r="G384" i="2"/>
  <c r="F384" i="2"/>
  <c r="K383" i="2"/>
  <c r="J383" i="2"/>
  <c r="I383" i="2"/>
  <c r="H383" i="2"/>
  <c r="G383" i="2"/>
  <c r="F383" i="2"/>
  <c r="K382" i="2"/>
  <c r="J382" i="2"/>
  <c r="I382" i="2"/>
  <c r="H382" i="2"/>
  <c r="G382" i="2"/>
  <c r="F382" i="2"/>
  <c r="K381" i="2"/>
  <c r="J381" i="2"/>
  <c r="I381" i="2"/>
  <c r="H381" i="2"/>
  <c r="G381" i="2"/>
  <c r="F381" i="2"/>
  <c r="K380" i="2"/>
  <c r="J380" i="2"/>
  <c r="I380" i="2"/>
  <c r="H380" i="2"/>
  <c r="G380" i="2"/>
  <c r="F380" i="2"/>
  <c r="K379" i="2"/>
  <c r="J379" i="2"/>
  <c r="I379" i="2"/>
  <c r="H379" i="2"/>
  <c r="G379" i="2"/>
  <c r="F379" i="2"/>
  <c r="K378" i="2"/>
  <c r="J378" i="2"/>
  <c r="I378" i="2"/>
  <c r="H378" i="2"/>
  <c r="G378" i="2"/>
  <c r="F378" i="2"/>
  <c r="K377" i="2"/>
  <c r="J377" i="2"/>
  <c r="I377" i="2"/>
  <c r="H377" i="2"/>
  <c r="G377" i="2"/>
  <c r="F377" i="2"/>
  <c r="K376" i="2"/>
  <c r="J376" i="2"/>
  <c r="I376" i="2"/>
  <c r="H376" i="2"/>
  <c r="G376" i="2"/>
  <c r="F376" i="2"/>
  <c r="K375" i="2"/>
  <c r="J375" i="2"/>
  <c r="I375" i="2"/>
  <c r="H375" i="2"/>
  <c r="G375" i="2"/>
  <c r="F375" i="2"/>
  <c r="K374" i="2"/>
  <c r="J374" i="2"/>
  <c r="I374" i="2"/>
  <c r="H374" i="2"/>
  <c r="G374" i="2"/>
  <c r="F374" i="2"/>
  <c r="K373" i="2"/>
  <c r="J373" i="2"/>
  <c r="I373" i="2"/>
  <c r="H373" i="2"/>
  <c r="G373" i="2"/>
  <c r="F373" i="2"/>
  <c r="K372" i="2"/>
  <c r="J372" i="2"/>
  <c r="I372" i="2"/>
  <c r="H372" i="2"/>
  <c r="G372" i="2"/>
  <c r="F372" i="2"/>
  <c r="K371" i="2"/>
  <c r="J371" i="2"/>
  <c r="I371" i="2"/>
  <c r="H371" i="2"/>
  <c r="G371" i="2"/>
  <c r="F371" i="2"/>
  <c r="K370" i="2"/>
  <c r="J370" i="2"/>
  <c r="I370" i="2"/>
  <c r="H370" i="2"/>
  <c r="G370" i="2"/>
  <c r="F370" i="2"/>
  <c r="K369" i="2"/>
  <c r="J369" i="2"/>
  <c r="I369" i="2"/>
  <c r="H369" i="2"/>
  <c r="G369" i="2"/>
  <c r="F369" i="2"/>
  <c r="K368" i="2"/>
  <c r="J368" i="2"/>
  <c r="I368" i="2"/>
  <c r="H368" i="2"/>
  <c r="G368" i="2"/>
  <c r="F368" i="2"/>
  <c r="K367" i="2"/>
  <c r="J367" i="2"/>
  <c r="I367" i="2"/>
  <c r="H367" i="2"/>
  <c r="G367" i="2"/>
  <c r="F367" i="2"/>
  <c r="K366" i="2"/>
  <c r="J366" i="2"/>
  <c r="I366" i="2"/>
  <c r="H366" i="2"/>
  <c r="G366" i="2"/>
  <c r="F366" i="2"/>
  <c r="K365" i="2"/>
  <c r="J365" i="2"/>
  <c r="I365" i="2"/>
  <c r="H365" i="2"/>
  <c r="G365" i="2"/>
  <c r="F365" i="2"/>
  <c r="K364" i="2"/>
  <c r="J364" i="2"/>
  <c r="I364" i="2"/>
  <c r="H364" i="2"/>
  <c r="G364" i="2"/>
  <c r="F364" i="2"/>
  <c r="K363" i="2"/>
  <c r="J363" i="2"/>
  <c r="I363" i="2"/>
  <c r="H363" i="2"/>
  <c r="G363" i="2"/>
  <c r="F363" i="2"/>
  <c r="K362" i="2"/>
  <c r="J362" i="2"/>
  <c r="I362" i="2"/>
  <c r="H362" i="2"/>
  <c r="G362" i="2"/>
  <c r="F362" i="2"/>
  <c r="K361" i="2"/>
  <c r="J361" i="2"/>
  <c r="I361" i="2"/>
  <c r="H361" i="2"/>
  <c r="G361" i="2"/>
  <c r="F361" i="2"/>
  <c r="K360" i="2"/>
  <c r="J360" i="2"/>
  <c r="I360" i="2"/>
  <c r="H360" i="2"/>
  <c r="G360" i="2"/>
  <c r="F360" i="2"/>
  <c r="K359" i="2"/>
  <c r="J359" i="2"/>
  <c r="I359" i="2"/>
  <c r="H359" i="2"/>
  <c r="G359" i="2"/>
  <c r="F359" i="2"/>
  <c r="K358" i="2"/>
  <c r="J358" i="2"/>
  <c r="I358" i="2"/>
  <c r="H358" i="2"/>
  <c r="G358" i="2"/>
  <c r="F358" i="2"/>
  <c r="K357" i="2"/>
  <c r="J357" i="2"/>
  <c r="I357" i="2"/>
  <c r="H357" i="2"/>
  <c r="G357" i="2"/>
  <c r="F357" i="2"/>
  <c r="K356" i="2"/>
  <c r="J356" i="2"/>
  <c r="I356" i="2"/>
  <c r="H356" i="2"/>
  <c r="G356" i="2"/>
  <c r="F356" i="2"/>
  <c r="K355" i="2"/>
  <c r="J355" i="2"/>
  <c r="I355" i="2"/>
  <c r="H355" i="2"/>
  <c r="G355" i="2"/>
  <c r="F355" i="2"/>
  <c r="K354" i="2"/>
  <c r="J354" i="2"/>
  <c r="I354" i="2"/>
  <c r="H354" i="2"/>
  <c r="G354" i="2"/>
  <c r="F354" i="2"/>
  <c r="K353" i="2"/>
  <c r="J353" i="2"/>
  <c r="I353" i="2"/>
  <c r="H353" i="2"/>
  <c r="G353" i="2"/>
  <c r="F353" i="2"/>
  <c r="K352" i="2"/>
  <c r="J352" i="2"/>
  <c r="I352" i="2"/>
  <c r="H352" i="2"/>
  <c r="G352" i="2"/>
  <c r="F352" i="2"/>
  <c r="K351" i="2"/>
  <c r="J351" i="2"/>
  <c r="I351" i="2"/>
  <c r="H351" i="2"/>
  <c r="G351" i="2"/>
  <c r="F351" i="2"/>
  <c r="K350" i="2"/>
  <c r="J350" i="2"/>
  <c r="I350" i="2"/>
  <c r="H350" i="2"/>
  <c r="G350" i="2"/>
  <c r="F350" i="2"/>
  <c r="K349" i="2"/>
  <c r="J349" i="2"/>
  <c r="I349" i="2"/>
  <c r="H349" i="2"/>
  <c r="G349" i="2"/>
  <c r="F349" i="2"/>
  <c r="K348" i="2"/>
  <c r="J348" i="2"/>
  <c r="I348" i="2"/>
  <c r="H348" i="2"/>
  <c r="G348" i="2"/>
  <c r="F348" i="2"/>
  <c r="K347" i="2"/>
  <c r="J347" i="2"/>
  <c r="I347" i="2"/>
  <c r="H347" i="2"/>
  <c r="G347" i="2"/>
  <c r="F347" i="2"/>
  <c r="K346" i="2"/>
  <c r="J346" i="2"/>
  <c r="I346" i="2"/>
  <c r="H346" i="2"/>
  <c r="G346" i="2"/>
  <c r="F346" i="2"/>
  <c r="K345" i="2"/>
  <c r="J345" i="2"/>
  <c r="I345" i="2"/>
  <c r="H345" i="2"/>
  <c r="G345" i="2"/>
  <c r="F345" i="2"/>
  <c r="K344" i="2"/>
  <c r="J344" i="2"/>
  <c r="I344" i="2"/>
  <c r="H344" i="2"/>
  <c r="G344" i="2"/>
  <c r="F344" i="2"/>
  <c r="K343" i="2"/>
  <c r="J343" i="2"/>
  <c r="I343" i="2"/>
  <c r="H343" i="2"/>
  <c r="G343" i="2"/>
  <c r="F343" i="2"/>
  <c r="K342" i="2"/>
  <c r="J342" i="2"/>
  <c r="I342" i="2"/>
  <c r="H342" i="2"/>
  <c r="G342" i="2"/>
  <c r="F342" i="2"/>
  <c r="K341" i="2"/>
  <c r="J341" i="2"/>
  <c r="I341" i="2"/>
  <c r="H341" i="2"/>
  <c r="G341" i="2"/>
  <c r="F341" i="2"/>
  <c r="K340" i="2"/>
  <c r="J340" i="2"/>
  <c r="I340" i="2"/>
  <c r="H340" i="2"/>
  <c r="G340" i="2"/>
  <c r="F340" i="2"/>
  <c r="K339" i="2"/>
  <c r="J339" i="2"/>
  <c r="I339" i="2"/>
  <c r="H339" i="2"/>
  <c r="G339" i="2"/>
  <c r="F339" i="2"/>
  <c r="K338" i="2"/>
  <c r="J338" i="2"/>
  <c r="I338" i="2"/>
  <c r="H338" i="2"/>
  <c r="G338" i="2"/>
  <c r="F338" i="2"/>
  <c r="K337" i="2"/>
  <c r="J337" i="2"/>
  <c r="I337" i="2"/>
  <c r="H337" i="2"/>
  <c r="G337" i="2"/>
  <c r="F337" i="2"/>
  <c r="K336" i="2"/>
  <c r="J336" i="2"/>
  <c r="I336" i="2"/>
  <c r="H336" i="2"/>
  <c r="G336" i="2"/>
  <c r="F336" i="2"/>
  <c r="K335" i="2"/>
  <c r="J335" i="2"/>
  <c r="I335" i="2"/>
  <c r="H335" i="2"/>
  <c r="G335" i="2"/>
  <c r="F335" i="2"/>
  <c r="K334" i="2"/>
  <c r="J334" i="2"/>
  <c r="I334" i="2"/>
  <c r="H334" i="2"/>
  <c r="G334" i="2"/>
  <c r="F334" i="2"/>
  <c r="K333" i="2"/>
  <c r="J333" i="2"/>
  <c r="I333" i="2"/>
  <c r="H333" i="2"/>
  <c r="G333" i="2"/>
  <c r="F333" i="2"/>
  <c r="K332" i="2"/>
  <c r="J332" i="2"/>
  <c r="I332" i="2"/>
  <c r="H332" i="2"/>
  <c r="G332" i="2"/>
  <c r="F332" i="2"/>
  <c r="K331" i="2"/>
  <c r="J331" i="2"/>
  <c r="I331" i="2"/>
  <c r="H331" i="2"/>
  <c r="G331" i="2"/>
  <c r="F331" i="2"/>
  <c r="K330" i="2"/>
  <c r="J330" i="2"/>
  <c r="I330" i="2"/>
  <c r="H330" i="2"/>
  <c r="G330" i="2"/>
  <c r="F330" i="2"/>
  <c r="K329" i="2"/>
  <c r="J329" i="2"/>
  <c r="I329" i="2"/>
  <c r="H329" i="2"/>
  <c r="G329" i="2"/>
  <c r="F329" i="2"/>
  <c r="K328" i="2"/>
  <c r="J328" i="2"/>
  <c r="I328" i="2"/>
  <c r="H328" i="2"/>
  <c r="G328" i="2"/>
  <c r="F328" i="2"/>
  <c r="K327" i="2"/>
  <c r="J327" i="2"/>
  <c r="I327" i="2"/>
  <c r="H327" i="2"/>
  <c r="G327" i="2"/>
  <c r="F327" i="2"/>
  <c r="K326" i="2"/>
  <c r="J326" i="2"/>
  <c r="I326" i="2"/>
  <c r="H326" i="2"/>
  <c r="G326" i="2"/>
  <c r="F326" i="2"/>
  <c r="K325" i="2"/>
  <c r="J325" i="2"/>
  <c r="I325" i="2"/>
  <c r="H325" i="2"/>
  <c r="G325" i="2"/>
  <c r="F325" i="2"/>
  <c r="K324" i="2"/>
  <c r="J324" i="2"/>
  <c r="I324" i="2"/>
  <c r="H324" i="2"/>
  <c r="G324" i="2"/>
  <c r="F324" i="2"/>
  <c r="K323" i="2"/>
  <c r="J323" i="2"/>
  <c r="I323" i="2"/>
  <c r="H323" i="2"/>
  <c r="G323" i="2"/>
  <c r="F323" i="2"/>
  <c r="K322" i="2"/>
  <c r="J322" i="2"/>
  <c r="I322" i="2"/>
  <c r="H322" i="2"/>
  <c r="G322" i="2"/>
  <c r="F322" i="2"/>
  <c r="K321" i="2"/>
  <c r="J321" i="2"/>
  <c r="I321" i="2"/>
  <c r="H321" i="2"/>
  <c r="G321" i="2"/>
  <c r="F321" i="2"/>
  <c r="K320" i="2"/>
  <c r="J320" i="2"/>
  <c r="I320" i="2"/>
  <c r="H320" i="2"/>
  <c r="G320" i="2"/>
  <c r="F320" i="2"/>
  <c r="K319" i="2"/>
  <c r="J319" i="2"/>
  <c r="I319" i="2"/>
  <c r="H319" i="2"/>
  <c r="G319" i="2"/>
  <c r="F319" i="2"/>
  <c r="K318" i="2"/>
  <c r="J318" i="2"/>
  <c r="I318" i="2"/>
  <c r="H318" i="2"/>
  <c r="G318" i="2"/>
  <c r="F318" i="2"/>
  <c r="K317" i="2"/>
  <c r="J317" i="2"/>
  <c r="I317" i="2"/>
  <c r="H317" i="2"/>
  <c r="G317" i="2"/>
  <c r="F317" i="2"/>
  <c r="K316" i="2"/>
  <c r="J316" i="2"/>
  <c r="I316" i="2"/>
  <c r="H316" i="2"/>
  <c r="G316" i="2"/>
  <c r="F316" i="2"/>
  <c r="K315" i="2"/>
  <c r="J315" i="2"/>
  <c r="I315" i="2"/>
  <c r="H315" i="2"/>
  <c r="G315" i="2"/>
  <c r="F315" i="2"/>
  <c r="K314" i="2"/>
  <c r="J314" i="2"/>
  <c r="I314" i="2"/>
  <c r="H314" i="2"/>
  <c r="G314" i="2"/>
  <c r="F314" i="2"/>
  <c r="K313" i="2"/>
  <c r="J313" i="2"/>
  <c r="I313" i="2"/>
  <c r="H313" i="2"/>
  <c r="G313" i="2"/>
  <c r="F313" i="2"/>
  <c r="K312" i="2"/>
  <c r="J312" i="2"/>
  <c r="I312" i="2"/>
  <c r="H312" i="2"/>
  <c r="G312" i="2"/>
  <c r="F312" i="2"/>
  <c r="K311" i="2"/>
  <c r="J311" i="2"/>
  <c r="I311" i="2"/>
  <c r="H311" i="2"/>
  <c r="G311" i="2"/>
  <c r="F311" i="2"/>
  <c r="K310" i="2"/>
  <c r="J310" i="2"/>
  <c r="I310" i="2"/>
  <c r="H310" i="2"/>
  <c r="G310" i="2"/>
  <c r="F310" i="2"/>
  <c r="K309" i="2"/>
  <c r="J309" i="2"/>
  <c r="I309" i="2"/>
  <c r="H309" i="2"/>
  <c r="G309" i="2"/>
  <c r="F309" i="2"/>
  <c r="K308" i="2"/>
  <c r="J308" i="2"/>
  <c r="I308" i="2"/>
  <c r="H308" i="2"/>
  <c r="G308" i="2"/>
  <c r="F308" i="2"/>
  <c r="K307" i="2"/>
  <c r="J307" i="2"/>
  <c r="I307" i="2"/>
  <c r="H307" i="2"/>
  <c r="G307" i="2"/>
  <c r="F307" i="2"/>
  <c r="K306" i="2"/>
  <c r="J306" i="2"/>
  <c r="I306" i="2"/>
  <c r="H306" i="2"/>
  <c r="G306" i="2"/>
  <c r="F306" i="2"/>
  <c r="K305" i="2"/>
  <c r="J305" i="2"/>
  <c r="I305" i="2"/>
  <c r="H305" i="2"/>
  <c r="G305" i="2"/>
  <c r="F305" i="2"/>
  <c r="K304" i="2"/>
  <c r="J304" i="2"/>
  <c r="I304" i="2"/>
  <c r="H304" i="2"/>
  <c r="G304" i="2"/>
  <c r="F304" i="2"/>
  <c r="K303" i="2"/>
  <c r="J303" i="2"/>
  <c r="I303" i="2"/>
  <c r="H303" i="2"/>
  <c r="G303" i="2"/>
  <c r="F303" i="2"/>
  <c r="K302" i="2"/>
  <c r="J302" i="2"/>
  <c r="I302" i="2"/>
  <c r="H302" i="2"/>
  <c r="G302" i="2"/>
  <c r="F302" i="2"/>
  <c r="K301" i="2"/>
  <c r="J301" i="2"/>
  <c r="I301" i="2"/>
  <c r="H301" i="2"/>
  <c r="G301" i="2"/>
  <c r="F301" i="2"/>
  <c r="K300" i="2"/>
  <c r="J300" i="2"/>
  <c r="I300" i="2"/>
  <c r="H300" i="2"/>
  <c r="G300" i="2"/>
  <c r="F300" i="2"/>
  <c r="K299" i="2"/>
  <c r="J299" i="2"/>
  <c r="I299" i="2"/>
  <c r="H299" i="2"/>
  <c r="G299" i="2"/>
  <c r="F299" i="2"/>
  <c r="K298" i="2"/>
  <c r="J298" i="2"/>
  <c r="I298" i="2"/>
  <c r="H298" i="2"/>
  <c r="G298" i="2"/>
  <c r="F298" i="2"/>
  <c r="K297" i="2"/>
  <c r="J297" i="2"/>
  <c r="I297" i="2"/>
  <c r="H297" i="2"/>
  <c r="G297" i="2"/>
  <c r="F297" i="2"/>
  <c r="K296" i="2"/>
  <c r="J296" i="2"/>
  <c r="I296" i="2"/>
  <c r="H296" i="2"/>
  <c r="G296" i="2"/>
  <c r="F296" i="2"/>
  <c r="K295" i="2"/>
  <c r="J295" i="2"/>
  <c r="I295" i="2"/>
  <c r="H295" i="2"/>
  <c r="G295" i="2"/>
  <c r="F295" i="2"/>
  <c r="K294" i="2"/>
  <c r="J294" i="2"/>
  <c r="I294" i="2"/>
  <c r="H294" i="2"/>
  <c r="G294" i="2"/>
  <c r="F294" i="2"/>
  <c r="K293" i="2"/>
  <c r="J293" i="2"/>
  <c r="I293" i="2"/>
  <c r="H293" i="2"/>
  <c r="G293" i="2"/>
  <c r="F293" i="2"/>
  <c r="K292" i="2"/>
  <c r="J292" i="2"/>
  <c r="I292" i="2"/>
  <c r="H292" i="2"/>
  <c r="G292" i="2"/>
  <c r="F292" i="2"/>
  <c r="K291" i="2"/>
  <c r="J291" i="2"/>
  <c r="I291" i="2"/>
  <c r="H291" i="2"/>
  <c r="G291" i="2"/>
  <c r="F291" i="2"/>
  <c r="K290" i="2"/>
  <c r="J290" i="2"/>
  <c r="I290" i="2"/>
  <c r="H290" i="2"/>
  <c r="G290" i="2"/>
  <c r="F290" i="2"/>
  <c r="K289" i="2"/>
  <c r="J289" i="2"/>
  <c r="I289" i="2"/>
  <c r="H289" i="2"/>
  <c r="G289" i="2"/>
  <c r="F289" i="2"/>
  <c r="K288" i="2"/>
  <c r="J288" i="2"/>
  <c r="I288" i="2"/>
  <c r="H288" i="2"/>
  <c r="G288" i="2"/>
  <c r="F288" i="2"/>
  <c r="K287" i="2"/>
  <c r="J287" i="2"/>
  <c r="I287" i="2"/>
  <c r="H287" i="2"/>
  <c r="G287" i="2"/>
  <c r="F287" i="2"/>
  <c r="K286" i="2"/>
  <c r="J286" i="2"/>
  <c r="I286" i="2"/>
  <c r="H286" i="2"/>
  <c r="G286" i="2"/>
  <c r="F286" i="2"/>
  <c r="K285" i="2"/>
  <c r="J285" i="2"/>
  <c r="I285" i="2"/>
  <c r="H285" i="2"/>
  <c r="G285" i="2"/>
  <c r="F285" i="2"/>
  <c r="K284" i="2"/>
  <c r="J284" i="2"/>
  <c r="I284" i="2"/>
  <c r="H284" i="2"/>
  <c r="G284" i="2"/>
  <c r="F284" i="2"/>
  <c r="K283" i="2"/>
  <c r="J283" i="2"/>
  <c r="I283" i="2"/>
  <c r="H283" i="2"/>
  <c r="G283" i="2"/>
  <c r="F283" i="2"/>
  <c r="K282" i="2"/>
  <c r="J282" i="2"/>
  <c r="I282" i="2"/>
  <c r="H282" i="2"/>
  <c r="G282" i="2"/>
  <c r="F282" i="2"/>
  <c r="K281" i="2"/>
  <c r="J281" i="2"/>
  <c r="I281" i="2"/>
  <c r="H281" i="2"/>
  <c r="G281" i="2"/>
  <c r="F281" i="2"/>
  <c r="K280" i="2"/>
  <c r="J280" i="2"/>
  <c r="I280" i="2"/>
  <c r="H280" i="2"/>
  <c r="G280" i="2"/>
  <c r="F280" i="2"/>
  <c r="K279" i="2"/>
  <c r="J279" i="2"/>
  <c r="I279" i="2"/>
  <c r="H279" i="2"/>
  <c r="G279" i="2"/>
  <c r="F279" i="2"/>
  <c r="K278" i="2"/>
  <c r="J278" i="2"/>
  <c r="I278" i="2"/>
  <c r="H278" i="2"/>
  <c r="G278" i="2"/>
  <c r="F278" i="2"/>
  <c r="K277" i="2"/>
  <c r="J277" i="2"/>
  <c r="I277" i="2"/>
  <c r="H277" i="2"/>
  <c r="G277" i="2"/>
  <c r="F277" i="2"/>
  <c r="K276" i="2"/>
  <c r="J276" i="2"/>
  <c r="I276" i="2"/>
  <c r="H276" i="2"/>
  <c r="G276" i="2"/>
  <c r="F276" i="2"/>
  <c r="K275" i="2"/>
  <c r="J275" i="2"/>
  <c r="I275" i="2"/>
  <c r="H275" i="2"/>
  <c r="G275" i="2"/>
  <c r="F275" i="2"/>
  <c r="K274" i="2"/>
  <c r="J274" i="2"/>
  <c r="I274" i="2"/>
  <c r="H274" i="2"/>
  <c r="G274" i="2"/>
  <c r="F274" i="2"/>
  <c r="K273" i="2"/>
  <c r="J273" i="2"/>
  <c r="I273" i="2"/>
  <c r="H273" i="2"/>
  <c r="G273" i="2"/>
  <c r="F273" i="2"/>
  <c r="K272" i="2"/>
  <c r="J272" i="2"/>
  <c r="I272" i="2"/>
  <c r="H272" i="2"/>
  <c r="G272" i="2"/>
  <c r="F272" i="2"/>
  <c r="K271" i="2"/>
  <c r="J271" i="2"/>
  <c r="I271" i="2"/>
  <c r="H271" i="2"/>
  <c r="G271" i="2"/>
  <c r="F271" i="2"/>
  <c r="K270" i="2"/>
  <c r="J270" i="2"/>
  <c r="I270" i="2"/>
  <c r="H270" i="2"/>
  <c r="G270" i="2"/>
  <c r="F270" i="2"/>
  <c r="K269" i="2"/>
  <c r="J269" i="2"/>
  <c r="I269" i="2"/>
  <c r="H269" i="2"/>
  <c r="G269" i="2"/>
  <c r="F269" i="2"/>
  <c r="K268" i="2"/>
  <c r="J268" i="2"/>
  <c r="I268" i="2"/>
  <c r="H268" i="2"/>
  <c r="G268" i="2"/>
  <c r="F268" i="2"/>
  <c r="K267" i="2"/>
  <c r="J267" i="2"/>
  <c r="I267" i="2"/>
  <c r="H267" i="2"/>
  <c r="G267" i="2"/>
  <c r="F267" i="2"/>
  <c r="K266" i="2"/>
  <c r="J266" i="2"/>
  <c r="I266" i="2"/>
  <c r="H266" i="2"/>
  <c r="G266" i="2"/>
  <c r="F266" i="2"/>
  <c r="K265" i="2"/>
  <c r="J265" i="2"/>
  <c r="I265" i="2"/>
  <c r="H265" i="2"/>
  <c r="G265" i="2"/>
  <c r="F265" i="2"/>
  <c r="K264" i="2"/>
  <c r="J264" i="2"/>
  <c r="I264" i="2"/>
  <c r="H264" i="2"/>
  <c r="G264" i="2"/>
  <c r="F264" i="2"/>
  <c r="K263" i="2"/>
  <c r="J263" i="2"/>
  <c r="I263" i="2"/>
  <c r="H263" i="2"/>
  <c r="G263" i="2"/>
  <c r="F263" i="2"/>
  <c r="K262" i="2"/>
  <c r="J262" i="2"/>
  <c r="I262" i="2"/>
  <c r="H262" i="2"/>
  <c r="G262" i="2"/>
  <c r="F262" i="2"/>
  <c r="K261" i="2"/>
  <c r="J261" i="2"/>
  <c r="I261" i="2"/>
  <c r="H261" i="2"/>
  <c r="G261" i="2"/>
  <c r="F261" i="2"/>
  <c r="K260" i="2"/>
  <c r="J260" i="2"/>
  <c r="I260" i="2"/>
  <c r="H260" i="2"/>
  <c r="G260" i="2"/>
  <c r="F260" i="2"/>
  <c r="K259" i="2"/>
  <c r="J259" i="2"/>
  <c r="I259" i="2"/>
  <c r="H259" i="2"/>
  <c r="G259" i="2"/>
  <c r="F259" i="2"/>
  <c r="K258" i="2"/>
  <c r="J258" i="2"/>
  <c r="I258" i="2"/>
  <c r="H258" i="2"/>
  <c r="G258" i="2"/>
  <c r="F258" i="2"/>
  <c r="K257" i="2"/>
  <c r="J257" i="2"/>
  <c r="I257" i="2"/>
  <c r="H257" i="2"/>
  <c r="G257" i="2"/>
  <c r="F257" i="2"/>
  <c r="K256" i="2"/>
  <c r="J256" i="2"/>
  <c r="I256" i="2"/>
  <c r="H256" i="2"/>
  <c r="G256" i="2"/>
  <c r="F256" i="2"/>
  <c r="K255" i="2"/>
  <c r="J255" i="2"/>
  <c r="I255" i="2"/>
  <c r="H255" i="2"/>
  <c r="G255" i="2"/>
  <c r="F255" i="2"/>
  <c r="K254" i="2"/>
  <c r="J254" i="2"/>
  <c r="I254" i="2"/>
  <c r="H254" i="2"/>
  <c r="G254" i="2"/>
  <c r="F254" i="2"/>
  <c r="K253" i="2"/>
  <c r="J253" i="2"/>
  <c r="I253" i="2"/>
  <c r="H253" i="2"/>
  <c r="G253" i="2"/>
  <c r="F253" i="2"/>
  <c r="K252" i="2"/>
  <c r="J252" i="2"/>
  <c r="I252" i="2"/>
  <c r="H252" i="2"/>
  <c r="G252" i="2"/>
  <c r="F252" i="2"/>
  <c r="K251" i="2"/>
  <c r="J251" i="2"/>
  <c r="I251" i="2"/>
  <c r="H251" i="2"/>
  <c r="G251" i="2"/>
  <c r="F251" i="2"/>
  <c r="K250" i="2"/>
  <c r="J250" i="2"/>
  <c r="I250" i="2"/>
  <c r="H250" i="2"/>
  <c r="G250" i="2"/>
  <c r="F250" i="2"/>
  <c r="K249" i="2"/>
  <c r="J249" i="2"/>
  <c r="I249" i="2"/>
  <c r="H249" i="2"/>
  <c r="G249" i="2"/>
  <c r="F249" i="2"/>
  <c r="K248" i="2"/>
  <c r="J248" i="2"/>
  <c r="I248" i="2"/>
  <c r="H248" i="2"/>
  <c r="G248" i="2"/>
  <c r="F248" i="2"/>
  <c r="K247" i="2"/>
  <c r="J247" i="2"/>
  <c r="I247" i="2"/>
  <c r="H247" i="2"/>
  <c r="G247" i="2"/>
  <c r="F247" i="2"/>
  <c r="K246" i="2"/>
  <c r="J246" i="2"/>
  <c r="I246" i="2"/>
  <c r="H246" i="2"/>
  <c r="G246" i="2"/>
  <c r="F246" i="2"/>
  <c r="K245" i="2"/>
  <c r="J245" i="2"/>
  <c r="I245" i="2"/>
  <c r="H245" i="2"/>
  <c r="G245" i="2"/>
  <c r="F245" i="2"/>
  <c r="K244" i="2"/>
  <c r="J244" i="2"/>
  <c r="I244" i="2"/>
  <c r="H244" i="2"/>
  <c r="G244" i="2"/>
  <c r="F244" i="2"/>
  <c r="K243" i="2"/>
  <c r="J243" i="2"/>
  <c r="I243" i="2"/>
  <c r="H243" i="2"/>
  <c r="G243" i="2"/>
  <c r="F243" i="2"/>
  <c r="K242" i="2"/>
  <c r="J242" i="2"/>
  <c r="I242" i="2"/>
  <c r="H242" i="2"/>
  <c r="G242" i="2"/>
  <c r="F242" i="2"/>
  <c r="K241" i="2"/>
  <c r="J241" i="2"/>
  <c r="I241" i="2"/>
  <c r="H241" i="2"/>
  <c r="G241" i="2"/>
  <c r="F241" i="2"/>
  <c r="K240" i="2"/>
  <c r="J240" i="2"/>
  <c r="I240" i="2"/>
  <c r="H240" i="2"/>
  <c r="G240" i="2"/>
  <c r="F240" i="2"/>
  <c r="K239" i="2"/>
  <c r="J239" i="2"/>
  <c r="I239" i="2"/>
  <c r="H239" i="2"/>
  <c r="G239" i="2"/>
  <c r="F239" i="2"/>
  <c r="K238" i="2"/>
  <c r="J238" i="2"/>
  <c r="I238" i="2"/>
  <c r="H238" i="2"/>
  <c r="G238" i="2"/>
  <c r="F238" i="2"/>
  <c r="K237" i="2"/>
  <c r="J237" i="2"/>
  <c r="I237" i="2"/>
  <c r="H237" i="2"/>
  <c r="G237" i="2"/>
  <c r="F237" i="2"/>
  <c r="K236" i="2"/>
  <c r="J236" i="2"/>
  <c r="I236" i="2"/>
  <c r="H236" i="2"/>
  <c r="G236" i="2"/>
  <c r="F236" i="2"/>
  <c r="K235" i="2"/>
  <c r="J235" i="2"/>
  <c r="I235" i="2"/>
  <c r="H235" i="2"/>
  <c r="G235" i="2"/>
  <c r="F235" i="2"/>
  <c r="K234" i="2"/>
  <c r="J234" i="2"/>
  <c r="I234" i="2"/>
  <c r="H234" i="2"/>
  <c r="G234" i="2"/>
  <c r="F234" i="2"/>
  <c r="K233" i="2"/>
  <c r="J233" i="2"/>
  <c r="I233" i="2"/>
  <c r="H233" i="2"/>
  <c r="G233" i="2"/>
  <c r="F233" i="2"/>
  <c r="K232" i="2"/>
  <c r="J232" i="2"/>
  <c r="I232" i="2"/>
  <c r="H232" i="2"/>
  <c r="G232" i="2"/>
  <c r="F232" i="2"/>
  <c r="K231" i="2"/>
  <c r="J231" i="2"/>
  <c r="I231" i="2"/>
  <c r="H231" i="2"/>
  <c r="G231" i="2"/>
  <c r="F231" i="2"/>
  <c r="K230" i="2"/>
  <c r="J230" i="2"/>
  <c r="I230" i="2"/>
  <c r="H230" i="2"/>
  <c r="G230" i="2"/>
  <c r="F230" i="2"/>
  <c r="K229" i="2"/>
  <c r="J229" i="2"/>
  <c r="I229" i="2"/>
  <c r="H229" i="2"/>
  <c r="G229" i="2"/>
  <c r="F229" i="2"/>
  <c r="K228" i="2"/>
  <c r="J228" i="2"/>
  <c r="I228" i="2"/>
  <c r="H228" i="2"/>
  <c r="G228" i="2"/>
  <c r="F228" i="2"/>
  <c r="K227" i="2"/>
  <c r="J227" i="2"/>
  <c r="I227" i="2"/>
  <c r="H227" i="2"/>
  <c r="G227" i="2"/>
  <c r="F227" i="2"/>
  <c r="K226" i="2"/>
  <c r="J226" i="2"/>
  <c r="I226" i="2"/>
  <c r="H226" i="2"/>
  <c r="G226" i="2"/>
  <c r="F226" i="2"/>
  <c r="K225" i="2"/>
  <c r="J225" i="2"/>
  <c r="I225" i="2"/>
  <c r="H225" i="2"/>
  <c r="G225" i="2"/>
  <c r="F225" i="2"/>
  <c r="K224" i="2"/>
  <c r="J224" i="2"/>
  <c r="I224" i="2"/>
  <c r="H224" i="2"/>
  <c r="G224" i="2"/>
  <c r="F224" i="2"/>
  <c r="K223" i="2"/>
  <c r="J223" i="2"/>
  <c r="I223" i="2"/>
  <c r="H223" i="2"/>
  <c r="G223" i="2"/>
  <c r="F223" i="2"/>
  <c r="K222" i="2"/>
  <c r="J222" i="2"/>
  <c r="I222" i="2"/>
  <c r="H222" i="2"/>
  <c r="G222" i="2"/>
  <c r="F222" i="2"/>
  <c r="K221" i="2"/>
  <c r="J221" i="2"/>
  <c r="I221" i="2"/>
  <c r="H221" i="2"/>
  <c r="G221" i="2"/>
  <c r="F221" i="2"/>
  <c r="K220" i="2"/>
  <c r="J220" i="2"/>
  <c r="I220" i="2"/>
  <c r="H220" i="2"/>
  <c r="G220" i="2"/>
  <c r="F220" i="2"/>
  <c r="K219" i="2"/>
  <c r="J219" i="2"/>
  <c r="I219" i="2"/>
  <c r="H219" i="2"/>
  <c r="G219" i="2"/>
  <c r="F219" i="2"/>
  <c r="K218" i="2"/>
  <c r="J218" i="2"/>
  <c r="I218" i="2"/>
  <c r="H218" i="2"/>
  <c r="G218" i="2"/>
  <c r="F218" i="2"/>
  <c r="K217" i="2"/>
  <c r="J217" i="2"/>
  <c r="I217" i="2"/>
  <c r="H217" i="2"/>
  <c r="G217" i="2"/>
  <c r="F217" i="2"/>
  <c r="K216" i="2"/>
  <c r="J216" i="2"/>
  <c r="I216" i="2"/>
  <c r="H216" i="2"/>
  <c r="G216" i="2"/>
  <c r="F216" i="2"/>
  <c r="K215" i="2"/>
  <c r="J215" i="2"/>
  <c r="I215" i="2"/>
  <c r="H215" i="2"/>
  <c r="G215" i="2"/>
  <c r="F215" i="2"/>
  <c r="K214" i="2"/>
  <c r="J214" i="2"/>
  <c r="I214" i="2"/>
  <c r="H214" i="2"/>
  <c r="G214" i="2"/>
  <c r="F214" i="2"/>
  <c r="K213" i="2"/>
  <c r="J213" i="2"/>
  <c r="I213" i="2"/>
  <c r="H213" i="2"/>
  <c r="G213" i="2"/>
  <c r="F213" i="2"/>
  <c r="K212" i="2"/>
  <c r="J212" i="2"/>
  <c r="I212" i="2"/>
  <c r="H212" i="2"/>
  <c r="G212" i="2"/>
  <c r="F212" i="2"/>
  <c r="K211" i="2"/>
  <c r="J211" i="2"/>
  <c r="I211" i="2"/>
  <c r="H211" i="2"/>
  <c r="G211" i="2"/>
  <c r="F211" i="2"/>
  <c r="K210" i="2"/>
  <c r="J210" i="2"/>
  <c r="I210" i="2"/>
  <c r="H210" i="2"/>
  <c r="G210" i="2"/>
  <c r="F210" i="2"/>
  <c r="K209" i="2"/>
  <c r="J209" i="2"/>
  <c r="I209" i="2"/>
  <c r="H209" i="2"/>
  <c r="G209" i="2"/>
  <c r="F209" i="2"/>
  <c r="K208" i="2"/>
  <c r="J208" i="2"/>
  <c r="I208" i="2"/>
  <c r="H208" i="2"/>
  <c r="G208" i="2"/>
  <c r="F208" i="2"/>
  <c r="K207" i="2"/>
  <c r="J207" i="2"/>
  <c r="I207" i="2"/>
  <c r="H207" i="2"/>
  <c r="G207" i="2"/>
  <c r="F207" i="2"/>
  <c r="K206" i="2"/>
  <c r="J206" i="2"/>
  <c r="I206" i="2"/>
  <c r="H206" i="2"/>
  <c r="G206" i="2"/>
  <c r="F206" i="2"/>
  <c r="K205" i="2"/>
  <c r="J205" i="2"/>
  <c r="I205" i="2"/>
  <c r="H205" i="2"/>
  <c r="G205" i="2"/>
  <c r="F205" i="2"/>
  <c r="K204" i="2"/>
  <c r="J204" i="2"/>
  <c r="I204" i="2"/>
  <c r="H204" i="2"/>
  <c r="G204" i="2"/>
  <c r="F204" i="2"/>
  <c r="K203" i="2"/>
  <c r="J203" i="2"/>
  <c r="I203" i="2"/>
  <c r="H203" i="2"/>
  <c r="G203" i="2"/>
  <c r="F203" i="2"/>
  <c r="K202" i="2"/>
  <c r="J202" i="2"/>
  <c r="I202" i="2"/>
  <c r="H202" i="2"/>
  <c r="G202" i="2"/>
  <c r="F202" i="2"/>
  <c r="K201" i="2"/>
  <c r="J201" i="2"/>
  <c r="I201" i="2"/>
  <c r="H201" i="2"/>
  <c r="G201" i="2"/>
  <c r="F201" i="2"/>
  <c r="K200" i="2"/>
  <c r="J200" i="2"/>
  <c r="I200" i="2"/>
  <c r="H200" i="2"/>
  <c r="G200" i="2"/>
  <c r="F200" i="2"/>
  <c r="K199" i="2"/>
  <c r="J199" i="2"/>
  <c r="I199" i="2"/>
  <c r="H199" i="2"/>
  <c r="G199" i="2"/>
  <c r="F199" i="2"/>
  <c r="K198" i="2"/>
  <c r="J198" i="2"/>
  <c r="I198" i="2"/>
  <c r="H198" i="2"/>
  <c r="G198" i="2"/>
  <c r="F198" i="2"/>
  <c r="K197" i="2"/>
  <c r="J197" i="2"/>
  <c r="I197" i="2"/>
  <c r="H197" i="2"/>
  <c r="G197" i="2"/>
  <c r="F197" i="2"/>
  <c r="K196" i="2"/>
  <c r="J196" i="2"/>
  <c r="I196" i="2"/>
  <c r="H196" i="2"/>
  <c r="G196" i="2"/>
  <c r="F196" i="2"/>
  <c r="K195" i="2"/>
  <c r="J195" i="2"/>
  <c r="I195" i="2"/>
  <c r="H195" i="2"/>
  <c r="G195" i="2"/>
  <c r="F195" i="2"/>
  <c r="K194" i="2"/>
  <c r="J194" i="2"/>
  <c r="I194" i="2"/>
  <c r="H194" i="2"/>
  <c r="G194" i="2"/>
  <c r="F194" i="2"/>
  <c r="K193" i="2"/>
  <c r="J193" i="2"/>
  <c r="I193" i="2"/>
  <c r="H193" i="2"/>
  <c r="G193" i="2"/>
  <c r="F193" i="2"/>
  <c r="K192" i="2"/>
  <c r="J192" i="2"/>
  <c r="I192" i="2"/>
  <c r="H192" i="2"/>
  <c r="G192" i="2"/>
  <c r="F192" i="2"/>
  <c r="K191" i="2"/>
  <c r="J191" i="2"/>
  <c r="I191" i="2"/>
  <c r="H191" i="2"/>
  <c r="G191" i="2"/>
  <c r="F191" i="2"/>
  <c r="K190" i="2"/>
  <c r="J190" i="2"/>
  <c r="I190" i="2"/>
  <c r="H190" i="2"/>
  <c r="G190" i="2"/>
  <c r="F190" i="2"/>
  <c r="K189" i="2"/>
  <c r="J189" i="2"/>
  <c r="I189" i="2"/>
  <c r="H189" i="2"/>
  <c r="G189" i="2"/>
  <c r="F189" i="2"/>
  <c r="K188" i="2"/>
  <c r="J188" i="2"/>
  <c r="I188" i="2"/>
  <c r="H188" i="2"/>
  <c r="G188" i="2"/>
  <c r="F188" i="2"/>
  <c r="K187" i="2"/>
  <c r="J187" i="2"/>
  <c r="I187" i="2"/>
  <c r="H187" i="2"/>
  <c r="G187" i="2"/>
  <c r="F187" i="2"/>
  <c r="K186" i="2"/>
  <c r="J186" i="2"/>
  <c r="I186" i="2"/>
  <c r="H186" i="2"/>
  <c r="G186" i="2"/>
  <c r="F186" i="2"/>
  <c r="K185" i="2"/>
  <c r="J185" i="2"/>
  <c r="I185" i="2"/>
  <c r="H185" i="2"/>
  <c r="G185" i="2"/>
  <c r="F185" i="2"/>
  <c r="K184" i="2"/>
  <c r="J184" i="2"/>
  <c r="I184" i="2"/>
  <c r="H184" i="2"/>
  <c r="G184" i="2"/>
  <c r="F184" i="2"/>
  <c r="K183" i="2"/>
  <c r="J183" i="2"/>
  <c r="I183" i="2"/>
  <c r="H183" i="2"/>
  <c r="G183" i="2"/>
  <c r="F183" i="2"/>
  <c r="K182" i="2"/>
  <c r="J182" i="2"/>
  <c r="I182" i="2"/>
  <c r="H182" i="2"/>
  <c r="G182" i="2"/>
  <c r="F182" i="2"/>
  <c r="K181" i="2"/>
  <c r="J181" i="2"/>
  <c r="I181" i="2"/>
  <c r="H181" i="2"/>
  <c r="G181" i="2"/>
  <c r="F181" i="2"/>
  <c r="K180" i="2"/>
  <c r="J180" i="2"/>
  <c r="I180" i="2"/>
  <c r="H180" i="2"/>
  <c r="G180" i="2"/>
  <c r="F180" i="2"/>
  <c r="K179" i="2"/>
  <c r="J179" i="2"/>
  <c r="I179" i="2"/>
  <c r="H179" i="2"/>
  <c r="G179" i="2"/>
  <c r="F179" i="2"/>
  <c r="K178" i="2"/>
  <c r="J178" i="2"/>
  <c r="I178" i="2"/>
  <c r="H178" i="2"/>
  <c r="G178" i="2"/>
  <c r="F178" i="2"/>
  <c r="K177" i="2"/>
  <c r="J177" i="2"/>
  <c r="I177" i="2"/>
  <c r="H177" i="2"/>
  <c r="G177" i="2"/>
  <c r="F177" i="2"/>
  <c r="K176" i="2"/>
  <c r="J176" i="2"/>
  <c r="I176" i="2"/>
  <c r="H176" i="2"/>
  <c r="G176" i="2"/>
  <c r="F176" i="2"/>
  <c r="K175" i="2"/>
  <c r="J175" i="2"/>
  <c r="I175" i="2"/>
  <c r="H175" i="2"/>
  <c r="G175" i="2"/>
  <c r="F175" i="2"/>
  <c r="K174" i="2"/>
  <c r="J174" i="2"/>
  <c r="I174" i="2"/>
  <c r="H174" i="2"/>
  <c r="G174" i="2"/>
  <c r="F174" i="2"/>
  <c r="K173" i="2"/>
  <c r="J173" i="2"/>
  <c r="I173" i="2"/>
  <c r="H173" i="2"/>
  <c r="G173" i="2"/>
  <c r="F173" i="2"/>
  <c r="K172" i="2"/>
  <c r="J172" i="2"/>
  <c r="I172" i="2"/>
  <c r="H172" i="2"/>
  <c r="G172" i="2"/>
  <c r="F172" i="2"/>
  <c r="K171" i="2"/>
  <c r="J171" i="2"/>
  <c r="I171" i="2"/>
  <c r="H171" i="2"/>
  <c r="G171" i="2"/>
  <c r="F171" i="2"/>
  <c r="K170" i="2"/>
  <c r="J170" i="2"/>
  <c r="I170" i="2"/>
  <c r="H170" i="2"/>
  <c r="G170" i="2"/>
  <c r="F170" i="2"/>
  <c r="K169" i="2"/>
  <c r="J169" i="2"/>
  <c r="I169" i="2"/>
  <c r="H169" i="2"/>
  <c r="G169" i="2"/>
  <c r="F169" i="2"/>
  <c r="K168" i="2"/>
  <c r="J168" i="2"/>
  <c r="I168" i="2"/>
  <c r="H168" i="2"/>
  <c r="G168" i="2"/>
  <c r="F168" i="2"/>
  <c r="K167" i="2"/>
  <c r="J167" i="2"/>
  <c r="I167" i="2"/>
  <c r="H167" i="2"/>
  <c r="G167" i="2"/>
  <c r="F167" i="2"/>
  <c r="K166" i="2"/>
  <c r="J166" i="2"/>
  <c r="I166" i="2"/>
  <c r="H166" i="2"/>
  <c r="G166" i="2"/>
  <c r="F166" i="2"/>
  <c r="K165" i="2"/>
  <c r="J165" i="2"/>
  <c r="I165" i="2"/>
  <c r="H165" i="2"/>
  <c r="G165" i="2"/>
  <c r="F165" i="2"/>
  <c r="K164" i="2"/>
  <c r="J164" i="2"/>
  <c r="I164" i="2"/>
  <c r="H164" i="2"/>
  <c r="G164" i="2"/>
  <c r="F164" i="2"/>
  <c r="K163" i="2"/>
  <c r="J163" i="2"/>
  <c r="I163" i="2"/>
  <c r="H163" i="2"/>
  <c r="G163" i="2"/>
  <c r="F163" i="2"/>
  <c r="K162" i="2"/>
  <c r="J162" i="2"/>
  <c r="I162" i="2"/>
  <c r="H162" i="2"/>
  <c r="G162" i="2"/>
  <c r="F162" i="2"/>
  <c r="K161" i="2"/>
  <c r="J161" i="2"/>
  <c r="I161" i="2"/>
  <c r="H161" i="2"/>
  <c r="G161" i="2"/>
  <c r="F161" i="2"/>
  <c r="K160" i="2"/>
  <c r="J160" i="2"/>
  <c r="I160" i="2"/>
  <c r="H160" i="2"/>
  <c r="G160" i="2"/>
  <c r="F160" i="2"/>
  <c r="K159" i="2"/>
  <c r="J159" i="2"/>
  <c r="I159" i="2"/>
  <c r="H159" i="2"/>
  <c r="G159" i="2"/>
  <c r="F159" i="2"/>
  <c r="K158" i="2"/>
  <c r="J158" i="2"/>
  <c r="I158" i="2"/>
  <c r="H158" i="2"/>
  <c r="G158" i="2"/>
  <c r="F158" i="2"/>
  <c r="K157" i="2"/>
  <c r="J157" i="2"/>
  <c r="I157" i="2"/>
  <c r="H157" i="2"/>
  <c r="G157" i="2"/>
  <c r="F157" i="2"/>
  <c r="K156" i="2"/>
  <c r="J156" i="2"/>
  <c r="I156" i="2"/>
  <c r="H156" i="2"/>
  <c r="G156" i="2"/>
  <c r="F156" i="2"/>
  <c r="K155" i="2"/>
  <c r="J155" i="2"/>
  <c r="I155" i="2"/>
  <c r="H155" i="2"/>
  <c r="G155" i="2"/>
  <c r="F155" i="2"/>
  <c r="K154" i="2"/>
  <c r="J154" i="2"/>
  <c r="I154" i="2"/>
  <c r="H154" i="2"/>
  <c r="G154" i="2"/>
  <c r="F154" i="2"/>
  <c r="K153" i="2"/>
  <c r="J153" i="2"/>
  <c r="I153" i="2"/>
  <c r="H153" i="2"/>
  <c r="G153" i="2"/>
  <c r="F153" i="2"/>
  <c r="K152" i="2"/>
  <c r="J152" i="2"/>
  <c r="I152" i="2"/>
  <c r="H152" i="2"/>
  <c r="G152" i="2"/>
  <c r="F152" i="2"/>
  <c r="K151" i="2"/>
  <c r="J151" i="2"/>
  <c r="I151" i="2"/>
  <c r="H151" i="2"/>
  <c r="G151" i="2"/>
  <c r="F151" i="2"/>
  <c r="K150" i="2"/>
  <c r="J150" i="2"/>
  <c r="I150" i="2"/>
  <c r="H150" i="2"/>
  <c r="G150" i="2"/>
  <c r="F150" i="2"/>
  <c r="K149" i="2"/>
  <c r="J149" i="2"/>
  <c r="I149" i="2"/>
  <c r="H149" i="2"/>
  <c r="G149" i="2"/>
  <c r="F149" i="2"/>
  <c r="K148" i="2"/>
  <c r="J148" i="2"/>
  <c r="I148" i="2"/>
  <c r="H148" i="2"/>
  <c r="G148" i="2"/>
  <c r="F148" i="2"/>
  <c r="K147" i="2"/>
  <c r="J147" i="2"/>
  <c r="I147" i="2"/>
  <c r="H147" i="2"/>
  <c r="G147" i="2"/>
  <c r="F147" i="2"/>
  <c r="K146" i="2"/>
  <c r="J146" i="2"/>
  <c r="I146" i="2"/>
  <c r="H146" i="2"/>
  <c r="G146" i="2"/>
  <c r="F146" i="2"/>
  <c r="K145" i="2"/>
  <c r="J145" i="2"/>
  <c r="I145" i="2"/>
  <c r="H145" i="2"/>
  <c r="G145" i="2"/>
  <c r="F145" i="2"/>
  <c r="K144" i="2"/>
  <c r="J144" i="2"/>
  <c r="I144" i="2"/>
  <c r="H144" i="2"/>
  <c r="G144" i="2"/>
  <c r="F144" i="2"/>
  <c r="K143" i="2"/>
  <c r="J143" i="2"/>
  <c r="I143" i="2"/>
  <c r="H143" i="2"/>
  <c r="G143" i="2"/>
  <c r="F143" i="2"/>
  <c r="K142" i="2"/>
  <c r="J142" i="2"/>
  <c r="I142" i="2"/>
  <c r="H142" i="2"/>
  <c r="G142" i="2"/>
  <c r="F142" i="2"/>
  <c r="K141" i="2"/>
  <c r="J141" i="2"/>
  <c r="I141" i="2"/>
  <c r="H141" i="2"/>
  <c r="G141" i="2"/>
  <c r="F141" i="2"/>
  <c r="K140" i="2"/>
  <c r="J140" i="2"/>
  <c r="I140" i="2"/>
  <c r="H140" i="2"/>
  <c r="G140" i="2"/>
  <c r="F140" i="2"/>
  <c r="K139" i="2"/>
  <c r="J139" i="2"/>
  <c r="I139" i="2"/>
  <c r="H139" i="2"/>
  <c r="G139" i="2"/>
  <c r="F139" i="2"/>
  <c r="K138" i="2"/>
  <c r="J138" i="2"/>
  <c r="I138" i="2"/>
  <c r="H138" i="2"/>
  <c r="G138" i="2"/>
  <c r="F138" i="2"/>
  <c r="K137" i="2"/>
  <c r="J137" i="2"/>
  <c r="I137" i="2"/>
  <c r="H137" i="2"/>
  <c r="G137" i="2"/>
  <c r="F137" i="2"/>
  <c r="K136" i="2"/>
  <c r="J136" i="2"/>
  <c r="I136" i="2"/>
  <c r="H136" i="2"/>
  <c r="G136" i="2"/>
  <c r="F136" i="2"/>
  <c r="K135" i="2"/>
  <c r="J135" i="2"/>
  <c r="I135" i="2"/>
  <c r="H135" i="2"/>
  <c r="G135" i="2"/>
  <c r="F135" i="2"/>
  <c r="K134" i="2"/>
  <c r="J134" i="2"/>
  <c r="I134" i="2"/>
  <c r="H134" i="2"/>
  <c r="G134" i="2"/>
  <c r="F134" i="2"/>
  <c r="K133" i="2"/>
  <c r="J133" i="2"/>
  <c r="I133" i="2"/>
  <c r="H133" i="2"/>
  <c r="G133" i="2"/>
  <c r="F133" i="2"/>
  <c r="K132" i="2"/>
  <c r="J132" i="2"/>
  <c r="I132" i="2"/>
  <c r="H132" i="2"/>
  <c r="G132" i="2"/>
  <c r="F132" i="2"/>
  <c r="K131" i="2"/>
  <c r="J131" i="2"/>
  <c r="I131" i="2"/>
  <c r="H131" i="2"/>
  <c r="G131" i="2"/>
  <c r="F131" i="2"/>
  <c r="K130" i="2"/>
  <c r="J130" i="2"/>
  <c r="I130" i="2"/>
  <c r="H130" i="2"/>
  <c r="G130" i="2"/>
  <c r="F130" i="2"/>
  <c r="K129" i="2"/>
  <c r="J129" i="2"/>
  <c r="I129" i="2"/>
  <c r="H129" i="2"/>
  <c r="G129" i="2"/>
  <c r="F129" i="2"/>
  <c r="K128" i="2"/>
  <c r="J128" i="2"/>
  <c r="I128" i="2"/>
  <c r="H128" i="2"/>
  <c r="G128" i="2"/>
  <c r="F128" i="2"/>
  <c r="K127" i="2"/>
  <c r="J127" i="2"/>
  <c r="I127" i="2"/>
  <c r="H127" i="2"/>
  <c r="G127" i="2"/>
  <c r="F127" i="2"/>
  <c r="K126" i="2"/>
  <c r="J126" i="2"/>
  <c r="I126" i="2"/>
  <c r="H126" i="2"/>
  <c r="G126" i="2"/>
  <c r="F126" i="2"/>
  <c r="K125" i="2"/>
  <c r="J125" i="2"/>
  <c r="I125" i="2"/>
  <c r="H125" i="2"/>
  <c r="G125" i="2"/>
  <c r="F125" i="2"/>
  <c r="K124" i="2"/>
  <c r="J124" i="2"/>
  <c r="I124" i="2"/>
  <c r="H124" i="2"/>
  <c r="G124" i="2"/>
  <c r="F124" i="2"/>
  <c r="K123" i="2"/>
  <c r="J123" i="2"/>
  <c r="I123" i="2"/>
  <c r="H123" i="2"/>
  <c r="G123" i="2"/>
  <c r="F123" i="2"/>
  <c r="K122" i="2"/>
  <c r="J122" i="2"/>
  <c r="I122" i="2"/>
  <c r="H122" i="2"/>
  <c r="G122" i="2"/>
  <c r="F122" i="2"/>
  <c r="K121" i="2"/>
  <c r="J121" i="2"/>
  <c r="I121" i="2"/>
  <c r="H121" i="2"/>
  <c r="G121" i="2"/>
  <c r="F121" i="2"/>
  <c r="K120" i="2"/>
  <c r="J120" i="2"/>
  <c r="I120" i="2"/>
  <c r="H120" i="2"/>
  <c r="G120" i="2"/>
  <c r="F120" i="2"/>
  <c r="K119" i="2"/>
  <c r="J119" i="2"/>
  <c r="I119" i="2"/>
  <c r="H119" i="2"/>
  <c r="G119" i="2"/>
  <c r="F119" i="2"/>
  <c r="K118" i="2"/>
  <c r="J118" i="2"/>
  <c r="I118" i="2"/>
  <c r="H118" i="2"/>
  <c r="G118" i="2"/>
  <c r="F118" i="2"/>
  <c r="K117" i="2"/>
  <c r="J117" i="2"/>
  <c r="I117" i="2"/>
  <c r="H117" i="2"/>
  <c r="G117" i="2"/>
  <c r="F117" i="2"/>
  <c r="K116" i="2"/>
  <c r="J116" i="2"/>
  <c r="I116" i="2"/>
  <c r="H116" i="2"/>
  <c r="G116" i="2"/>
  <c r="F116" i="2"/>
  <c r="K115" i="2"/>
  <c r="J115" i="2"/>
  <c r="I115" i="2"/>
  <c r="H115" i="2"/>
  <c r="G115" i="2"/>
  <c r="F115" i="2"/>
  <c r="K114" i="2"/>
  <c r="J114" i="2"/>
  <c r="I114" i="2"/>
  <c r="H114" i="2"/>
  <c r="G114" i="2"/>
  <c r="F114" i="2"/>
  <c r="K113" i="2"/>
  <c r="J113" i="2"/>
  <c r="I113" i="2"/>
  <c r="H113" i="2"/>
  <c r="G113" i="2"/>
  <c r="F113" i="2"/>
  <c r="K112" i="2"/>
  <c r="J112" i="2"/>
  <c r="I112" i="2"/>
  <c r="H112" i="2"/>
  <c r="G112" i="2"/>
  <c r="F112" i="2"/>
  <c r="K111" i="2"/>
  <c r="J111" i="2"/>
  <c r="I111" i="2"/>
  <c r="H111" i="2"/>
  <c r="G111" i="2"/>
  <c r="F111" i="2"/>
  <c r="K110" i="2"/>
  <c r="J110" i="2"/>
  <c r="I110" i="2"/>
  <c r="H110" i="2"/>
  <c r="G110" i="2"/>
  <c r="F110" i="2"/>
  <c r="K109" i="2"/>
  <c r="J109" i="2"/>
  <c r="I109" i="2"/>
  <c r="H109" i="2"/>
  <c r="G109" i="2"/>
  <c r="F109" i="2"/>
  <c r="K108" i="2"/>
  <c r="J108" i="2"/>
  <c r="I108" i="2"/>
  <c r="H108" i="2"/>
  <c r="G108" i="2"/>
  <c r="F108" i="2"/>
  <c r="K107" i="2"/>
  <c r="J107" i="2"/>
  <c r="I107" i="2"/>
  <c r="H107" i="2"/>
  <c r="G107" i="2"/>
  <c r="F107" i="2"/>
  <c r="K106" i="2"/>
  <c r="J106" i="2"/>
  <c r="I106" i="2"/>
  <c r="H106" i="2"/>
  <c r="G106" i="2"/>
  <c r="F106" i="2"/>
  <c r="K105" i="2"/>
  <c r="J105" i="2"/>
  <c r="I105" i="2"/>
  <c r="H105" i="2"/>
  <c r="G105" i="2"/>
  <c r="F105" i="2"/>
  <c r="K104" i="2"/>
  <c r="J104" i="2"/>
  <c r="I104" i="2"/>
  <c r="H104" i="2"/>
  <c r="G104" i="2"/>
  <c r="F104" i="2"/>
  <c r="K103" i="2"/>
  <c r="J103" i="2"/>
  <c r="I103" i="2"/>
  <c r="H103" i="2"/>
  <c r="G103" i="2"/>
  <c r="F103" i="2"/>
  <c r="K102" i="2"/>
  <c r="J102" i="2"/>
  <c r="I102" i="2"/>
  <c r="H102" i="2"/>
  <c r="G102" i="2"/>
  <c r="F102" i="2"/>
  <c r="K101" i="2"/>
  <c r="J101" i="2"/>
  <c r="I101" i="2"/>
  <c r="H101" i="2"/>
  <c r="G101" i="2"/>
  <c r="F101" i="2"/>
  <c r="K100" i="2"/>
  <c r="J100" i="2"/>
  <c r="I100" i="2"/>
  <c r="H100" i="2"/>
  <c r="G100" i="2"/>
  <c r="F100" i="2"/>
  <c r="K99" i="2"/>
  <c r="J99" i="2"/>
  <c r="I99" i="2"/>
  <c r="H99" i="2"/>
  <c r="G99" i="2"/>
  <c r="F99" i="2"/>
  <c r="K98" i="2"/>
  <c r="J98" i="2"/>
  <c r="I98" i="2"/>
  <c r="H98" i="2"/>
  <c r="G98" i="2"/>
  <c r="F98" i="2"/>
  <c r="K97" i="2"/>
  <c r="J97" i="2"/>
  <c r="I97" i="2"/>
  <c r="H97" i="2"/>
  <c r="G97" i="2"/>
  <c r="F97" i="2"/>
  <c r="K96" i="2"/>
  <c r="J96" i="2"/>
  <c r="I96" i="2"/>
  <c r="H96" i="2"/>
  <c r="G96" i="2"/>
  <c r="F96" i="2"/>
  <c r="K95" i="2"/>
  <c r="J95" i="2"/>
  <c r="I95" i="2"/>
  <c r="H95" i="2"/>
  <c r="G95" i="2"/>
  <c r="F95" i="2"/>
  <c r="K94" i="2"/>
  <c r="J94" i="2"/>
  <c r="I94" i="2"/>
  <c r="H94" i="2"/>
  <c r="G94" i="2"/>
  <c r="F94" i="2"/>
  <c r="K93" i="2"/>
  <c r="J93" i="2"/>
  <c r="I93" i="2"/>
  <c r="H93" i="2"/>
  <c r="G93" i="2"/>
  <c r="F93" i="2"/>
  <c r="K92" i="2"/>
  <c r="J92" i="2"/>
  <c r="I92" i="2"/>
  <c r="H92" i="2"/>
  <c r="G92" i="2"/>
  <c r="F92" i="2"/>
  <c r="K91" i="2"/>
  <c r="J91" i="2"/>
  <c r="I91" i="2"/>
  <c r="H91" i="2"/>
  <c r="G91" i="2"/>
  <c r="F91" i="2"/>
  <c r="K90" i="2"/>
  <c r="J90" i="2"/>
  <c r="I90" i="2"/>
  <c r="H90" i="2"/>
  <c r="G90" i="2"/>
  <c r="F90" i="2"/>
  <c r="K89" i="2"/>
  <c r="J89" i="2"/>
  <c r="I89" i="2"/>
  <c r="H89" i="2"/>
  <c r="G89" i="2"/>
  <c r="F89" i="2"/>
  <c r="K88" i="2"/>
  <c r="J88" i="2"/>
  <c r="I88" i="2"/>
  <c r="H88" i="2"/>
  <c r="G88" i="2"/>
  <c r="F88" i="2"/>
  <c r="K87" i="2"/>
  <c r="J87" i="2"/>
  <c r="I87" i="2"/>
  <c r="H87" i="2"/>
  <c r="G87" i="2"/>
  <c r="F87" i="2"/>
  <c r="K86" i="2"/>
  <c r="J86" i="2"/>
  <c r="I86" i="2"/>
  <c r="H86" i="2"/>
  <c r="G86" i="2"/>
  <c r="F86" i="2"/>
  <c r="K85" i="2"/>
  <c r="J85" i="2"/>
  <c r="I85" i="2"/>
  <c r="H85" i="2"/>
  <c r="G85" i="2"/>
  <c r="F85" i="2"/>
  <c r="K84" i="2"/>
  <c r="J84" i="2"/>
  <c r="I84" i="2"/>
  <c r="H84" i="2"/>
  <c r="G84" i="2"/>
  <c r="F84" i="2"/>
  <c r="K83" i="2"/>
  <c r="J83" i="2"/>
  <c r="I83" i="2"/>
  <c r="H83" i="2"/>
  <c r="G83" i="2"/>
  <c r="F83" i="2"/>
  <c r="K82" i="2"/>
  <c r="J82" i="2"/>
  <c r="I82" i="2"/>
  <c r="H82" i="2"/>
  <c r="G82" i="2"/>
  <c r="F82" i="2"/>
  <c r="K81" i="2"/>
  <c r="J81" i="2"/>
  <c r="I81" i="2"/>
  <c r="H81" i="2"/>
  <c r="G81" i="2"/>
  <c r="F81" i="2"/>
  <c r="K80" i="2"/>
  <c r="J80" i="2"/>
  <c r="I80" i="2"/>
  <c r="H80" i="2"/>
  <c r="G80" i="2"/>
  <c r="F80" i="2"/>
  <c r="K79" i="2"/>
  <c r="J79" i="2"/>
  <c r="I79" i="2"/>
  <c r="H79" i="2"/>
  <c r="G79" i="2"/>
  <c r="F79" i="2"/>
  <c r="K78" i="2"/>
  <c r="J78" i="2"/>
  <c r="I78" i="2"/>
  <c r="H78" i="2"/>
  <c r="G78" i="2"/>
  <c r="F78" i="2"/>
  <c r="K77" i="2"/>
  <c r="J77" i="2"/>
  <c r="I77" i="2"/>
  <c r="H77" i="2"/>
  <c r="G77" i="2"/>
  <c r="F77" i="2"/>
  <c r="K76" i="2"/>
  <c r="J76" i="2"/>
  <c r="I76" i="2"/>
  <c r="H76" i="2"/>
  <c r="G76" i="2"/>
  <c r="F76" i="2"/>
  <c r="K75" i="2"/>
  <c r="J75" i="2"/>
  <c r="I75" i="2"/>
  <c r="H75" i="2"/>
  <c r="G75" i="2"/>
  <c r="F75" i="2"/>
  <c r="K74" i="2"/>
  <c r="J74" i="2"/>
  <c r="I74" i="2"/>
  <c r="H74" i="2"/>
  <c r="G74" i="2"/>
  <c r="F74" i="2"/>
  <c r="K73" i="2"/>
  <c r="J73" i="2"/>
  <c r="I73" i="2"/>
  <c r="H73" i="2"/>
  <c r="G73" i="2"/>
  <c r="F73" i="2"/>
  <c r="K72" i="2"/>
  <c r="J72" i="2"/>
  <c r="I72" i="2"/>
  <c r="H72" i="2"/>
  <c r="G72" i="2"/>
  <c r="F72" i="2"/>
  <c r="K71" i="2"/>
  <c r="J71" i="2"/>
  <c r="I71" i="2"/>
  <c r="H71" i="2"/>
  <c r="G71" i="2"/>
  <c r="F71" i="2"/>
  <c r="K70" i="2"/>
  <c r="J70" i="2"/>
  <c r="I70" i="2"/>
  <c r="H70" i="2"/>
  <c r="G70" i="2"/>
  <c r="F70" i="2"/>
  <c r="K69" i="2"/>
  <c r="J69" i="2"/>
  <c r="I69" i="2"/>
  <c r="H69" i="2"/>
  <c r="G69" i="2"/>
  <c r="F69" i="2"/>
  <c r="K68" i="2"/>
  <c r="J68" i="2"/>
  <c r="I68" i="2"/>
  <c r="H68" i="2"/>
  <c r="G68" i="2"/>
  <c r="F68" i="2"/>
  <c r="K67" i="2"/>
  <c r="J67" i="2"/>
  <c r="I67" i="2"/>
  <c r="H67" i="2"/>
  <c r="G67" i="2"/>
  <c r="F67" i="2"/>
  <c r="K66" i="2"/>
  <c r="J66" i="2"/>
  <c r="I66" i="2"/>
  <c r="H66" i="2"/>
  <c r="G66" i="2"/>
  <c r="F66" i="2"/>
  <c r="K65" i="2"/>
  <c r="J65" i="2"/>
  <c r="I65" i="2"/>
  <c r="H65" i="2"/>
  <c r="G65" i="2"/>
  <c r="F65" i="2"/>
  <c r="K64" i="2"/>
  <c r="J64" i="2"/>
  <c r="I64" i="2"/>
  <c r="H64" i="2"/>
  <c r="G64" i="2"/>
  <c r="F64" i="2"/>
  <c r="K63" i="2"/>
  <c r="J63" i="2"/>
  <c r="I63" i="2"/>
  <c r="H63" i="2"/>
  <c r="G63" i="2"/>
  <c r="F63" i="2"/>
  <c r="K62" i="2"/>
  <c r="J62" i="2"/>
  <c r="I62" i="2"/>
  <c r="H62" i="2"/>
  <c r="G62" i="2"/>
  <c r="F62" i="2"/>
  <c r="K61" i="2"/>
  <c r="J61" i="2"/>
  <c r="I61" i="2"/>
  <c r="H61" i="2"/>
  <c r="G61" i="2"/>
  <c r="F61" i="2"/>
  <c r="K60" i="2"/>
  <c r="J60" i="2"/>
  <c r="I60" i="2"/>
  <c r="H60" i="2"/>
  <c r="G60" i="2"/>
  <c r="F60" i="2"/>
  <c r="K59" i="2"/>
  <c r="J59" i="2"/>
  <c r="I59" i="2"/>
  <c r="H59" i="2"/>
  <c r="G59" i="2"/>
  <c r="F59" i="2"/>
  <c r="K58" i="2"/>
  <c r="J58" i="2"/>
  <c r="I58" i="2"/>
  <c r="H58" i="2"/>
  <c r="G58" i="2"/>
  <c r="F58" i="2"/>
  <c r="K57" i="2"/>
  <c r="J57" i="2"/>
  <c r="I57" i="2"/>
  <c r="H57" i="2"/>
  <c r="G57" i="2"/>
  <c r="F57" i="2"/>
  <c r="K56" i="2"/>
  <c r="J56" i="2"/>
  <c r="I56" i="2"/>
  <c r="H56" i="2"/>
  <c r="G56" i="2"/>
  <c r="F56" i="2"/>
  <c r="K55" i="2"/>
  <c r="J55" i="2"/>
  <c r="I55" i="2"/>
  <c r="H55" i="2"/>
  <c r="G55" i="2"/>
  <c r="F55" i="2"/>
  <c r="K54" i="2"/>
  <c r="J54" i="2"/>
  <c r="I54" i="2"/>
  <c r="H54" i="2"/>
  <c r="G54" i="2"/>
  <c r="F54" i="2"/>
  <c r="K53" i="2"/>
  <c r="J53" i="2"/>
  <c r="I53" i="2"/>
  <c r="H53" i="2"/>
  <c r="G53" i="2"/>
  <c r="F53" i="2"/>
  <c r="K52" i="2"/>
  <c r="J52" i="2"/>
  <c r="I52" i="2"/>
  <c r="H52" i="2"/>
  <c r="G52" i="2"/>
  <c r="F52" i="2"/>
  <c r="K51" i="2"/>
  <c r="J51" i="2"/>
  <c r="I51" i="2"/>
  <c r="H51" i="2"/>
  <c r="G51" i="2"/>
  <c r="F51" i="2"/>
  <c r="K50" i="2"/>
  <c r="J50" i="2"/>
  <c r="I50" i="2"/>
  <c r="H50" i="2"/>
  <c r="G50" i="2"/>
  <c r="F50" i="2"/>
  <c r="K49" i="2"/>
  <c r="J49" i="2"/>
  <c r="I49" i="2"/>
  <c r="H49" i="2"/>
  <c r="G49" i="2"/>
  <c r="F49" i="2"/>
  <c r="K48" i="2"/>
  <c r="J48" i="2"/>
  <c r="I48" i="2"/>
  <c r="H48" i="2"/>
  <c r="G48" i="2"/>
  <c r="F48" i="2"/>
  <c r="K47" i="2"/>
  <c r="J47" i="2"/>
  <c r="I47" i="2"/>
  <c r="H47" i="2"/>
  <c r="G47" i="2"/>
  <c r="F47" i="2"/>
  <c r="K46" i="2"/>
  <c r="J46" i="2"/>
  <c r="I46" i="2"/>
  <c r="H46" i="2"/>
  <c r="G46" i="2"/>
  <c r="F46" i="2"/>
  <c r="K45" i="2"/>
  <c r="J45" i="2"/>
  <c r="I45" i="2"/>
  <c r="H45" i="2"/>
  <c r="G45" i="2"/>
  <c r="F45" i="2"/>
  <c r="K44" i="2"/>
  <c r="J44" i="2"/>
  <c r="I44" i="2"/>
  <c r="H44" i="2"/>
  <c r="G44" i="2"/>
  <c r="F44" i="2"/>
  <c r="K43" i="2"/>
  <c r="J43" i="2"/>
  <c r="I43" i="2"/>
  <c r="H43" i="2"/>
  <c r="G43" i="2"/>
  <c r="F43" i="2"/>
  <c r="K42" i="2"/>
  <c r="J42" i="2"/>
  <c r="I42" i="2"/>
  <c r="H42" i="2"/>
  <c r="G42" i="2"/>
  <c r="F42" i="2"/>
  <c r="K41" i="2"/>
  <c r="J41" i="2"/>
  <c r="I41" i="2"/>
  <c r="H41" i="2"/>
  <c r="G41" i="2"/>
  <c r="F41" i="2"/>
  <c r="K40" i="2"/>
  <c r="J40" i="2"/>
  <c r="I40" i="2"/>
  <c r="H40" i="2"/>
  <c r="G40" i="2"/>
  <c r="F40" i="2"/>
  <c r="K39" i="2"/>
  <c r="J39" i="2"/>
  <c r="I39" i="2"/>
  <c r="H39" i="2"/>
  <c r="G39" i="2"/>
  <c r="F39" i="2"/>
  <c r="K38" i="2"/>
  <c r="J38" i="2"/>
  <c r="I38" i="2"/>
  <c r="H38" i="2"/>
  <c r="G38" i="2"/>
  <c r="F38" i="2"/>
  <c r="K37" i="2"/>
  <c r="J37" i="2"/>
  <c r="I37" i="2"/>
  <c r="H37" i="2"/>
  <c r="G37" i="2"/>
  <c r="F37" i="2"/>
  <c r="K36" i="2"/>
  <c r="J36" i="2"/>
  <c r="I36" i="2"/>
  <c r="H36" i="2"/>
  <c r="G36" i="2"/>
  <c r="F36" i="2"/>
  <c r="K35" i="2"/>
  <c r="J35" i="2"/>
  <c r="I35" i="2"/>
  <c r="H35" i="2"/>
  <c r="G35" i="2"/>
  <c r="F35" i="2"/>
  <c r="K34" i="2"/>
  <c r="J34" i="2"/>
  <c r="I34" i="2"/>
  <c r="H34" i="2"/>
  <c r="G34" i="2"/>
  <c r="F34" i="2"/>
  <c r="K33" i="2"/>
  <c r="J33" i="2"/>
  <c r="I33" i="2"/>
  <c r="H33" i="2"/>
  <c r="G33" i="2"/>
  <c r="F33" i="2"/>
  <c r="K32" i="2"/>
  <c r="J32" i="2"/>
  <c r="I32" i="2"/>
  <c r="H32" i="2"/>
  <c r="G32" i="2"/>
  <c r="F32" i="2"/>
  <c r="K31" i="2"/>
  <c r="J31" i="2"/>
  <c r="I31" i="2"/>
  <c r="H31" i="2"/>
  <c r="G31" i="2"/>
  <c r="F31" i="2"/>
  <c r="K30" i="2"/>
  <c r="J30" i="2"/>
  <c r="I30" i="2"/>
  <c r="H30" i="2"/>
  <c r="G30" i="2"/>
  <c r="F30" i="2"/>
  <c r="K29" i="2"/>
  <c r="J29" i="2"/>
  <c r="I29" i="2"/>
  <c r="H29" i="2"/>
  <c r="G29" i="2"/>
  <c r="F29" i="2"/>
  <c r="K28" i="2"/>
  <c r="J28" i="2"/>
  <c r="I28" i="2"/>
  <c r="H28" i="2"/>
  <c r="G28" i="2"/>
  <c r="F28" i="2"/>
  <c r="K27" i="2"/>
  <c r="J27" i="2"/>
  <c r="I27" i="2"/>
  <c r="H27" i="2"/>
  <c r="G27" i="2"/>
  <c r="F27" i="2"/>
  <c r="K26" i="2"/>
  <c r="J26" i="2"/>
  <c r="I26" i="2"/>
  <c r="H26" i="2"/>
  <c r="G26" i="2"/>
  <c r="F26" i="2"/>
  <c r="K25" i="2"/>
  <c r="J25" i="2"/>
  <c r="I25" i="2"/>
  <c r="H25" i="2"/>
  <c r="G25" i="2"/>
  <c r="F25" i="2"/>
  <c r="K24" i="2"/>
  <c r="J24" i="2"/>
  <c r="I24" i="2"/>
  <c r="H24" i="2"/>
  <c r="G24" i="2"/>
  <c r="F24" i="2"/>
  <c r="K23" i="2"/>
  <c r="J23" i="2"/>
  <c r="I23" i="2"/>
  <c r="H23" i="2"/>
  <c r="G23" i="2"/>
  <c r="F23" i="2"/>
  <c r="K22" i="2"/>
  <c r="J22" i="2"/>
  <c r="I22" i="2"/>
  <c r="H22" i="2"/>
  <c r="G22" i="2"/>
  <c r="F22" i="2"/>
  <c r="K21" i="2"/>
  <c r="J21" i="2"/>
  <c r="I21" i="2"/>
  <c r="H21" i="2"/>
  <c r="G21" i="2"/>
  <c r="F21" i="2"/>
  <c r="K20" i="2"/>
  <c r="J20" i="2"/>
  <c r="I20" i="2"/>
  <c r="H20" i="2"/>
  <c r="G20" i="2"/>
  <c r="F20" i="2"/>
  <c r="K19" i="2"/>
  <c r="J19" i="2"/>
  <c r="I19" i="2"/>
  <c r="H19" i="2"/>
  <c r="G19" i="2"/>
  <c r="F19" i="2"/>
  <c r="K18" i="2"/>
  <c r="J18" i="2"/>
  <c r="I18" i="2"/>
  <c r="H18" i="2"/>
  <c r="G18" i="2"/>
  <c r="F18" i="2"/>
  <c r="K17" i="2"/>
  <c r="J17" i="2"/>
  <c r="I17" i="2"/>
  <c r="H17" i="2"/>
  <c r="G17" i="2"/>
  <c r="F17" i="2"/>
  <c r="K16" i="2"/>
  <c r="J16" i="2"/>
  <c r="I16" i="2"/>
  <c r="H16" i="2"/>
  <c r="G16" i="2"/>
  <c r="F16" i="2"/>
  <c r="K15" i="2"/>
  <c r="J15" i="2"/>
  <c r="I15" i="2"/>
  <c r="H15" i="2"/>
  <c r="G15" i="2"/>
  <c r="F15" i="2"/>
  <c r="K14" i="2"/>
  <c r="J14" i="2"/>
  <c r="I14" i="2"/>
  <c r="H14" i="2"/>
  <c r="G14" i="2"/>
  <c r="F14" i="2"/>
  <c r="K13" i="2"/>
  <c r="J13" i="2"/>
  <c r="I13" i="2"/>
  <c r="H13" i="2"/>
  <c r="E13" i="10" s="1"/>
  <c r="G13" i="2"/>
  <c r="F13" i="2"/>
  <c r="K12" i="2"/>
  <c r="J12" i="2"/>
  <c r="I12" i="2"/>
  <c r="H12" i="2"/>
  <c r="E12" i="10" s="1"/>
  <c r="G12" i="2"/>
  <c r="F12" i="2"/>
  <c r="K11" i="2"/>
  <c r="J11" i="2"/>
  <c r="I11" i="2"/>
  <c r="H11" i="2"/>
  <c r="E11" i="10" s="1"/>
  <c r="G11" i="2"/>
  <c r="F11" i="2"/>
  <c r="K10" i="2"/>
  <c r="J10" i="2"/>
  <c r="I10" i="2"/>
  <c r="H10" i="2"/>
  <c r="E10" i="10" s="1"/>
  <c r="G10" i="2"/>
  <c r="F10" i="2"/>
  <c r="K9" i="2"/>
  <c r="J9" i="2"/>
  <c r="I9" i="2"/>
  <c r="H9" i="10" s="1"/>
  <c r="H9" i="2"/>
  <c r="E9" i="10" s="1"/>
  <c r="G9" i="2"/>
  <c r="F9" i="2"/>
  <c r="K8" i="2"/>
  <c r="J8" i="2"/>
  <c r="I8" i="2"/>
  <c r="H8" i="10" s="1"/>
  <c r="H8" i="2"/>
  <c r="E8" i="10" s="1"/>
  <c r="G8" i="2"/>
  <c r="F8" i="2"/>
  <c r="K7" i="2"/>
  <c r="J7" i="2"/>
  <c r="I7" i="2"/>
  <c r="H7" i="10" s="1"/>
  <c r="H7" i="2"/>
  <c r="E7" i="10" s="1"/>
  <c r="G7" i="2"/>
  <c r="F7" i="2"/>
  <c r="K6" i="2"/>
  <c r="J6" i="2"/>
  <c r="I6" i="2"/>
  <c r="H6" i="10" s="1"/>
  <c r="H6" i="2"/>
  <c r="E6" i="10" s="1"/>
  <c r="G6" i="2"/>
  <c r="F6" i="2"/>
  <c r="K5" i="2"/>
  <c r="J5" i="2"/>
  <c r="I5" i="2"/>
  <c r="H5" i="10" s="1"/>
  <c r="H5" i="2"/>
  <c r="E5" i="10" s="1"/>
  <c r="G5" i="2"/>
  <c r="F5" i="2"/>
  <c r="K4" i="2"/>
  <c r="J4" i="2"/>
  <c r="I4" i="2"/>
  <c r="H4" i="10" s="1"/>
  <c r="H4" i="2"/>
  <c r="E4" i="10" s="1"/>
  <c r="G4" i="2"/>
  <c r="F4" i="2"/>
  <c r="K3" i="2"/>
  <c r="J3" i="2"/>
  <c r="I3" i="2"/>
  <c r="H3" i="10" s="1"/>
  <c r="H3" i="2"/>
  <c r="E3" i="10" s="1"/>
  <c r="G3" i="2"/>
  <c r="F3" i="2"/>
  <c r="K2" i="2"/>
  <c r="Q10" i="10" s="1"/>
  <c r="J2" i="2"/>
  <c r="N11" i="10" s="1"/>
  <c r="I2" i="2"/>
  <c r="H2" i="10" s="1"/>
  <c r="H2" i="2"/>
  <c r="E2" i="10" s="1"/>
  <c r="G2" i="2"/>
  <c r="B4" i="10" s="1"/>
  <c r="F2" i="2"/>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B2" i="10" l="1"/>
  <c r="N2" i="10"/>
  <c r="Q2" i="10"/>
  <c r="B3" i="10"/>
  <c r="N3" i="10"/>
  <c r="Q3" i="10"/>
  <c r="N4" i="10"/>
  <c r="Q4" i="10"/>
  <c r="N5" i="10"/>
  <c r="Q5" i="10"/>
  <c r="N6" i="10"/>
  <c r="Q6" i="10"/>
  <c r="N7" i="10"/>
  <c r="Q7" i="10"/>
  <c r="N8" i="10"/>
  <c r="Q8" i="10"/>
  <c r="N9" i="10"/>
  <c r="Q9" i="10"/>
  <c r="N10" i="10"/>
</calcChain>
</file>

<file path=xl/connections.xml><?xml version="1.0" encoding="utf-8"?>
<connections xmlns="http://schemas.openxmlformats.org/spreadsheetml/2006/main">
  <connection id="1" name="categories" type="6" refreshedVersion="4" background="1" saveData="1">
    <textPr codePage="437" sourceFile="C:\Users\Hp\Desktop\Data\Northwind\categories.csv" comma="1">
      <textFields count="3">
        <textField/>
        <textField/>
        <textField/>
      </textFields>
    </textPr>
  </connection>
  <connection id="2" name="customers" type="6" refreshedVersion="4" background="1" saveData="1">
    <textPr sourceFile="C:\Users\Hp\Desktop\Data\Northwind\customers.csv" comma="1">
      <textFields count="6">
        <textField/>
        <textField/>
        <textField/>
        <textField/>
        <textField/>
        <textField/>
      </textFields>
    </textPr>
  </connection>
  <connection id="3" name="employees" type="6" refreshedVersion="4" background="1" saveData="1">
    <textPr codePage="437" sourceFile="C:\Users\Hp\Desktop\Data\Northwind\employees.csv" comma="1">
      <textFields count="6">
        <textField/>
        <textField/>
        <textField/>
        <textField/>
        <textField/>
        <textField/>
      </textFields>
    </textPr>
  </connection>
  <connection id="4" name="orders" type="6" refreshedVersion="4" background="1" saveData="1">
    <textPr codePage="437" sourceFile="C:\Users\Hp\Desktop\Data\Northwind\orders.csv" comma="1">
      <textFields count="8">
        <textField/>
        <textField/>
        <textField/>
        <textField/>
        <textField/>
        <textField/>
        <textField/>
        <textField/>
      </textFields>
    </textPr>
  </connection>
  <connection id="5" name="products" type="6" refreshedVersion="4" background="1" saveData="1">
    <textPr sourceFile="C:\Users\Hp\Desktop\Data\Northwind\products.csv" comma="1">
      <textFields count="6">
        <textField/>
        <textField/>
        <textField/>
        <textField/>
        <textField/>
        <textField/>
      </textFields>
    </textPr>
  </connection>
  <connection id="6" name="shippers" type="6" refreshedVersion="4" background="1" saveData="1">
    <textPr codePage="437" sourceFile="C:\Users\Hp\Desktop\Data\Northwind\shippers.csv" comma="1">
      <textFields count="2">
        <textField/>
        <textField/>
      </textFields>
    </textPr>
  </connection>
</connections>
</file>

<file path=xl/sharedStrings.xml><?xml version="1.0" encoding="utf-8"?>
<sst xmlns="http://schemas.openxmlformats.org/spreadsheetml/2006/main" count="1687" uniqueCount="596">
  <si>
    <t>orderID</t>
  </si>
  <si>
    <t>customerID</t>
  </si>
  <si>
    <t>employeeID</t>
  </si>
  <si>
    <t>orderDate</t>
  </si>
  <si>
    <t>requiredDate</t>
  </si>
  <si>
    <t>shippedDate</t>
  </si>
  <si>
    <t>shipperID</t>
  </si>
  <si>
    <t>freight</t>
  </si>
  <si>
    <t>VINET</t>
  </si>
  <si>
    <t>TOMSP</t>
  </si>
  <si>
    <t>HANAR</t>
  </si>
  <si>
    <t>VICTE</t>
  </si>
  <si>
    <t>SUPRD</t>
  </si>
  <si>
    <t>CHOPS</t>
  </si>
  <si>
    <t>RICSU</t>
  </si>
  <si>
    <t>WELLI</t>
  </si>
  <si>
    <t>HILAA</t>
  </si>
  <si>
    <t>ERNSH</t>
  </si>
  <si>
    <t>CENTC</t>
  </si>
  <si>
    <t>OTTIK</t>
  </si>
  <si>
    <t>QUEDE</t>
  </si>
  <si>
    <t>RATTC</t>
  </si>
  <si>
    <t>FOLKO</t>
  </si>
  <si>
    <t>BLONP</t>
  </si>
  <si>
    <t>WARTH</t>
  </si>
  <si>
    <t>FRANK</t>
  </si>
  <si>
    <t>GROSR</t>
  </si>
  <si>
    <t>WHITC</t>
  </si>
  <si>
    <t>SPLIR</t>
  </si>
  <si>
    <t>QUICK</t>
  </si>
  <si>
    <t>MAGAA</t>
  </si>
  <si>
    <t>TORTU</t>
  </si>
  <si>
    <t>MORGK</t>
  </si>
  <si>
    <t>BERGS</t>
  </si>
  <si>
    <t>LEHMS</t>
  </si>
  <si>
    <t>ROMEY</t>
  </si>
  <si>
    <t>LILAS</t>
  </si>
  <si>
    <t>RICAR</t>
  </si>
  <si>
    <t>REGGC</t>
  </si>
  <si>
    <t>BSBEV</t>
  </si>
  <si>
    <t>COMMI</t>
  </si>
  <si>
    <t>TRADH</t>
  </si>
  <si>
    <t>HUNGO</t>
  </si>
  <si>
    <t>WANDK</t>
  </si>
  <si>
    <t>GODOS</t>
  </si>
  <si>
    <t>OLDWO</t>
  </si>
  <si>
    <t>LONEP</t>
  </si>
  <si>
    <t>ANATR</t>
  </si>
  <si>
    <t>THEBI</t>
  </si>
  <si>
    <t>DUMON</t>
  </si>
  <si>
    <t>ISLAT</t>
  </si>
  <si>
    <t>PERIC</t>
  </si>
  <si>
    <t>KOENE</t>
  </si>
  <si>
    <t>SAVEA</t>
  </si>
  <si>
    <t>BOLID</t>
  </si>
  <si>
    <t>FURIB</t>
  </si>
  <si>
    <t>BONAP</t>
  </si>
  <si>
    <t>MEREP</t>
  </si>
  <si>
    <t>PRINI</t>
  </si>
  <si>
    <t>SIMOB</t>
  </si>
  <si>
    <t>FAMIA</t>
  </si>
  <si>
    <t>LAMAI</t>
  </si>
  <si>
    <t>PICCO</t>
  </si>
  <si>
    <t>AROUT</t>
  </si>
  <si>
    <t>SEVES</t>
  </si>
  <si>
    <t>DRACD</t>
  </si>
  <si>
    <t>EASTC</t>
  </si>
  <si>
    <t>ANTON</t>
  </si>
  <si>
    <t>GALED</t>
  </si>
  <si>
    <t>VAFFE</t>
  </si>
  <si>
    <t>QUEEN</t>
  </si>
  <si>
    <t>WOLZA</t>
  </si>
  <si>
    <t>HUNGC</t>
  </si>
  <si>
    <t>SANTG</t>
  </si>
  <si>
    <t>BOTTM</t>
  </si>
  <si>
    <t>LINOD</t>
  </si>
  <si>
    <t>FOLIG</t>
  </si>
  <si>
    <t>OCEAN</t>
  </si>
  <si>
    <t>FRANS</t>
  </si>
  <si>
    <t>GOURL</t>
  </si>
  <si>
    <t>CONSH</t>
  </si>
  <si>
    <t>RANCH</t>
  </si>
  <si>
    <t>LAZYK</t>
  </si>
  <si>
    <t>LAUGB</t>
  </si>
  <si>
    <t>BLAUS</t>
  </si>
  <si>
    <t>NORTS</t>
  </si>
  <si>
    <t>CACTU</t>
  </si>
  <si>
    <t>GREAL</t>
  </si>
  <si>
    <t>MAISD</t>
  </si>
  <si>
    <t>TRAIH</t>
  </si>
  <si>
    <t>LETSS</t>
  </si>
  <si>
    <t>WILMK</t>
  </si>
  <si>
    <t>THECR</t>
  </si>
  <si>
    <t>ALFKI</t>
  </si>
  <si>
    <t>FRANR</t>
  </si>
  <si>
    <t>SPECD</t>
  </si>
  <si>
    <t>LACOR</t>
  </si>
  <si>
    <t>productID</t>
  </si>
  <si>
    <t>unitPrice</t>
  </si>
  <si>
    <t>quantity</t>
  </si>
  <si>
    <t>discount</t>
  </si>
  <si>
    <t>companyName</t>
  </si>
  <si>
    <t>contactName</t>
  </si>
  <si>
    <t>contactTitle</t>
  </si>
  <si>
    <t>city</t>
  </si>
  <si>
    <t>country</t>
  </si>
  <si>
    <t>Alfreds Futterkiste</t>
  </si>
  <si>
    <t>Maria Anders</t>
  </si>
  <si>
    <t>Sales Representative</t>
  </si>
  <si>
    <t>Berlin</t>
  </si>
  <si>
    <t>Germany</t>
  </si>
  <si>
    <t>Ana Trujillo Emparedados y helados</t>
  </si>
  <si>
    <t>Ana Trujillo</t>
  </si>
  <si>
    <t>Owner</t>
  </si>
  <si>
    <t>Mexico City</t>
  </si>
  <si>
    <t>Mexico</t>
  </si>
  <si>
    <t>Antonio Moreno Taquería</t>
  </si>
  <si>
    <t>Antonio Moreno</t>
  </si>
  <si>
    <t>Around the Horn</t>
  </si>
  <si>
    <t>Thomas Hardy</t>
  </si>
  <si>
    <t>London</t>
  </si>
  <si>
    <t>UK</t>
  </si>
  <si>
    <t>Berglunds snabbköp</t>
  </si>
  <si>
    <t>Christina Berglund</t>
  </si>
  <si>
    <t>Order Administrator</t>
  </si>
  <si>
    <t>Luleå</t>
  </si>
  <si>
    <t>Sweden</t>
  </si>
  <si>
    <t>Blauer See Delikatessen</t>
  </si>
  <si>
    <t>Hanna Moos</t>
  </si>
  <si>
    <t>Mannheim</t>
  </si>
  <si>
    <t>Blondesddsl père et fils</t>
  </si>
  <si>
    <t>Frédérique Citeaux</t>
  </si>
  <si>
    <t>Marketing Manager</t>
  </si>
  <si>
    <t>Strasbourg</t>
  </si>
  <si>
    <t>France</t>
  </si>
  <si>
    <t>Bólido Comidas preparadas</t>
  </si>
  <si>
    <t>Martín Sommer</t>
  </si>
  <si>
    <t>Madrid</t>
  </si>
  <si>
    <t>Spain</t>
  </si>
  <si>
    <t>Bon app'</t>
  </si>
  <si>
    <t>Laurence Lebihan</t>
  </si>
  <si>
    <t>Marseille</t>
  </si>
  <si>
    <t>Bottom-Dollar Markets</t>
  </si>
  <si>
    <t>Elizabeth Lincoln</t>
  </si>
  <si>
    <t>Accounting Manager</t>
  </si>
  <si>
    <t>Tsawassen</t>
  </si>
  <si>
    <t>Canada</t>
  </si>
  <si>
    <t>B's Beverages</t>
  </si>
  <si>
    <t>Victoria Ashworth</t>
  </si>
  <si>
    <t>Cactus Comidas para llevar</t>
  </si>
  <si>
    <t>Patricio Simpson</t>
  </si>
  <si>
    <t>Sales Agent</t>
  </si>
  <si>
    <t>Buenos Aires</t>
  </si>
  <si>
    <t>Argentina</t>
  </si>
  <si>
    <t>Centro comercial Moctezuma</t>
  </si>
  <si>
    <t>Francisco Chang</t>
  </si>
  <si>
    <t>Chop-suey Chinese</t>
  </si>
  <si>
    <t>Yang Wang</t>
  </si>
  <si>
    <t>Bern</t>
  </si>
  <si>
    <t>Switzerland</t>
  </si>
  <si>
    <t>Comércio Mineiro</t>
  </si>
  <si>
    <t>Pedro Afonso</t>
  </si>
  <si>
    <t>Sales Associate</t>
  </si>
  <si>
    <t>Sao Paulo</t>
  </si>
  <si>
    <t>Brazil</t>
  </si>
  <si>
    <t>Consolidated Holdings</t>
  </si>
  <si>
    <t>Elizabeth Brown</t>
  </si>
  <si>
    <t>Drachenblut Delikatessen</t>
  </si>
  <si>
    <t>Sven Ottlieb</t>
  </si>
  <si>
    <t>Aachen</t>
  </si>
  <si>
    <t>Du monde entier</t>
  </si>
  <si>
    <t>Janine Labrune</t>
  </si>
  <si>
    <t>Nantes</t>
  </si>
  <si>
    <t>Eastern Connection</t>
  </si>
  <si>
    <t>Ann Devon</t>
  </si>
  <si>
    <t>Ernst Handel</t>
  </si>
  <si>
    <t>Roland Mendel</t>
  </si>
  <si>
    <t>Sales Manager</t>
  </si>
  <si>
    <t>Graz</t>
  </si>
  <si>
    <t>Austria</t>
  </si>
  <si>
    <t>Familia Arquibaldo</t>
  </si>
  <si>
    <t>Aria Cruz</t>
  </si>
  <si>
    <t>Marketing Assistant</t>
  </si>
  <si>
    <t>FISSA</t>
  </si>
  <si>
    <t>FISSA Fabrica Inter. Salchichas S.A.</t>
  </si>
  <si>
    <t>Diego Roel</t>
  </si>
  <si>
    <t>Folies gourmandes</t>
  </si>
  <si>
    <t>Martine Rancé</t>
  </si>
  <si>
    <t>Assistant Sales Agent</t>
  </si>
  <si>
    <t>Lille</t>
  </si>
  <si>
    <t>Folk och fä HB</t>
  </si>
  <si>
    <t>Maria Larsson</t>
  </si>
  <si>
    <t>Bräcke</t>
  </si>
  <si>
    <t>Frankenversand</t>
  </si>
  <si>
    <t>Peter Franken</t>
  </si>
  <si>
    <t>München</t>
  </si>
  <si>
    <t>France restauration</t>
  </si>
  <si>
    <t>Carine Schmitt</t>
  </si>
  <si>
    <t>Franchi S.p.A.</t>
  </si>
  <si>
    <t>Paolo Accorti</t>
  </si>
  <si>
    <t>Torino</t>
  </si>
  <si>
    <t>Italy</t>
  </si>
  <si>
    <t>Furia Bacalhau e Frutos do Mar</t>
  </si>
  <si>
    <t>Lino Rodriguez</t>
  </si>
  <si>
    <t>Lisboa</t>
  </si>
  <si>
    <t>Portugal</t>
  </si>
  <si>
    <t>Galería del gastrónomo</t>
  </si>
  <si>
    <t>Eduardo Saavedra</t>
  </si>
  <si>
    <t>Barcelona</t>
  </si>
  <si>
    <t>Godos Cocina Típica</t>
  </si>
  <si>
    <t>José Pedro Freyre</t>
  </si>
  <si>
    <t>Sevilla</t>
  </si>
  <si>
    <t>Gourmet Lanchonetes</t>
  </si>
  <si>
    <t>André Fonseca</t>
  </si>
  <si>
    <t>Campinas</t>
  </si>
  <si>
    <t>Great Lakes Food Market</t>
  </si>
  <si>
    <t>Howard Snyder</t>
  </si>
  <si>
    <t>Eugene</t>
  </si>
  <si>
    <t>USA</t>
  </si>
  <si>
    <t>GROSELLA-Restaurante</t>
  </si>
  <si>
    <t>Manuel Pereira</t>
  </si>
  <si>
    <t>Caracas</t>
  </si>
  <si>
    <t>Venezuela</t>
  </si>
  <si>
    <t>Hanari Carnes</t>
  </si>
  <si>
    <t>Mario Pontes</t>
  </si>
  <si>
    <t>Rio de Janeiro</t>
  </si>
  <si>
    <t>HILARION-Abastos</t>
  </si>
  <si>
    <t>Carlos Hernández</t>
  </si>
  <si>
    <t>San Cristóbal</t>
  </si>
  <si>
    <t>Hungry Coyote Import Store</t>
  </si>
  <si>
    <t>Yoshi Latimer</t>
  </si>
  <si>
    <t>Elgin</t>
  </si>
  <si>
    <t>Hungry Owl All-Night Grocers</t>
  </si>
  <si>
    <t>Patricia McKenna</t>
  </si>
  <si>
    <t>Cork</t>
  </si>
  <si>
    <t>Ireland</t>
  </si>
  <si>
    <t>Island Trading</t>
  </si>
  <si>
    <t>Helen Bennett</t>
  </si>
  <si>
    <t>Cowes</t>
  </si>
  <si>
    <t>Königlich Essen</t>
  </si>
  <si>
    <t>Philip Cramer</t>
  </si>
  <si>
    <t>Brandenburg</t>
  </si>
  <si>
    <t>La corne d'abondance</t>
  </si>
  <si>
    <t>Daniel Tonini</t>
  </si>
  <si>
    <t>Versailles</t>
  </si>
  <si>
    <t>La maison d'Asie</t>
  </si>
  <si>
    <t>Annette Roulet</t>
  </si>
  <si>
    <t>Toulouse</t>
  </si>
  <si>
    <t>Laughing Bacchus Wine Cellars</t>
  </si>
  <si>
    <t>Yoshi Tannamuri</t>
  </si>
  <si>
    <t>Vancouver</t>
  </si>
  <si>
    <t>Lazy K Kountry Store</t>
  </si>
  <si>
    <t>John Steel</t>
  </si>
  <si>
    <t>Walla Walla</t>
  </si>
  <si>
    <t>Lehmanns Marktstand</t>
  </si>
  <si>
    <t>Renate Messner</t>
  </si>
  <si>
    <t>Frankfurt a.M.</t>
  </si>
  <si>
    <t>Let's Stop N Shop</t>
  </si>
  <si>
    <t>Jaime Yorres</t>
  </si>
  <si>
    <t>San Francisco</t>
  </si>
  <si>
    <t>LILA-Supermercado</t>
  </si>
  <si>
    <t>Carlos González</t>
  </si>
  <si>
    <t>Barquisimeto</t>
  </si>
  <si>
    <t>LINO-Delicateses</t>
  </si>
  <si>
    <t>Felipe Izquierdo</t>
  </si>
  <si>
    <t>I. de Margarita</t>
  </si>
  <si>
    <t>Lonesome Pine Restaurant</t>
  </si>
  <si>
    <t>Fran Wilson</t>
  </si>
  <si>
    <t>Portland</t>
  </si>
  <si>
    <t>Magazzini Alimentari Riuniti</t>
  </si>
  <si>
    <t>Giovanni Rovelli</t>
  </si>
  <si>
    <t>Bergamo</t>
  </si>
  <si>
    <t>Maison Dewey</t>
  </si>
  <si>
    <t>Catherine Dewey</t>
  </si>
  <si>
    <t>Bruxelles</t>
  </si>
  <si>
    <t>Belgium</t>
  </si>
  <si>
    <t>Mère Paillarde</t>
  </si>
  <si>
    <t>Jean Fresnière</t>
  </si>
  <si>
    <t>Montréal</t>
  </si>
  <si>
    <t>Morgenstern Gesundkost</t>
  </si>
  <si>
    <t>Alexander Feuer</t>
  </si>
  <si>
    <t>Leipzig</t>
  </si>
  <si>
    <t>North/South</t>
  </si>
  <si>
    <t>Simon Crowther</t>
  </si>
  <si>
    <t>Océano Atlántico Ltda.</t>
  </si>
  <si>
    <t>Yvonne Moncada</t>
  </si>
  <si>
    <t>Old World Delicatessen</t>
  </si>
  <si>
    <t>Rene Phillips</t>
  </si>
  <si>
    <t>Anchorage</t>
  </si>
  <si>
    <t>Ottilies Käseladen</t>
  </si>
  <si>
    <t>Henriette Pfalzheim</t>
  </si>
  <si>
    <t>Köln</t>
  </si>
  <si>
    <t>PARIS</t>
  </si>
  <si>
    <t>Paris spécialités</t>
  </si>
  <si>
    <t>Marie Bertrand</t>
  </si>
  <si>
    <t>Paris</t>
  </si>
  <si>
    <t>Pericles Comidas clásicas</t>
  </si>
  <si>
    <t>Guillermo Fernández</t>
  </si>
  <si>
    <t>Piccolo und mehr</t>
  </si>
  <si>
    <t>Georg Pipps</t>
  </si>
  <si>
    <t>Salzburg</t>
  </si>
  <si>
    <t>Princesa Isabel Vinhos</t>
  </si>
  <si>
    <t>Isabel de Castro</t>
  </si>
  <si>
    <t>Que Delícia</t>
  </si>
  <si>
    <t>Bernardo Batista</t>
  </si>
  <si>
    <t>Queen Cozinha</t>
  </si>
  <si>
    <t>Lúcia Carvalho</t>
  </si>
  <si>
    <t>QUICK-Stop</t>
  </si>
  <si>
    <t>Horst Kloss</t>
  </si>
  <si>
    <t>Cunewalde</t>
  </si>
  <si>
    <t>Rancho grande</t>
  </si>
  <si>
    <t>Sergio Gutiérrez</t>
  </si>
  <si>
    <t>Rattlesnake Canyon Grocery</t>
  </si>
  <si>
    <t>Paula Wilson</t>
  </si>
  <si>
    <t>Assistant Sales Representative</t>
  </si>
  <si>
    <t>Albuquerque</t>
  </si>
  <si>
    <t>Reggiani Caseifici</t>
  </si>
  <si>
    <t>Maurizio Moroni</t>
  </si>
  <si>
    <t>Reggio Emilia</t>
  </si>
  <si>
    <t>Ricardo Adocicados</t>
  </si>
  <si>
    <t>Janete Limeira</t>
  </si>
  <si>
    <t>Richter Supermarkt</t>
  </si>
  <si>
    <t>Michael Holz</t>
  </si>
  <si>
    <t>Genève</t>
  </si>
  <si>
    <t>Romero y tomillo</t>
  </si>
  <si>
    <t>Alejandra Camino</t>
  </si>
  <si>
    <t>Santé Gourmet</t>
  </si>
  <si>
    <t>Jonas Bergulfsen</t>
  </si>
  <si>
    <t>Stavern</t>
  </si>
  <si>
    <t>Norway</t>
  </si>
  <si>
    <t>Save-a-lot Markets</t>
  </si>
  <si>
    <t>Jose Pavarotti</t>
  </si>
  <si>
    <t>Boise</t>
  </si>
  <si>
    <t>Seven Seas Imports</t>
  </si>
  <si>
    <t>Hari Kumar</t>
  </si>
  <si>
    <t>Simons bistro</t>
  </si>
  <si>
    <t>Jytte Petersen</t>
  </si>
  <si>
    <t>Kobenhavn</t>
  </si>
  <si>
    <t>Denmark</t>
  </si>
  <si>
    <t>Spécialités du monde</t>
  </si>
  <si>
    <t>Dominique Perrier</t>
  </si>
  <si>
    <t>Split Rail Beer &amp; Ale</t>
  </si>
  <si>
    <t>Art Braunschweiger</t>
  </si>
  <si>
    <t>Lander</t>
  </si>
  <si>
    <t>Suprêmes délices</t>
  </si>
  <si>
    <t>Pascale Cartrain</t>
  </si>
  <si>
    <t>Charleroi</t>
  </si>
  <si>
    <t>The Big Cheese</t>
  </si>
  <si>
    <t>Liz Nixon</t>
  </si>
  <si>
    <t>The Cracker Box</t>
  </si>
  <si>
    <t>Liu Wong</t>
  </si>
  <si>
    <t>Butte</t>
  </si>
  <si>
    <t>Toms Spezialitäten</t>
  </si>
  <si>
    <t>Karin Josephs</t>
  </si>
  <si>
    <t>Münster</t>
  </si>
  <si>
    <t>Tortuga Restaurante</t>
  </si>
  <si>
    <t>Miguel Angel Paolino</t>
  </si>
  <si>
    <t>Tradição Hipermercados</t>
  </si>
  <si>
    <t>Anabela Domingues</t>
  </si>
  <si>
    <t>Trail's Head Gourmet Provisioners</t>
  </si>
  <si>
    <t>Helvetius Nagy</t>
  </si>
  <si>
    <t>Kirkland</t>
  </si>
  <si>
    <t>Vaffeljernet</t>
  </si>
  <si>
    <t>Palle Ibsen</t>
  </si>
  <si>
    <t>Århus</t>
  </si>
  <si>
    <t>Victuailles en stock</t>
  </si>
  <si>
    <t>Mary Saveley</t>
  </si>
  <si>
    <t>Lyon</t>
  </si>
  <si>
    <t>Vins et alcools Chevalier</t>
  </si>
  <si>
    <t>Paul Henriot</t>
  </si>
  <si>
    <t>Reims</t>
  </si>
  <si>
    <t>Die Wandernde Kuh</t>
  </si>
  <si>
    <t>Rita Müller</t>
  </si>
  <si>
    <t>Stuttgart</t>
  </si>
  <si>
    <t>Wartian Herkku</t>
  </si>
  <si>
    <t>Pirkko Koskitalo</t>
  </si>
  <si>
    <t>Oulu</t>
  </si>
  <si>
    <t>Finland</t>
  </si>
  <si>
    <t>Wellington Importadora</t>
  </si>
  <si>
    <t>Paula Parente</t>
  </si>
  <si>
    <t>Resende</t>
  </si>
  <si>
    <t>White Clover Markets</t>
  </si>
  <si>
    <t>Karl Jablonski</t>
  </si>
  <si>
    <t>Seattle</t>
  </si>
  <si>
    <t>Wilman Kala</t>
  </si>
  <si>
    <t>Matti Karttunen</t>
  </si>
  <si>
    <t>Owner/Marketing Assistant</t>
  </si>
  <si>
    <t>Helsinki</t>
  </si>
  <si>
    <t>Wolski  Zajazd</t>
  </si>
  <si>
    <t>Zbyszek Piestrzeniewicz</t>
  </si>
  <si>
    <t>Warszawa</t>
  </si>
  <si>
    <t>Poland</t>
  </si>
  <si>
    <t>productName</t>
  </si>
  <si>
    <t>quantityPerUnit</t>
  </si>
  <si>
    <t>discontinued</t>
  </si>
  <si>
    <t>categoryID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</si>
  <si>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</si>
  <si>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</si>
  <si>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</si>
  <si>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</si>
  <si>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</si>
  <si>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</si>
  <si>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</si>
  <si>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</si>
  <si>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</si>
  <si>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</si>
  <si>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</si>
  <si>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</si>
  <si>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</si>
  <si>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</si>
  <si>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</si>
  <si>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</si>
  <si>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</si>
  <si>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</si>
  <si>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</si>
  <si>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</si>
  <si>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</si>
  <si>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</si>
  <si>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</si>
  <si>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</si>
  <si>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</si>
  <si>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</si>
  <si>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</si>
  <si>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</si>
  <si>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</si>
  <si>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</si>
  <si>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</si>
  <si>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</si>
  <si>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</si>
  <si>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</si>
  <si>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</si>
  <si>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</si>
  <si>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</si>
  <si>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</si>
  <si>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</si>
  <si>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</si>
  <si>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</si>
  <si>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</si>
  <si>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Knackebröd</t>
  </si>
  <si>
    <t>24 - 500 g pkgs.</t>
  </si>
  <si>
    <t>Tunnbröd</t>
  </si>
  <si>
    <t>12 - 250 g pkgs.</t>
  </si>
  <si>
    <t>Guarana Fantastica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</si>
  <si>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</si>
  <si>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</si>
  <si>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</si>
  <si>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</si>
  <si>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</si>
  <si>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</si>
  <si>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</si>
  <si>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</si>
  <si>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</si>
  <si>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</si>
  <si>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</si>
  <si>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</si>
  <si>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</si>
  <si>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</si>
  <si>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</si>
  <si>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</si>
  <si>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</si>
  <si>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</si>
  <si>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</si>
  <si>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</si>
  <si>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</si>
  <si>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</si>
  <si>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</si>
  <si>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</si>
  <si>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</si>
  <si>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</si>
  <si>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</si>
  <si>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</si>
  <si>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</si>
  <si>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</si>
  <si>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</si>
  <si>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</si>
  <si>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</si>
  <si>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</si>
  <si>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</si>
  <si>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</si>
  <si>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</si>
  <si>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</si>
  <si>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</si>
  <si>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</si>
  <si>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</si>
  <si>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</si>
  <si>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</si>
  <si>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</si>
  <si>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</si>
  <si>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</si>
  <si>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</si>
  <si>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</si>
  <si>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</si>
  <si>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</si>
  <si>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</si>
  <si>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</si>
  <si>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</si>
  <si>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</si>
  <si>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</si>
  <si>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</si>
  <si>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</si>
  <si>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</si>
  <si>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</si>
  <si>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</si>
  <si>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</si>
  <si>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</si>
  <si>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</si>
  <si>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</si>
  <si>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</si>
  <si>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</si>
  <si>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</si>
  <si>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</si>
  <si>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</si>
  <si>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</si>
  <si>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</si>
  <si>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</si>
  <si>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</si>
  <si>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</si>
  <si>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</si>
  <si>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</si>
  <si>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</si>
  <si>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</si>
  <si>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</si>
  <si>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</si>
  <si>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</si>
  <si>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</si>
  <si>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</si>
  <si>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</si>
  <si>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</si>
  <si>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</si>
  <si>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</si>
  <si>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</si>
  <si>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</si>
  <si>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</si>
  <si>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</si>
  <si>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</si>
  <si>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</si>
  <si>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</si>
  <si>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</si>
  <si>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</si>
  <si>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Lakkaliköri</t>
  </si>
  <si>
    <t>500 ml</t>
  </si>
  <si>
    <t>Original Frankfurter Grüne Soße</t>
  </si>
  <si>
    <t>12 boxes</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</si>
  <si>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</si>
  <si>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</si>
  <si>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</si>
  <si>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</si>
  <si>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</si>
  <si>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</si>
  <si>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</si>
  <si>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</si>
  <si>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</si>
  <si>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</si>
  <si>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 &amp; Cereals</t>
  </si>
  <si>
    <t>Breads, crackers, pasta, and cereal</t>
  </si>
  <si>
    <t>Meat &amp; Poultry</t>
  </si>
  <si>
    <t>Prepared meats</t>
  </si>
  <si>
    <t>Produce</t>
  </si>
  <si>
    <t>Dried fruit and bean curd</t>
  </si>
  <si>
    <t>Seafood</t>
  </si>
  <si>
    <t>Seaweed and fish</t>
  </si>
  <si>
    <t>employeeName</t>
  </si>
  <si>
    <t>title</t>
  </si>
  <si>
    <t>reportsTo</t>
  </si>
  <si>
    <t>Nancy Davolio</t>
  </si>
  <si>
    <t>New York</t>
  </si>
  <si>
    <t>Andrew Fuller</t>
  </si>
  <si>
    <t>Vice President Sales</t>
  </si>
  <si>
    <t>Janet Leverling</t>
  </si>
  <si>
    <t>Margaret Peacock</t>
  </si>
  <si>
    <t>Steven Buchanan</t>
  </si>
  <si>
    <t>Michael Suyama</t>
  </si>
  <si>
    <t>Robert King</t>
  </si>
  <si>
    <t>Laura Callahan</t>
  </si>
  <si>
    <t>Anne Dodsworth</t>
  </si>
  <si>
    <t>Speedy Express</t>
  </si>
  <si>
    <t>United Package</t>
  </si>
  <si>
    <t>Federal Shipping</t>
  </si>
  <si>
    <t>Row Labels</t>
  </si>
  <si>
    <t>Grand Total</t>
  </si>
  <si>
    <t>Revenue</t>
  </si>
  <si>
    <t>Page 1: Sales&amp; Revenue Overview</t>
  </si>
  <si>
    <t>Total Revenue</t>
  </si>
  <si>
    <t>Total Orders</t>
  </si>
  <si>
    <t>Total Customers</t>
  </si>
  <si>
    <t>Year</t>
  </si>
  <si>
    <t>Month</t>
  </si>
  <si>
    <t>Orders</t>
  </si>
  <si>
    <t>Page2: Product &amp; Category Intelligence</t>
  </si>
  <si>
    <t>Category</t>
  </si>
  <si>
    <t>ProductB</t>
  </si>
  <si>
    <t>Page 3: Regional, Operational &amp; People Performance</t>
  </si>
  <si>
    <t>Country</t>
  </si>
  <si>
    <t>Employee</t>
  </si>
  <si>
    <t>Sum of Revenue</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</si>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</sst>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36"/>
      <color rgb="FF7030A0"/>
      <name val="Calibri"/>
      <family val="2"/>
      <scheme val="minor"/>
    </font>
    <font>
      <b/>
      <sz val="14"/>
      <color theme="1"/>
      <name val="Calibri"/>
      <family val="2"/>
      <scheme val="minor"/>
    </font>
    <font>
      <sz val="11"/>
      <color rgb="FF7030A0"/>
      <name val="Calibri"/>
      <family val="2"/>
      <scheme val="minor"/>
    </font>
    <font>
      <b/>
      <sz val="14"/>
      <name val="Calibri"/>
      <family val="2"/>
      <scheme val="minor"/>
    </font>
    <font>
      <sz val="11"/>
      <color theme="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4" fillId="2" borderId="0" xfId="0" applyFont="1" applyFill="1"/>
    <xf numFmtId="0" fontId="0" fillId="2" borderId="0" xfId="0" applyFill="1"/>
    <xf numFmtId="0" fontId="5" fillId="2" borderId="0" xfId="0" applyFont="1" applyFill="1"/>
    <xf numFmtId="0" fontId="3" fillId="2" borderId="0" xfId="0" applyFont="1" applyFill="1"/>
    <xf numFmtId="44" fontId="3" fillId="2" borderId="0" xfId="1" applyFont="1" applyFill="1"/>
    <xf numFmtId="0" fontId="6" fillId="2" borderId="0" xfId="0" applyFont="1" applyFill="1"/>
    <xf numFmtId="0" fontId="7" fillId="2" borderId="0" xfId="0" applyFont="1" applyFill="1"/>
    <xf numFmtId="0" fontId="8" fillId="0" borderId="0" xfId="0" applyNumberFormat="1" applyFont="1"/>
    <xf numFmtId="0" fontId="0" fillId="3" borderId="0" xfId="0" applyFill="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[Northwind_Dashboard.xlsx]Pivot table 1!PivotTable2</c:name>
    <c:fmtId val="3"/>
  </c:pivotSource>
  <c:chart>
    <c:title>
      <c:tx>
        <c:rich>
          <a:bodyPr/>
          <a:lstStyle/>
          <a:p>
            <a:pPr>
              <a:defRPr/>
            </a:pPr>
            <a:r>
              <a:rPr lang="en-US"/>
              <a:t>Revenue by Year</a:t>
            </a:r>
          </a:p>
        </c:rich>
      </c:tx>
      <c:layout/>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'Pivot table 1'!$B$5</c:f>
              <c:strCache>
                <c:ptCount val="1"/>
                <c:pt idx="0">
                  <c:v>Total</c:v>
                </c:pt>
              </c:strCache>
            </c:strRef>
          </c:tx>
          <c:invertIfNegative val="0"/>
          <c:cat>
            <c:strRef>
              <c:f>'Pivot table 1'!$A$6:$A$7</c:f>
              <c:strCache>
                <c:ptCount val="1"/>
                <c:pt idx="0">
                  <c:v>2014</c:v>
                </c:pt>
              </c:strCache>
            </c:strRef>
          </c:cat>
          <c:val>
            <c:numRef>
              <c:f>'Pivot table 1'!$B$6:$B$7</c:f>
              <c:numCache>
                <c:formatCode>General</c:formatCode>
                <c:ptCount val="1"/>
                <c:pt idx="0">
                  <c:v>835.19999999999993</c:v>
                </c:pt>
              </c:numCache>
            </c:numRef>
          </c:val>
        </c:ser>
        <c:dLbls>
          <c:showLegendKey val="0"/>
          <c:showVal val="0"/>
          <c:showCatName val="0"/>
          <c:showSerName val="0"/>
          <c:showPercent val="0"/>
          <c:showBubbleSize val="0"/>
        </c:dLbls>
        <c:gapWidth val="150"/>
        <c:axId val="210562432"/>
        <c:axId val="210646144"/>
      </c:barChart>
      <c:catAx>
        <c:axId val="210562432"/>
        <c:scaling>
          <c:orientation val="minMax"/>
        </c:scaling>
        <c:delete val="0"/>
        <c:axPos val="b"/>
        <c:majorTickMark val="out"/>
        <c:minorTickMark val="none"/>
        <c:tickLblPos val="nextTo"/>
        <c:crossAx val="210646144"/>
        <c:crosses val="autoZero"/>
        <c:auto val="1"/>
        <c:lblAlgn val="ctr"/>
        <c:lblOffset val="100"/>
        <c:noMultiLvlLbl val="0"/>
      </c:catAx>
      <c:valAx>
        <c:axId val="210646144"/>
        <c:scaling>
          <c:orientation val="minMax"/>
        </c:scaling>
        <c:delete val="0"/>
        <c:axPos val="l"/>
        <c:majorGridlines/>
        <c:numFmt formatCode="General" sourceLinked="1"/>
        <c:majorTickMark val="out"/>
        <c:minorTickMark val="none"/>
        <c:tickLblPos val="nextTo"/>
        <c:crossAx val="21056243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[Northwind_Dashboard.xlsx]Pivot table 1!PivotTable2</c:name>
    <c:fmtId val="7"/>
  </c:pivotSource>
  <c:chart>
    <c:title>
      <c:tx>
        <c:rich>
          <a:bodyPr/>
          <a:lstStyle/>
          <a:p>
            <a:pPr>
              <a:defRPr/>
            </a:pPr>
            <a:r>
              <a:rPr lang="en-US"/>
              <a:t>Revenue</a:t>
            </a:r>
            <a:r>
              <a:rPr lang="en-US" baseline="0"/>
              <a:t> by Year</a:t>
            </a:r>
            <a:endParaRPr lang="en-US"/>
          </a:p>
        </c:rich>
      </c:tx>
      <c:layout/>
      <c:overlay val="0"/>
      <c:spPr>
        <a:noFill/>
      </c:spPr>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 table 1'!$B$5</c:f>
              <c:strCache>
                <c:ptCount val="1"/>
                <c:pt idx="0">
                  <c:v>Total</c:v>
                </c:pt>
              </c:strCache>
            </c:strRef>
          </c:tx>
          <c:invertIfNegative val="0"/>
          <c:cat>
            <c:strRef>
              <c:f>'Pivot table 1'!$A$6:$A$7</c:f>
              <c:strCache>
                <c:ptCount val="1"/>
                <c:pt idx="0">
                  <c:v>2014</c:v>
                </c:pt>
              </c:strCache>
            </c:strRef>
          </c:cat>
          <c:val>
            <c:numRef>
              <c:f>'Pivot table 1'!$B$6:$B$7</c:f>
              <c:numCache>
                <c:formatCode>General</c:formatCode>
                <c:ptCount val="1"/>
                <c:pt idx="0">
                  <c:v>835.19999999999993</c:v>
                </c:pt>
              </c:numCache>
            </c:numRef>
          </c:val>
        </c:ser>
        <c:dLbls>
          <c:showLegendKey val="0"/>
          <c:showVal val="0"/>
          <c:showCatName val="0"/>
          <c:showSerName val="0"/>
          <c:showPercent val="0"/>
          <c:showBubbleSize val="0"/>
        </c:dLbls>
        <c:gapWidth val="150"/>
        <c:axId val="210575360"/>
        <c:axId val="210576896"/>
      </c:barChart>
      <c:catAx>
        <c:axId val="210575360"/>
        <c:scaling>
          <c:orientation val="minMax"/>
        </c:scaling>
        <c:delete val="0"/>
        <c:axPos val="b"/>
        <c:majorTickMark val="out"/>
        <c:minorTickMark val="none"/>
        <c:tickLblPos val="nextTo"/>
        <c:crossAx val="210576896"/>
        <c:crosses val="autoZero"/>
        <c:auto val="1"/>
        <c:lblAlgn val="ctr"/>
        <c:lblOffset val="100"/>
        <c:noMultiLvlLbl val="0"/>
      </c:catAx>
      <c:valAx>
        <c:axId val="210576896"/>
        <c:scaling>
          <c:orientation val="minMax"/>
        </c:scaling>
        <c:delete val="0"/>
        <c:axPos val="l"/>
        <c:majorGridlines/>
        <c:numFmt formatCode="General" sourceLinked="1"/>
        <c:majorTickMark val="out"/>
        <c:minorTickMark val="none"/>
        <c:tickLblPos val="nextTo"/>
        <c:crossAx val="2105753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Order</a:t>
            </a:r>
            <a:r>
              <a:rPr lang="en-US" baseline="0"/>
              <a:t> by Month</a:t>
            </a:r>
            <a:endParaRPr lang="en-US"/>
          </a:p>
        </c:rich>
      </c:tx>
      <c:layout/>
      <c:overlay val="0"/>
    </c:title>
    <c:autoTitleDeleted val="0"/>
    <c:plotArea>
      <c:layout/>
      <c:barChart>
        <c:barDir val="col"/>
        <c:grouping val="clustered"/>
        <c:varyColors val="0"/>
        <c:ser>
          <c:idx val="0"/>
          <c:order val="0"/>
          <c:tx>
            <c:strRef>
              <c:f>Data_Page1!$D$1</c:f>
              <c:strCache>
                <c:ptCount val="1"/>
                <c:pt idx="0">
                  <c:v>Month</c:v>
                </c:pt>
              </c:strCache>
            </c:strRef>
          </c:tx>
          <c:invertIfNegative val="0"/>
          <c:val>
            <c:numRef>
              <c:f>Data_Page1!$D$2:$D$13</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val>
        </c:ser>
        <c:ser>
          <c:idx val="1"/>
          <c:order val="1"/>
          <c:tx>
            <c:strRef>
              <c:f>Data_Page1!$E$1</c:f>
              <c:strCache>
                <c:ptCount val="1"/>
                <c:pt idx="0">
                  <c:v>Orders</c:v>
                </c:pt>
              </c:strCache>
            </c:strRef>
          </c:tx>
          <c:invertIfNegative val="0"/>
          <c:val>
            <c:numRef>
              <c:f>Data_Page1!$E$2:$E$13</c:f>
              <c:numCache>
                <c:formatCode>General</c:formatCode>
                <c:ptCount val="12"/>
                <c:pt idx="0">
                  <c:v>237</c:v>
                </c:pt>
                <c:pt idx="1">
                  <c:v>201</c:v>
                </c:pt>
                <c:pt idx="2">
                  <c:v>255</c:v>
                </c:pt>
                <c:pt idx="3">
                  <c:v>261</c:v>
                </c:pt>
                <c:pt idx="4">
                  <c:v>155</c:v>
                </c:pt>
                <c:pt idx="5">
                  <c:v>76</c:v>
                </c:pt>
                <c:pt idx="6">
                  <c:v>130</c:v>
                </c:pt>
                <c:pt idx="7">
                  <c:v>153</c:v>
                </c:pt>
                <c:pt idx="8">
                  <c:v>152</c:v>
                </c:pt>
                <c:pt idx="9">
                  <c:v>179</c:v>
                </c:pt>
                <c:pt idx="10">
                  <c:v>155</c:v>
                </c:pt>
                <c:pt idx="11">
                  <c:v>195</c:v>
                </c:pt>
              </c:numCache>
            </c:numRef>
          </c:val>
        </c:ser>
        <c:dLbls>
          <c:showLegendKey val="0"/>
          <c:showVal val="0"/>
          <c:showCatName val="0"/>
          <c:showSerName val="0"/>
          <c:showPercent val="0"/>
          <c:showBubbleSize val="0"/>
        </c:dLbls>
        <c:gapWidth val="150"/>
        <c:axId val="147639680"/>
        <c:axId val="147810560"/>
      </c:barChart>
      <c:catAx>
        <c:axId val="147639680"/>
        <c:scaling>
          <c:orientation val="minMax"/>
        </c:scaling>
        <c:delete val="0"/>
        <c:axPos val="b"/>
        <c:majorTickMark val="out"/>
        <c:minorTickMark val="none"/>
        <c:tickLblPos val="nextTo"/>
        <c:crossAx val="147810560"/>
        <c:crosses val="autoZero"/>
        <c:auto val="1"/>
        <c:lblAlgn val="ctr"/>
        <c:lblOffset val="100"/>
        <c:noMultiLvlLbl val="0"/>
      </c:catAx>
      <c:valAx>
        <c:axId val="147810560"/>
        <c:scaling>
          <c:orientation val="minMax"/>
        </c:scaling>
        <c:delete val="0"/>
        <c:axPos val="l"/>
        <c:majorGridlines/>
        <c:numFmt formatCode="General" sourceLinked="1"/>
        <c:majorTickMark val="out"/>
        <c:minorTickMark val="none"/>
        <c:tickLblPos val="nextTo"/>
        <c:crossAx val="1476396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a:t>
            </a:r>
            <a:r>
              <a:rPr lang="en-US" baseline="0"/>
              <a:t> by Category</a:t>
            </a:r>
            <a:endParaRPr lang="en-US"/>
          </a:p>
        </c:rich>
      </c:tx>
      <c:overlay val="0"/>
    </c:title>
    <c:autoTitleDeleted val="0"/>
    <c:plotArea>
      <c:layout/>
      <c:barChart>
        <c:barDir val="bar"/>
        <c:grouping val="clustered"/>
        <c:varyColors val="0"/>
        <c:ser>
          <c:idx val="0"/>
          <c:order val="0"/>
          <c:invertIfNegative val="0"/>
          <c:cat>
            <c:strRef>
              <c:f>Data_Page1!$G$2:$G$9</c:f>
              <c:strCache>
                <c:ptCount val="8"/>
                <c:pt idx="0">
                  <c:v>Beverages</c:v>
                </c:pt>
                <c:pt idx="1">
                  <c:v>Condiments</c:v>
                </c:pt>
                <c:pt idx="2">
                  <c:v>Confections</c:v>
                </c:pt>
                <c:pt idx="3">
                  <c:v>Dairy Products</c:v>
                </c:pt>
                <c:pt idx="4">
                  <c:v>Grains &amp; Cereals</c:v>
                </c:pt>
                <c:pt idx="5">
                  <c:v>Meat &amp; Poultry</c:v>
                </c:pt>
                <c:pt idx="6">
                  <c:v>Produce</c:v>
                </c:pt>
                <c:pt idx="7">
                  <c:v>Seafood</c:v>
                </c:pt>
              </c:strCache>
            </c:strRef>
          </c:cat>
          <c:val>
            <c:numRef>
              <c:f>Data_Page1!$H$2:$H$9</c:f>
              <c:numCache>
                <c:formatCode>General</c:formatCode>
                <c:ptCount val="8"/>
                <c:pt idx="0">
                  <c:v>267868.17999999993</c:v>
                </c:pt>
                <c:pt idx="1">
                  <c:v>106047.08500000002</c:v>
                </c:pt>
                <c:pt idx="2">
                  <c:v>167357.22499999995</c:v>
                </c:pt>
                <c:pt idx="3">
                  <c:v>234165.285</c:v>
                </c:pt>
                <c:pt idx="4">
                  <c:v>95646.587500000009</c:v>
                </c:pt>
                <c:pt idx="5">
                  <c:v>163022.35949999999</c:v>
                </c:pt>
                <c:pt idx="6">
                  <c:v>98121.18</c:v>
                </c:pt>
                <c:pt idx="7">
                  <c:v>131184.73750000002</c:v>
                </c:pt>
              </c:numCache>
            </c:numRef>
          </c:val>
        </c:ser>
        <c:dLbls>
          <c:showLegendKey val="0"/>
          <c:showVal val="0"/>
          <c:showCatName val="0"/>
          <c:showSerName val="0"/>
          <c:showPercent val="0"/>
          <c:showBubbleSize val="0"/>
        </c:dLbls>
        <c:gapWidth val="150"/>
        <c:axId val="210602624"/>
        <c:axId val="210628992"/>
      </c:barChart>
      <c:catAx>
        <c:axId val="210602624"/>
        <c:scaling>
          <c:orientation val="minMax"/>
        </c:scaling>
        <c:delete val="0"/>
        <c:axPos val="l"/>
        <c:majorTickMark val="out"/>
        <c:minorTickMark val="none"/>
        <c:tickLblPos val="nextTo"/>
        <c:crossAx val="210628992"/>
        <c:crosses val="autoZero"/>
        <c:auto val="1"/>
        <c:lblAlgn val="ctr"/>
        <c:lblOffset val="100"/>
        <c:noMultiLvlLbl val="0"/>
      </c:catAx>
      <c:valAx>
        <c:axId val="210628992"/>
        <c:scaling>
          <c:orientation val="minMax"/>
        </c:scaling>
        <c:delete val="0"/>
        <c:axPos val="b"/>
        <c:majorGridlines/>
        <c:numFmt formatCode="General" sourceLinked="1"/>
        <c:majorTickMark val="out"/>
        <c:minorTickMark val="none"/>
        <c:tickLblPos val="nextTo"/>
        <c:crossAx val="21060262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a:t>
            </a:r>
            <a:r>
              <a:rPr lang="en-US" baseline="0"/>
              <a:t> 10 Products by Revenue</a:t>
            </a:r>
          </a:p>
        </c:rich>
      </c:tx>
      <c:overlay val="0"/>
    </c:title>
    <c:autoTitleDeleted val="0"/>
    <c:plotArea>
      <c:layout/>
      <c:barChart>
        <c:barDir val="bar"/>
        <c:grouping val="clustered"/>
        <c:varyColors val="0"/>
        <c:ser>
          <c:idx val="0"/>
          <c:order val="0"/>
          <c:tx>
            <c:strRef>
              <c:f>Data_Page1!$K$1</c:f>
              <c:strCache>
                <c:ptCount val="1"/>
                <c:pt idx="0">
                  <c:v>Revenue</c:v>
                </c:pt>
              </c:strCache>
            </c:strRef>
          </c:tx>
          <c:invertIfNegative val="0"/>
          <c:cat>
            <c:strRef>
              <c:f>Data_Page1!$J$2:$J$11</c:f>
              <c:strCache>
                <c:ptCount val="10"/>
                <c:pt idx="0">
                  <c:v>Côte de Blaye</c:v>
                </c:pt>
                <c:pt idx="1">
                  <c:v>Thüringer Rostbratwurst</c:v>
                </c:pt>
                <c:pt idx="2">
                  <c:v>Raclette Courdavault</c:v>
                </c:pt>
                <c:pt idx="3">
                  <c:v>Camembert Pierrot</c:v>
                </c:pt>
                <c:pt idx="4">
                  <c:v>Tarte au sucre</c:v>
                </c:pt>
                <c:pt idx="5">
                  <c:v>Gnocchi di nonna Alice</c:v>
                </c:pt>
                <c:pt idx="6">
                  <c:v>Manjimup Dried Apples</c:v>
                </c:pt>
                <c:pt idx="7">
                  <c:v>Alice Mutton</c:v>
                </c:pt>
                <c:pt idx="8">
                  <c:v>Carnarvon Tigers</c:v>
                </c:pt>
                <c:pt idx="9">
                  <c:v>Rössle Sauerkraut</c:v>
                </c:pt>
              </c:strCache>
            </c:strRef>
          </c:cat>
          <c:val>
            <c:numRef>
              <c:f>Data_Page1!$K$2:$K$11</c:f>
              <c:numCache>
                <c:formatCode>General</c:formatCode>
                <c:ptCount val="10"/>
                <c:pt idx="0">
                  <c:v>141396</c:v>
                </c:pt>
                <c:pt idx="1">
                  <c:v>80368</c:v>
                </c:pt>
                <c:pt idx="2">
                  <c:v>71155</c:v>
                </c:pt>
                <c:pt idx="3">
                  <c:v>49827</c:v>
                </c:pt>
                <c:pt idx="4">
                  <c:v>47234</c:v>
                </c:pt>
                <c:pt idx="5">
                  <c:v>42593</c:v>
                </c:pt>
                <c:pt idx="6">
                  <c:v>41819</c:v>
                </c:pt>
                <c:pt idx="7">
                  <c:v>32698</c:v>
                </c:pt>
                <c:pt idx="8">
                  <c:v>29171</c:v>
                </c:pt>
                <c:pt idx="9">
                  <c:v>25696</c:v>
                </c:pt>
              </c:numCache>
            </c:numRef>
          </c:val>
        </c:ser>
        <c:dLbls>
          <c:showLegendKey val="0"/>
          <c:showVal val="0"/>
          <c:showCatName val="0"/>
          <c:showSerName val="0"/>
          <c:showPercent val="0"/>
          <c:showBubbleSize val="0"/>
        </c:dLbls>
        <c:gapWidth val="150"/>
        <c:axId val="210985344"/>
        <c:axId val="210986880"/>
      </c:barChart>
      <c:catAx>
        <c:axId val="210985344"/>
        <c:scaling>
          <c:orientation val="minMax"/>
        </c:scaling>
        <c:delete val="0"/>
        <c:axPos val="l"/>
        <c:majorTickMark val="out"/>
        <c:minorTickMark val="none"/>
        <c:tickLblPos val="nextTo"/>
        <c:crossAx val="210986880"/>
        <c:crosses val="autoZero"/>
        <c:auto val="1"/>
        <c:lblAlgn val="ctr"/>
        <c:lblOffset val="100"/>
        <c:noMultiLvlLbl val="0"/>
      </c:catAx>
      <c:valAx>
        <c:axId val="210986880"/>
        <c:scaling>
          <c:orientation val="minMax"/>
        </c:scaling>
        <c:delete val="0"/>
        <c:axPos val="b"/>
        <c:majorGridlines/>
        <c:numFmt formatCode="General" sourceLinked="1"/>
        <c:majorTickMark val="out"/>
        <c:minorTickMark val="none"/>
        <c:tickLblPos val="nextTo"/>
        <c:crossAx val="21098534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Revenue by Country</a:t>
            </a:r>
          </a:p>
        </c:rich>
      </c:tx>
      <c:overlay val="0"/>
    </c:title>
    <c:autoTitleDeleted val="0"/>
    <c:plotArea>
      <c:layout/>
      <c:barChart>
        <c:barDir val="bar"/>
        <c:grouping val="clustered"/>
        <c:varyColors val="0"/>
        <c:ser>
          <c:idx val="0"/>
          <c:order val="0"/>
          <c:tx>
            <c:strRef>
              <c:f>Data_Page1!$N$1</c:f>
              <c:strCache>
                <c:ptCount val="1"/>
                <c:pt idx="0">
                  <c:v>Revenue</c:v>
                </c:pt>
              </c:strCache>
            </c:strRef>
          </c:tx>
          <c:invertIfNegative val="0"/>
          <c:cat>
            <c:strRef>
              <c:f>Data_Page1!$M$2:$M$11</c:f>
              <c:strCache>
                <c:ptCount val="10"/>
                <c:pt idx="0">
                  <c:v>France</c:v>
                </c:pt>
                <c:pt idx="1">
                  <c:v>Germany</c:v>
                </c:pt>
                <c:pt idx="2">
                  <c:v>USA</c:v>
                </c:pt>
                <c:pt idx="3">
                  <c:v>Brazil</c:v>
                </c:pt>
                <c:pt idx="4">
                  <c:v>UK</c:v>
                </c:pt>
                <c:pt idx="5">
                  <c:v>Canada</c:v>
                </c:pt>
                <c:pt idx="6">
                  <c:v>Austria</c:v>
                </c:pt>
                <c:pt idx="7">
                  <c:v>Sweden</c:v>
                </c:pt>
                <c:pt idx="8">
                  <c:v>Venezuela</c:v>
                </c:pt>
                <c:pt idx="9">
                  <c:v>Mexico</c:v>
                </c:pt>
              </c:strCache>
            </c:strRef>
          </c:cat>
          <c:val>
            <c:numRef>
              <c:f>Data_Page1!$N$2:$N$11</c:f>
              <c:numCache>
                <c:formatCode>General</c:formatCode>
                <c:ptCount val="10"/>
                <c:pt idx="0">
                  <c:v>81358.32249999998</c:v>
                </c:pt>
                <c:pt idx="1">
                  <c:v>230284.6335</c:v>
                </c:pt>
                <c:pt idx="2">
                  <c:v>245584.61050000007</c:v>
                </c:pt>
                <c:pt idx="3">
                  <c:v>106925.77650000002</c:v>
                </c:pt>
                <c:pt idx="4">
                  <c:v>58971.310000000005</c:v>
                </c:pt>
                <c:pt idx="5">
                  <c:v>50196.29</c:v>
                </c:pt>
                <c:pt idx="6">
                  <c:v>128003.83850000001</c:v>
                </c:pt>
                <c:pt idx="7">
                  <c:v>54495.139999999992</c:v>
                </c:pt>
                <c:pt idx="8">
                  <c:v>56810.628999999986</c:v>
                </c:pt>
                <c:pt idx="9">
                  <c:v>23582.077500000003</c:v>
                </c:pt>
              </c:numCache>
            </c:numRef>
          </c:val>
        </c:ser>
        <c:dLbls>
          <c:showLegendKey val="0"/>
          <c:showVal val="0"/>
          <c:showCatName val="0"/>
          <c:showSerName val="0"/>
          <c:showPercent val="0"/>
          <c:showBubbleSize val="0"/>
        </c:dLbls>
        <c:gapWidth val="150"/>
        <c:axId val="211033088"/>
        <c:axId val="211034880"/>
      </c:barChart>
      <c:catAx>
        <c:axId val="211033088"/>
        <c:scaling>
          <c:orientation val="minMax"/>
        </c:scaling>
        <c:delete val="0"/>
        <c:axPos val="l"/>
        <c:majorTickMark val="out"/>
        <c:minorTickMark val="none"/>
        <c:tickLblPos val="nextTo"/>
        <c:crossAx val="211034880"/>
        <c:crosses val="autoZero"/>
        <c:auto val="1"/>
        <c:lblAlgn val="ctr"/>
        <c:lblOffset val="100"/>
        <c:noMultiLvlLbl val="0"/>
      </c:catAx>
      <c:valAx>
        <c:axId val="211034880"/>
        <c:scaling>
          <c:orientation val="minMax"/>
        </c:scaling>
        <c:delete val="0"/>
        <c:axPos val="b"/>
        <c:majorGridlines/>
        <c:numFmt formatCode="General" sourceLinked="1"/>
        <c:majorTickMark val="out"/>
        <c:minorTickMark val="none"/>
        <c:tickLblPos val="nextTo"/>
        <c:crossAx val="21103308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a:t>
            </a:r>
            <a:r>
              <a:rPr lang="en-US" baseline="0"/>
              <a:t> Employees by Sales</a:t>
            </a:r>
            <a:endParaRPr lang="en-US"/>
          </a:p>
        </c:rich>
      </c:tx>
      <c:overlay val="0"/>
    </c:title>
    <c:autoTitleDeleted val="0"/>
    <c:plotArea>
      <c:layout/>
      <c:barChart>
        <c:barDir val="bar"/>
        <c:grouping val="clustered"/>
        <c:varyColors val="0"/>
        <c:ser>
          <c:idx val="0"/>
          <c:order val="0"/>
          <c:tx>
            <c:strRef>
              <c:f>Data_Page1!$Q$1</c:f>
              <c:strCache>
                <c:ptCount val="1"/>
                <c:pt idx="0">
                  <c:v>Revenue</c:v>
                </c:pt>
              </c:strCache>
            </c:strRef>
          </c:tx>
          <c:invertIfNegative val="0"/>
          <c:cat>
            <c:strRef>
              <c:f>Data_Page1!$P$2:$P$10</c:f>
              <c:strCache>
                <c:ptCount val="9"/>
                <c:pt idx="0">
                  <c:v>Nancy Davolio</c:v>
                </c:pt>
                <c:pt idx="1">
                  <c:v>Andrew Fuller</c:v>
                </c:pt>
                <c:pt idx="2">
                  <c:v>Janet Leverling</c:v>
                </c:pt>
                <c:pt idx="3">
                  <c:v>Margaret Peacock</c:v>
                </c:pt>
                <c:pt idx="4">
                  <c:v>Steven Buchanan</c:v>
                </c:pt>
                <c:pt idx="5">
                  <c:v>Michael Suyama</c:v>
                </c:pt>
                <c:pt idx="6">
                  <c:v>Robert King</c:v>
                </c:pt>
                <c:pt idx="7">
                  <c:v>Laura Callahan</c:v>
                </c:pt>
                <c:pt idx="8">
                  <c:v>Anne Dodsworth</c:v>
                </c:pt>
              </c:strCache>
            </c:strRef>
          </c:cat>
          <c:val>
            <c:numRef>
              <c:f>Data_Page1!$Q$2:$Q$10</c:f>
              <c:numCache>
                <c:formatCode>General</c:formatCode>
                <c:ptCount val="9"/>
                <c:pt idx="0">
                  <c:v>192107.60450000007</c:v>
                </c:pt>
                <c:pt idx="1">
                  <c:v>166537.755</c:v>
                </c:pt>
                <c:pt idx="2">
                  <c:v>202812.84299999996</c:v>
                </c:pt>
                <c:pt idx="3">
                  <c:v>232890.84600000005</c:v>
                </c:pt>
                <c:pt idx="4">
                  <c:v>68792.282500000001</c:v>
                </c:pt>
                <c:pt idx="5">
                  <c:v>73913.12950000001</c:v>
                </c:pt>
                <c:pt idx="6">
                  <c:v>124568.23500000002</c:v>
                </c:pt>
                <c:pt idx="7">
                  <c:v>126862.27749999995</c:v>
                </c:pt>
                <c:pt idx="8">
                  <c:v>77308.066500000015</c:v>
                </c:pt>
              </c:numCache>
            </c:numRef>
          </c:val>
        </c:ser>
        <c:dLbls>
          <c:showLegendKey val="0"/>
          <c:showVal val="0"/>
          <c:showCatName val="0"/>
          <c:showSerName val="0"/>
          <c:showPercent val="0"/>
          <c:showBubbleSize val="0"/>
        </c:dLbls>
        <c:gapWidth val="150"/>
        <c:axId val="211059456"/>
        <c:axId val="211060992"/>
      </c:barChart>
      <c:catAx>
        <c:axId val="211059456"/>
        <c:scaling>
          <c:orientation val="minMax"/>
        </c:scaling>
        <c:delete val="0"/>
        <c:axPos val="l"/>
        <c:majorTickMark val="out"/>
        <c:minorTickMark val="none"/>
        <c:tickLblPos val="nextTo"/>
        <c:crossAx val="211060992"/>
        <c:crosses val="autoZero"/>
        <c:auto val="1"/>
        <c:lblAlgn val="ctr"/>
        <c:lblOffset val="100"/>
        <c:noMultiLvlLbl val="0"/>
      </c:catAx>
      <c:valAx>
        <c:axId val="211060992"/>
        <c:scaling>
          <c:orientation val="minMax"/>
        </c:scaling>
        <c:delete val="0"/>
        <c:axPos val="b"/>
        <c:majorGridlines/>
        <c:numFmt formatCode="General" sourceLinked="1"/>
        <c:majorTickMark val="out"/>
        <c:minorTickMark val="none"/>
        <c:tickLblPos val="nextTo"/>
        <c:crossAx val="2110594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709612</xdr:colOff>
      <xdr:row>3</xdr:row>
      <xdr:rowOff>47625</xdr:rowOff>
    </xdr:from>
    <xdr:to>
      <xdr:col>6</xdr:col>
      <xdr:colOff>938212</xdr:colOff>
      <xdr:row>17</xdr:row>
      <xdr:rowOff>123825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xdr:colOff>
      <xdr:row>0</xdr:row>
      <xdr:rowOff>180975</xdr:rowOff>
    </xdr:from>
    <xdr:to>
      <xdr:col>16</xdr:col>
      <xdr:colOff>466725</xdr:colOff>
      <xdr:row>2</xdr:row>
      <xdr:rowOff>47625</xdr:rowOff>
    </xdr:to>
    <xdr:sp macro="" textlink="">
      <xdr:nvSpPr>
        <xdr:cNvPr id="3" name="Rectangle 2"/>
        <xdr:cNvSpPr/>
      </xdr:nvSpPr>
      <xdr:spPr>
        <a:xfrm>
          <a:off x="1114425" y="180975"/>
          <a:ext cx="10391775" cy="64770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1</xdr:col>
      <xdr:colOff>495299</xdr:colOff>
      <xdr:row>1</xdr:row>
      <xdr:rowOff>76200</xdr:rowOff>
    </xdr:from>
    <xdr:to>
      <xdr:col>16</xdr:col>
      <xdr:colOff>0</xdr:colOff>
      <xdr:row>1</xdr:row>
      <xdr:rowOff>581025</xdr:rowOff>
    </xdr:to>
    <xdr:sp macro="" textlink="">
      <xdr:nvSpPr>
        <xdr:cNvPr id="5" name="TextBox 4"/>
        <xdr:cNvSpPr txBox="1"/>
      </xdr:nvSpPr>
      <xdr:spPr>
        <a:xfrm>
          <a:off x="1104899" y="266700"/>
          <a:ext cx="9353551"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t>NORTHWIND TRADERS-GLOBAL SALES DASHBOARD</a:t>
          </a:r>
        </a:p>
      </xdr:txBody>
    </xdr:sp>
    <xdr:clientData/>
  </xdr:twoCellAnchor>
  <xdr:twoCellAnchor editAs="oneCell">
    <xdr:from>
      <xdr:col>0</xdr:col>
      <xdr:colOff>0</xdr:colOff>
      <xdr:row>0</xdr:row>
      <xdr:rowOff>180975</xdr:rowOff>
    </xdr:from>
    <xdr:to>
      <xdr:col>1</xdr:col>
      <xdr:colOff>38100</xdr:colOff>
      <xdr:row>4</xdr:row>
      <xdr:rowOff>85725</xdr:rowOff>
    </xdr:to>
    <mc:AlternateContent xmlns:mc="http://schemas.openxmlformats.org/markup-compatibility/2006" xmlns:a14="http://schemas.microsoft.com/office/drawing/2010/main">
      <mc:Choice Requires="a14">
        <xdr:graphicFrame macro="">
          <xdr:nvGraphicFramePr>
            <xdr:cNvPr id="9"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80975"/>
              <a:ext cx="1095375"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133350</xdr:rowOff>
    </xdr:from>
    <xdr:to>
      <xdr:col>1</xdr:col>
      <xdr:colOff>0</xdr:colOff>
      <xdr:row>16</xdr:row>
      <xdr:rowOff>152400</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343025"/>
              <a:ext cx="1057275"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152400</xdr:rowOff>
    </xdr:from>
    <xdr:to>
      <xdr:col>1</xdr:col>
      <xdr:colOff>9525</xdr:colOff>
      <xdr:row>30</xdr:row>
      <xdr:rowOff>9525</xdr:rowOff>
    </xdr:to>
    <mc:AlternateContent xmlns:mc="http://schemas.openxmlformats.org/markup-compatibility/2006" xmlns:a14="http://schemas.microsoft.com/office/drawing/2010/main">
      <mc:Choice Requires="a14">
        <xdr:graphicFrame macro="">
          <xdr:nvGraphicFramePr>
            <xdr:cNvPr id="11"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3771900"/>
              <a:ext cx="1066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xdr:col>
      <xdr:colOff>9524</xdr:colOff>
      <xdr:row>7</xdr:row>
      <xdr:rowOff>57150</xdr:rowOff>
    </xdr:from>
    <xdr:to>
      <xdr:col>8</xdr:col>
      <xdr:colOff>114299</xdr:colOff>
      <xdr:row>30</xdr:row>
      <xdr:rowOff>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123825</xdr:colOff>
      <xdr:row>7</xdr:row>
      <xdr:rowOff>66675</xdr:rowOff>
    </xdr:from>
    <xdr:to>
      <xdr:col>17</xdr:col>
      <xdr:colOff>276225</xdr:colOff>
      <xdr:row>30</xdr:row>
      <xdr:rowOff>9525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xdr:colOff>
      <xdr:row>1</xdr:row>
      <xdr:rowOff>0</xdr:rowOff>
    </xdr:from>
    <xdr:to>
      <xdr:col>18</xdr:col>
      <xdr:colOff>28575</xdr:colOff>
      <xdr:row>2</xdr:row>
      <xdr:rowOff>19050</xdr:rowOff>
    </xdr:to>
    <xdr:sp macro="" textlink="">
      <xdr:nvSpPr>
        <xdr:cNvPr id="2" name="Rectangle 1"/>
        <xdr:cNvSpPr/>
      </xdr:nvSpPr>
      <xdr:spPr>
        <a:xfrm>
          <a:off x="609601" y="190500"/>
          <a:ext cx="10391774" cy="82867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3</xdr:col>
      <xdr:colOff>333375</xdr:colOff>
      <xdr:row>1</xdr:row>
      <xdr:rowOff>171451</xdr:rowOff>
    </xdr:from>
    <xdr:to>
      <xdr:col>16</xdr:col>
      <xdr:colOff>361950</xdr:colOff>
      <xdr:row>1</xdr:row>
      <xdr:rowOff>647700</xdr:rowOff>
    </xdr:to>
    <xdr:sp macro="" textlink="">
      <xdr:nvSpPr>
        <xdr:cNvPr id="4" name="TextBox 3"/>
        <xdr:cNvSpPr txBox="1"/>
      </xdr:nvSpPr>
      <xdr:spPr>
        <a:xfrm>
          <a:off x="2162175" y="361951"/>
          <a:ext cx="7953375"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2800" b="1">
              <a:solidFill>
                <a:schemeClr val="dk1"/>
              </a:solidFill>
              <a:effectLst/>
              <a:latin typeface="+mn-lt"/>
              <a:ea typeface="+mn-ea"/>
              <a:cs typeface="+mn-cs"/>
            </a:rPr>
            <a:t>NORTHWIND TRADERS-GLOBAL SALES DASHBOARD</a:t>
          </a:r>
          <a:endParaRPr lang="en-US" sz="2800">
            <a:effectLst/>
          </a:endParaRPr>
        </a:p>
        <a:p>
          <a:endParaRPr lang="en-US" sz="1100"/>
        </a:p>
      </xdr:txBody>
    </xdr:sp>
    <xdr:clientData/>
  </xdr:twoCellAnchor>
  <xdr:twoCellAnchor>
    <xdr:from>
      <xdr:col>0</xdr:col>
      <xdr:colOff>542925</xdr:colOff>
      <xdr:row>5</xdr:row>
      <xdr:rowOff>38100</xdr:rowOff>
    </xdr:from>
    <xdr:to>
      <xdr:col>9</xdr:col>
      <xdr:colOff>276225</xdr:colOff>
      <xdr:row>19</xdr:row>
      <xdr:rowOff>38099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5</xdr:row>
      <xdr:rowOff>28575</xdr:rowOff>
    </xdr:from>
    <xdr:to>
      <xdr:col>18</xdr:col>
      <xdr:colOff>123825</xdr:colOff>
      <xdr:row>19</xdr:row>
      <xdr:rowOff>38100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590550</xdr:colOff>
      <xdr:row>1</xdr:row>
      <xdr:rowOff>1</xdr:rowOff>
    </xdr:from>
    <xdr:to>
      <xdr:col>18</xdr:col>
      <xdr:colOff>28574</xdr:colOff>
      <xdr:row>1</xdr:row>
      <xdr:rowOff>762000</xdr:rowOff>
    </xdr:to>
    <xdr:sp macro="" textlink="">
      <xdr:nvSpPr>
        <xdr:cNvPr id="2" name="Rectangle 1"/>
        <xdr:cNvSpPr/>
      </xdr:nvSpPr>
      <xdr:spPr>
        <a:xfrm>
          <a:off x="590550" y="190501"/>
          <a:ext cx="10410824" cy="761999"/>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2</xdr:col>
      <xdr:colOff>219074</xdr:colOff>
      <xdr:row>1</xdr:row>
      <xdr:rowOff>171450</xdr:rowOff>
    </xdr:from>
    <xdr:to>
      <xdr:col>17</xdr:col>
      <xdr:colOff>247649</xdr:colOff>
      <xdr:row>4</xdr:row>
      <xdr:rowOff>114300</xdr:rowOff>
    </xdr:to>
    <xdr:sp macro="" textlink="">
      <xdr:nvSpPr>
        <xdr:cNvPr id="3" name="TextBox 2"/>
        <xdr:cNvSpPr txBox="1"/>
      </xdr:nvSpPr>
      <xdr:spPr>
        <a:xfrm>
          <a:off x="1438274" y="361950"/>
          <a:ext cx="91725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2800" b="1">
              <a:solidFill>
                <a:schemeClr val="dk1"/>
              </a:solidFill>
              <a:effectLst/>
              <a:latin typeface="+mn-lt"/>
              <a:ea typeface="+mn-ea"/>
              <a:cs typeface="+mn-cs"/>
            </a:rPr>
            <a:t>NORTHWIND TRADERS-GLOBAL SALES DASHBOARD</a:t>
          </a:r>
          <a:endParaRPr lang="en-US" sz="2800">
            <a:effectLst/>
          </a:endParaRPr>
        </a:p>
        <a:p>
          <a:endParaRPr lang="en-US" sz="1100"/>
        </a:p>
      </xdr:txBody>
    </xdr:sp>
    <xdr:clientData/>
  </xdr:twoCellAnchor>
  <xdr:twoCellAnchor>
    <xdr:from>
      <xdr:col>0</xdr:col>
      <xdr:colOff>590550</xdr:colOff>
      <xdr:row>4</xdr:row>
      <xdr:rowOff>133350</xdr:rowOff>
    </xdr:from>
    <xdr:to>
      <xdr:col>9</xdr:col>
      <xdr:colOff>266700</xdr:colOff>
      <xdr:row>19</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285750</xdr:colOff>
      <xdr:row>4</xdr:row>
      <xdr:rowOff>152400</xdr:rowOff>
    </xdr:from>
    <xdr:to>
      <xdr:col>18</xdr:col>
      <xdr:colOff>0</xdr:colOff>
      <xdr:row>19</xdr:row>
      <xdr:rowOff>57150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orde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der"/>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141.162123495371" createdVersion="4" refreshedVersion="4" minRefreshableVersion="3" recordCount="2155">
  <cacheSource type="worksheet">
    <worksheetSource name="Table1"/>
  </cacheSource>
  <cacheFields count="11">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minValue="0" maxValue="0.25"/>
    </cacheField>
    <cacheField name="Revenue" numFmtId="0">
      <sharedItems containsSemiMixedTypes="0" containsString="0" containsNumber="1" minValue="4.8" maxValue="15810" count="1165">
        <n v="168"/>
        <n v="98"/>
        <n v="174"/>
        <n v="167.4"/>
        <n v="1696"/>
        <n v="77"/>
        <n v="1261.3999999999999"/>
        <n v="214.2"/>
        <n v="95.76"/>
        <n v="222.29999999999998"/>
        <n v="336"/>
        <n v="2462.4"/>
        <n v="47.5"/>
        <n v="1088"/>
        <n v="200"/>
        <n v="604.80000000000007"/>
        <n v="640"/>
        <n v="45.9"/>
        <n v="342.71999999999997"/>
        <n v="304"/>
        <n v="486.5"/>
        <n v="380"/>
        <n v="1320"/>
        <n v="393"/>
        <n v="124.80000000000001"/>
        <n v="877.5"/>
        <n v="86.4"/>
        <n v="156"/>
        <n v="608"/>
        <n v="884"/>
        <n v="122.88000000000002"/>
        <n v="80"/>
        <n v="20.8"/>
        <n v="92.4"/>
        <n v="780"/>
        <n v="443.25"/>
        <n v="189"/>
        <n v="160"/>
        <n v="288"/>
        <n v="163.20000000000002"/>
        <n v="360"/>
        <n v="60.8"/>
        <n v="625.5"/>
        <n v="100.8"/>
        <n v="931.5"/>
        <n v="216"/>
        <n v="532"/>
        <n v="163.625"/>
        <n v="936"/>
        <n v="240"/>
        <n v="346.55999999999995"/>
        <n v="735"/>
        <n v="2618"/>
        <n v="183.6"/>
        <n v="990"/>
        <n v="111.2"/>
        <n v="114"/>
        <n v="528.19999999999993"/>
        <n v="456"/>
        <n v="919.99999999999989"/>
        <n v="48"/>
        <n v="388.79999999999995"/>
        <n v="400"/>
        <n v="667.2"/>
        <n v="565.44000000000005"/>
        <n v="142.5"/>
        <n v="40"/>
        <n v="837.9"/>
        <n v="451.43999999999994"/>
        <n v="344"/>
        <n v="194.6"/>
        <n v="41.04"/>
        <n v="250.79999999999998"/>
        <n v="372"/>
        <n v="728"/>
        <n v="472.79999999999995"/>
        <n v="248"/>
        <n v="660"/>
        <n v="280.8"/>
        <n v="300"/>
        <n v="351"/>
        <n v="43.2"/>
        <n v="384"/>
        <n v="186"/>
        <n v="7.3"/>
        <n v="21.6"/>
        <n v="57.6"/>
        <n v="124.19999999999999"/>
        <n v="31.2"/>
        <n v="131.4"/>
        <n v="952"/>
        <n v="83.4"/>
        <n v="394.875"/>
        <n v="325.5"/>
        <n v="408"/>
        <n v="42"/>
        <n v="518.4"/>
        <n v="470.40000000000003"/>
        <n v="754.56"/>
        <n v="1440"/>
        <n v="1576"/>
        <n v="472.59999999999997"/>
        <n v="224"/>
        <n v="122.39999999999999"/>
        <n v="53.1"/>
        <n v="27"/>
        <n v="239.4"/>
        <n v="340"/>
        <n v="1485"/>
        <n v="104"/>
        <n v="334.8"/>
        <n v="76.319999999999993"/>
        <n v="1296"/>
        <n v="600"/>
        <n v="36"/>
        <n v="175.5"/>
        <n v="37.200000000000003"/>
        <n v="259.2"/>
        <n v="468"/>
        <n v="552"/>
        <n v="571.19999999999993"/>
        <n v="121.6"/>
        <n v="201.60000000000002"/>
        <n v="417"/>
        <n v="432"/>
        <n v="864"/>
        <n v="556"/>
        <n v="591"/>
        <n v="109.5"/>
        <n v="147"/>
        <n v="1248"/>
        <n v="1019.1999999999999"/>
        <n v="441.59999999999997"/>
        <n v="529.20000000000005"/>
        <n v="453.6"/>
        <n v="135"/>
        <n v="480"/>
        <n v="440"/>
        <n v="34.4"/>
        <n v="1125"/>
        <n v="2227.5"/>
        <n v="388.8"/>
        <n v="207"/>
        <n v="262"/>
        <n v="29.5"/>
        <n v="394"/>
        <n v="30"/>
        <n v="28.8"/>
        <n v="60"/>
        <n v="352"/>
        <n v="22.4"/>
        <n v="736"/>
        <n v="51.599999999999994"/>
        <n v="139"/>
        <n v="197"/>
        <n v="67.199999999999989"/>
        <n v="201.6"/>
        <n v="145.6"/>
        <n v="883.19999999999993"/>
        <n v="524"/>
        <n v="62"/>
        <n v="182.39999999999998"/>
        <n v="921.6"/>
        <n v="286.2"/>
        <n v="886.5"/>
        <n v="156.79999999999998"/>
        <n v="2758"/>
        <n v="154"/>
        <n v="249.6"/>
        <n v="509.59999999999997"/>
        <n v="516"/>
        <n v="144"/>
        <n v="112"/>
        <n v="44.8"/>
        <n v="248.11500000000001"/>
        <n v="856.8"/>
        <n v="1496"/>
        <n v="2386.7999999999997"/>
        <n v="120"/>
        <n v="57.599999999999994"/>
        <n v="1112"/>
        <n v="422.40000000000003"/>
        <n v="310"/>
        <n v="672"/>
        <n v="579.6"/>
        <n v="254.4"/>
        <n v="396"/>
        <n v="100"/>
        <n v="69.349999999999994"/>
        <n v="157.32"/>
        <n v="4005.2"/>
        <n v="1058.25"/>
        <n v="590.75"/>
        <n v="88.5"/>
        <n v="1600"/>
        <n v="89.600000000000009"/>
        <n v="97.28"/>
        <n v="72"/>
        <n v="619.20000000000005"/>
        <n v="85.12"/>
        <n v="1628.1599999999999"/>
        <n v="285.12"/>
        <n v="597.59999999999991"/>
        <n v="582.4"/>
        <n v="695"/>
        <n v="624"/>
        <n v="310.5"/>
        <n v="176"/>
        <n v="2074.7999999999997"/>
        <n v="1103.2"/>
        <n v="950"/>
        <n v="87.78"/>
        <n v="1398.3999999999999"/>
        <n v="16"/>
        <n v="336.59999999999997"/>
        <n v="291.83999999999997"/>
        <n v="448"/>
        <n v="486.40000000000003"/>
        <n v="614.40000000000009"/>
        <n v="1330"/>
        <n v="38"/>
        <n v="616"/>
        <n v="1680"/>
        <n v="2240"/>
        <n v="584"/>
        <n v="1010.8800000000001"/>
        <n v="612"/>
        <n v="58.8"/>
        <n v="31.62"/>
        <n v="180"/>
        <n v="141.60000000000002"/>
        <n v="466.56"/>
        <n v="100.10000000000001"/>
        <n v="1133.825"/>
        <n v="159.6"/>
        <n v="100.3"/>
        <n v="161.28000000000003"/>
        <n v="8432"/>
        <n v="172.8"/>
        <n v="90"/>
        <n v="390"/>
        <n v="230.39999999999998"/>
        <n v="576"/>
        <n v="595.20000000000005"/>
        <n v="398.4"/>
        <n v="174.08"/>
        <n v="34.199999999999996"/>
        <n v="106.39999999999999"/>
        <n v="288.8"/>
        <n v="739.4799999999999"/>
        <n v="665"/>
        <n v="2067.1999999999998"/>
        <n v="1092"/>
        <n v="3465"/>
        <n v="2108"/>
        <n v="560"/>
        <n v="165.20000000000002"/>
        <n v="699.84"/>
        <n v="1346.4"/>
        <n v="848"/>
        <n v="74.400000000000006"/>
        <n v="86"/>
        <n v="403.20000000000005"/>
        <n v="84"/>
        <n v="52"/>
        <n v="403.2"/>
        <n v="106.2"/>
        <n v="252"/>
        <n v="72.8"/>
        <n v="425.88"/>
        <n v="1980"/>
        <n v="410.4"/>
        <n v="798"/>
        <n v="136"/>
        <n v="72.959999999999994"/>
        <n v="583.19999999999993"/>
        <n v="6324"/>
        <n v="1428"/>
        <n v="875.7"/>
        <n v="678.40000000000009"/>
        <n v="688"/>
        <n v="159"/>
        <n v="279"/>
        <n v="59"/>
        <n v="399"/>
        <n v="618.79999999999995"/>
        <n v="244.79999999999998"/>
        <n v="103.19999999999999"/>
        <n v="55.440000000000005"/>
        <n v="505.44000000000005"/>
        <n v="302.40000000000003"/>
        <n v="335.34"/>
        <n v="471.6"/>
        <n v="146.88"/>
        <n v="544"/>
        <n v="450"/>
        <n v="1386"/>
        <n v="96"/>
        <n v="195"/>
        <n v="1814.3999999999999"/>
        <n v="192"/>
        <n v="435.20000000000005"/>
        <n v="64"/>
        <n v="54"/>
        <n v="218.39999999999998"/>
        <n v="528"/>
        <n v="258"/>
        <n v="91.2"/>
        <n v="1048"/>
        <n v="396.8"/>
        <n v="788"/>
        <n v="540"/>
        <n v="600.48"/>
        <n v="86.399999999999991"/>
        <n v="285"/>
        <n v="585.90000000000009"/>
        <n v="1307.25"/>
        <n v="320"/>
        <n v="241.92000000000002"/>
        <n v="1650.6000000000001"/>
        <n v="230.4"/>
        <n v="1032"/>
        <n v="583.80000000000007"/>
        <n v="68"/>
        <n v="648.71999999999991"/>
        <n v="2073.6"/>
        <n v="504"/>
        <n v="2079"/>
        <n v="372.59999999999997"/>
        <n v="2128"/>
        <n v="2281.5"/>
        <n v="606.9"/>
        <n v="709.65"/>
        <n v="425.59999999999997"/>
        <n v="1375.92"/>
        <n v="68.400000000000006"/>
        <n v="26.46"/>
        <n v="208"/>
        <n v="35.400000000000006"/>
        <n v="1379"/>
        <n v="223.20000000000002"/>
        <n v="704"/>
        <n v="496"/>
        <n v="316.8"/>
        <n v="345.6"/>
        <n v="124.83"/>
        <n v="62.4"/>
        <n v="146"/>
        <n v="312"/>
        <n v="10540"/>
        <n v="14.399999999999999"/>
        <n v="270"/>
        <n v="364"/>
        <n v="912"/>
        <n v="418"/>
        <n v="364.8"/>
        <n v="1550.3999999999999"/>
        <n v="547.19999999999993"/>
        <n v="1396.8"/>
        <n v="8.64"/>
        <n v="24.82"/>
        <n v="747"/>
        <n v="334.05"/>
        <n v="88.399999999999991"/>
        <n v="49.8"/>
        <n v="140"/>
        <n v="880"/>
        <n v="691.2"/>
        <n v="8263.36"/>
        <n v="152"/>
        <n v="186.20000000000002"/>
        <n v="651"/>
        <n v="520"/>
        <n v="921.375"/>
        <n v="1123.2"/>
        <n v="2464"/>
        <n v="1170"/>
        <n v="551.25"/>
        <n v="171"/>
        <n v="249"/>
        <n v="236"/>
        <n v="851.19999999999993"/>
        <n v="100.80000000000001"/>
        <n v="220.32"/>
        <n v="278"/>
        <n v="1094.4000000000001"/>
        <n v="718.2"/>
        <n v="133.92000000000002"/>
        <n v="87.600000000000009"/>
        <n v="179.20000000000002"/>
        <n v="187.20000000000002"/>
        <n v="222.4"/>
        <n v="159.60000000000002"/>
        <n v="581.4"/>
        <n v="578.93500000000006"/>
        <n v="2019.6"/>
        <n v="1744.2"/>
        <n v="1755"/>
        <n v="472"/>
        <n v="816"/>
        <n v="80.640000000000015"/>
        <n v="436.79999999999995"/>
        <n v="373.5"/>
        <n v="115.2"/>
        <n v="231"/>
        <n v="78.84"/>
        <n v="64.8"/>
        <n v="75.600000000000009"/>
        <n v="292"/>
        <n v="588"/>
        <n v="149.39999999999998"/>
        <n v="294"/>
        <n v="347.2"/>
        <n v="28.320000000000007"/>
        <n v="423.36"/>
        <n v="514.80000000000007"/>
        <n v="546"/>
        <n v="1472.5"/>
        <n v="137.70000000000002"/>
        <n v="32"/>
        <n v="76.800000000000011"/>
        <n v="1310"/>
        <n v="570"/>
        <n v="272"/>
        <n v="285.59999999999997"/>
        <n v="1584"/>
        <n v="860"/>
        <n v="364.79999999999995"/>
        <n v="157.5"/>
        <n v="18.600000000000001"/>
        <n v="434.70000000000005"/>
        <n v="4.8"/>
        <n v="151.20000000000002"/>
        <n v="153.29999999999998"/>
        <n v="225.28000000000003"/>
        <n v="110.39999999999999"/>
        <n v="729.6"/>
        <n v="1603.8"/>
        <n v="205.20000000000002"/>
        <n v="325"/>
        <n v="134.39999999999998"/>
        <n v="165.6"/>
        <n v="516.79999999999995"/>
        <n v="413.52499999999998"/>
        <n v="26.349999999999998"/>
        <n v="1500"/>
        <n v="108"/>
        <n v="212.8"/>
        <n v="720"/>
        <n v="273.59999999999997"/>
        <n v="763.19999999999993"/>
        <n v="24"/>
        <n v="206.39999999999998"/>
        <n v="655.19999999999993"/>
        <n v="308.7"/>
        <n v="297.5"/>
        <n v="693.6"/>
        <n v="514.08000000000004"/>
        <n v="36.479999999999997"/>
        <n v="126"/>
        <n v="471.2"/>
        <n v="733.6"/>
        <n v="2640"/>
        <n v="228"/>
        <n v="372.4"/>
        <n v="296.39999999999998"/>
        <n v="127.19999999999999"/>
        <n v="273.60000000000002"/>
        <n v="648"/>
        <n v="1060"/>
        <n v="128"/>
        <n v="36.5"/>
        <n v="106.20000000000002"/>
        <n v="250.20000000000002"/>
        <n v="197.625"/>
        <n v="61.879999999999995"/>
        <n v="638.4"/>
        <n v="212.79999999999998"/>
        <n v="226.8"/>
        <n v="122.4"/>
        <n v="190"/>
        <n v="260"/>
        <n v="63"/>
        <n v="92"/>
        <n v="420"/>
        <n v="500"/>
        <n v="176.7"/>
        <n v="346.56"/>
        <n v="149"/>
        <n v="199.5"/>
        <n v="196.79999999999998"/>
        <n v="1627.5"/>
        <n v="421"/>
        <n v="328"/>
        <n v="712.5"/>
        <n v="147.89999999999998"/>
        <n v="586.5"/>
        <n v="162.5625"/>
        <n v="136.80000000000001"/>
        <n v="4456.4400000000005"/>
        <n v="251.1"/>
        <n v="935"/>
        <n v="1275"/>
        <n v="38.25"/>
        <n v="91.8"/>
        <n v="48.449999999999996"/>
        <n v="346.8"/>
        <n v="1280"/>
        <n v="342"/>
        <n v="3159"/>
        <n v="1596"/>
        <n v="2660"/>
        <n v="820.95"/>
        <n v="387.5"/>
        <n v="1319.2"/>
        <n v="872.5"/>
        <n v="5268"/>
        <n v="34"/>
        <n v="2427.6"/>
        <n v="1406.25"/>
        <n v="694.80000000000007"/>
        <n v="280"/>
        <n v="220"/>
        <n v="22.5"/>
        <n v="3952.5"/>
        <n v="175.04999999999998"/>
        <n v="1520"/>
        <n v="323"/>
        <n v="164"/>
        <n v="96.5"/>
        <n v="75"/>
        <n v="960"/>
        <n v="414.24"/>
        <n v="368"/>
        <n v="1093.5"/>
        <n v="421.2"/>
        <n v="52.110000000000007"/>
        <n v="258.89999999999998"/>
        <n v="2760"/>
        <n v="111.75"/>
        <n v="248.4"/>
        <n v="969"/>
        <n v="513"/>
        <n v="313.2"/>
        <n v="250"/>
        <n v="1560"/>
        <n v="1150"/>
        <n v="900"/>
        <n v="110"/>
        <n v="388.35"/>
        <n v="1045"/>
        <n v="835.19999999999993"/>
        <n v="147.20000000000002"/>
        <n v="59.6"/>
        <n v="945"/>
        <n v="87.75"/>
        <n v="742.5"/>
        <n v="427.5"/>
        <n v="892.5"/>
        <n v="375"/>
        <n v="318"/>
        <n v="265"/>
        <n v="730.8"/>
        <n v="105"/>
        <n v="34.799999999999997"/>
        <n v="150"/>
        <n v="37.5"/>
        <n v="1249.2"/>
        <n v="7905"/>
        <n v="437.5"/>
        <n v="141.75"/>
        <n v="948.6"/>
        <n v="682.0200000000001"/>
        <n v="174.15"/>
        <n v="299.25"/>
        <n v="169.86"/>
        <n v="535.5"/>
        <n v="319.2"/>
        <n v="210"/>
        <n v="1972"/>
        <n v="652.79999999999995"/>
        <n v="1140"/>
        <n v="135.1"/>
        <n v="584.375"/>
        <n v="807.5"/>
        <n v="2162.4"/>
        <n v="256.5"/>
        <n v="593.29999999999995"/>
        <n v="306"/>
        <n v="778"/>
        <n v="232.5"/>
        <n v="315"/>
        <n v="244.29999999999998"/>
        <n v="497.32499999999999"/>
        <n v="936.69999999999993"/>
        <n v="123.5"/>
        <n v="558"/>
        <n v="257.60000000000002"/>
        <n v="1216"/>
        <n v="997.5"/>
        <n v="155"/>
        <n v="237.5"/>
        <n v="590.4"/>
        <n v="45"/>
        <n v="110.01"/>
        <n v="517.79999999999995"/>
        <n v="554.625"/>
        <n v="194.5"/>
        <n v="2650"/>
        <n v="443.7"/>
        <n v="475"/>
        <n v="490"/>
        <n v="592.79999999999995"/>
        <n v="71.25"/>
        <n v="101.25"/>
        <n v="538.65"/>
        <n v="624.75"/>
        <n v="956.25"/>
        <n v="1760"/>
        <n v="350"/>
        <n v="2166"/>
        <n v="217.38749999999999"/>
        <n v="333.2"/>
        <n v="188.45999999999998"/>
        <n v="104.625"/>
        <n v="702"/>
        <n v="819.99999999999989"/>
        <n v="35"/>
        <n v="36.799999999999997"/>
        <n v="493"/>
        <n v="263.39999999999998"/>
        <n v="1044"/>
        <n v="408.45"/>
        <n v="234"/>
        <n v="117"/>
        <n v="162.75"/>
        <n v="331.3125"/>
        <n v="82.507500000000007"/>
        <n v="599.92499999999995"/>
        <n v="78"/>
        <n v="1237.9000000000001"/>
        <n v="593.75"/>
        <n v="23.8"/>
        <n v="187.38"/>
        <n v="2000"/>
        <n v="1120"/>
        <n v="741"/>
        <n v="372.5"/>
        <n v="368.125"/>
        <n v="148.3425"/>
        <n v="1360.8000000000002"/>
        <n v="397.5"/>
        <n v="405"/>
        <n v="2565"/>
        <n v="842.88"/>
        <n v="202.08000000000004"/>
        <n v="2195"/>
        <n v="193.5"/>
        <n v="29.8"/>
        <n v="1925"/>
        <n v="48.75"/>
        <n v="1008"/>
        <n v="68.850000000000009"/>
        <n v="162"/>
        <n v="2261"/>
        <n v="306.375"/>
        <n v="394.40000000000003"/>
        <n v="1350"/>
        <n v="3900"/>
        <n v="772.8"/>
        <n v="417.59999999999997"/>
        <n v="1064"/>
        <n v="510"/>
        <n v="2170"/>
        <n v="1360"/>
        <n v="3754.875"/>
        <n v="213.75"/>
        <n v="1402.5"/>
        <n v="1750"/>
        <n v="760"/>
        <n v="187.5"/>
        <n v="840"/>
        <n v="46"/>
        <n v="322.5"/>
        <n v="488.25"/>
        <n v="124.2"/>
        <n v="225"/>
        <n v="13.5"/>
        <n v="486"/>
        <n v="742.74"/>
        <n v="69.75"/>
        <n v="70"/>
        <n v="393.59999999999997"/>
        <n v="680"/>
        <n v="430"/>
        <n v="739.5"/>
        <n v="446.25"/>
        <n v="2475.8000000000002"/>
        <n v="630"/>
        <n v="55.800000000000004"/>
        <n v="541.5"/>
        <n v="1162.8"/>
        <n v="66.3"/>
        <n v="929.09249999999997"/>
        <n v="3352.4"/>
        <n v="1050"/>
        <n v="3125"/>
        <n v="795"/>
        <n v="15.5"/>
        <n v="198"/>
        <n v="288.22500000000002"/>
        <n v="550"/>
        <n v="79.5"/>
        <n v="385.9375"/>
        <n v="442.05"/>
        <n v="2088"/>
        <n v="168.75"/>
        <n v="1104"/>
        <n v="283.5"/>
        <n v="18"/>
        <n v="920"/>
        <n v="1250"/>
        <n v="202.5"/>
        <n v="418.5"/>
        <n v="483.75"/>
        <n v="341.25"/>
        <n v="276"/>
        <n v="57.375"/>
        <n v="522"/>
        <n v="776.7"/>
        <n v="778.99999999999989"/>
        <n v="223.5"/>
        <n v="82.8"/>
        <n v="38.835000000000001"/>
        <n v="471.15000000000003"/>
        <n v="237.6"/>
        <n v="324"/>
        <n v="40.230000000000004"/>
        <n v="154.4"/>
        <n v="62.774999999999999"/>
        <n v="490.14000000000004"/>
        <n v="51.300000000000004"/>
        <n v="775"/>
        <n v="231.60000000000002"/>
        <n v="95"/>
        <n v="1710"/>
        <n v="1020"/>
        <n v="1223.5999999999999"/>
        <n v="1776.5"/>
        <n v="864.5"/>
        <n v="419.51999999999992"/>
        <n v="1701"/>
        <n v="519.4"/>
        <n v="125"/>
        <n v="524.4"/>
        <n v="1007"/>
        <n v="632.4"/>
        <n v="387.59999999999997"/>
        <n v="268.38749999999999"/>
        <n v="55"/>
        <n v="210.5"/>
        <n v="240.8"/>
        <n v="448.875"/>
        <n v="750"/>
        <n v="193.75"/>
        <n v="174.5"/>
        <n v="252.60000000000002"/>
        <n v="3557.25"/>
        <n v="52.349999999999994"/>
        <n v="697.5"/>
        <n v="64.399999999999991"/>
        <n v="796.36500000000001"/>
        <n v="17"/>
        <n v="3800"/>
        <n v="1158"/>
        <n v="654.375"/>
        <n v="931"/>
        <n v="620"/>
        <n v="38.6"/>
        <n v="468.45"/>
        <n v="3637.5"/>
        <n v="85.5"/>
        <n v="502.2"/>
        <n v="196"/>
        <n v="472.5"/>
        <n v="292.5"/>
        <n v="4951.6000000000004"/>
        <n v="1840"/>
        <n v="466.79999999999995"/>
        <n v="2366.3999999999996"/>
        <n v="878"/>
        <n v="582"/>
        <n v="379.95"/>
        <n v="918"/>
        <n v="191.25"/>
        <n v="2700"/>
        <n v="1375"/>
        <n v="48.3"/>
        <n v="121.5"/>
        <n v="298.125"/>
        <n v="337.5"/>
        <n v="1411.2059999999999"/>
        <n v="1299.8374999999999"/>
        <n v="134.4"/>
        <n v="1963.5"/>
        <n v="365.5"/>
        <n v="525"/>
        <n v="132"/>
        <n v="349"/>
        <n v="357"/>
        <n v="85.4"/>
        <n v="1484"/>
        <n v="405.3"/>
        <n v="3935.9999999999995"/>
        <n v="93.47999999999999"/>
        <n v="936.9"/>
        <n v="789.75"/>
        <n v="356.25"/>
        <n v="119.25"/>
        <n v="645"/>
        <n v="50"/>
        <n v="371"/>
        <n v="855"/>
        <n v="1368"/>
        <n v="986"/>
        <n v="562.5"/>
        <n v="58.252499999999998"/>
        <n v="378"/>
        <n v="172"/>
        <n v="923.875"/>
        <n v="57"/>
        <n v="625"/>
        <n v="115.80000000000001"/>
        <n v="28"/>
        <n v="361"/>
        <n v="522.5"/>
        <n v="650"/>
        <n v="248.66249999999999"/>
        <n v="35.625"/>
        <n v="199.97499999999999"/>
        <n v="1510.5"/>
        <n v="175"/>
        <n v="23.400000000000002"/>
        <n v="842"/>
        <n v="182.4"/>
        <n v="425.6"/>
        <n v="1700"/>
        <n v="1218"/>
        <n v="311.2"/>
        <n v="2475"/>
        <n v="243.59999999999997"/>
        <n v="392"/>
        <n v="337.75"/>
        <n v="395.09999999999997"/>
        <n v="1080"/>
        <n v="330"/>
        <n v="98.8125"/>
        <n v="1168.75"/>
        <n v="337.28399999999999"/>
        <n v="55.199999999999996"/>
        <n v="204.75"/>
        <n v="675"/>
        <n v="385"/>
        <n v="1479"/>
        <n v="624.6"/>
        <n v="1756"/>
        <n v="1035"/>
        <n v="367.5"/>
        <n v="139.5"/>
        <n v="2280"/>
        <n v="2106"/>
        <n v="1515.6000000000001"/>
        <n v="275.02499999999998"/>
        <n v="99.75"/>
        <n v="236.25"/>
        <n v="2228.2200000000003"/>
        <n v="1287"/>
        <n v="700"/>
        <n v="43.400000000000006"/>
        <n v="18.75"/>
        <n v="850"/>
        <n v="243.67499999999998"/>
        <n v="6042"/>
        <n v="17.880000000000003"/>
        <n v="12.5"/>
        <n v="1317.5"/>
        <n v="30.599999999999998"/>
        <n v="887.4"/>
        <n v="77.5"/>
        <n v="310.68000000000006"/>
        <n v="260.40000000000003"/>
        <n v="270.75"/>
        <n v="2352.0100000000002"/>
        <n v="436.99999999999994"/>
        <n v="294.5"/>
        <n v="1875"/>
        <n v="1317"/>
        <n v="76.5"/>
        <n v="646"/>
        <n v="1646.4070000000002"/>
        <n v="183.35"/>
        <n v="22.35"/>
        <n v="56"/>
        <n v="35.760000000000005"/>
        <n v="1134.25"/>
        <n v="1023.75"/>
        <n v="524.6640000000001"/>
        <n v="98.6"/>
        <n v="348"/>
        <n v="102"/>
        <n v="477"/>
        <n v="46.935000000000002"/>
        <n v="1856.8500000000001"/>
        <n v="485.4375"/>
        <n v="1192.5"/>
        <n v="184.875"/>
        <n v="209.75999999999996"/>
        <n v="783.75"/>
        <n v="1116"/>
        <n v="2635"/>
        <n v="42.1"/>
        <n v="112.5"/>
        <n v="18.399999999999999"/>
        <n v="765"/>
        <n v="138"/>
        <n v="1252.8"/>
        <n v="193"/>
        <n v="782"/>
        <n v="86.7"/>
        <n v="726.75"/>
        <n v="7509.75"/>
        <n v="1061.82"/>
        <n v="938.4"/>
        <n v="1047.625"/>
        <n v="322"/>
        <n v="374.76"/>
        <n v="656"/>
        <n v="465"/>
        <n v="527"/>
        <n v="800"/>
        <n v="714"/>
        <n v="414"/>
        <n v="14.4"/>
        <n v="248.96"/>
        <n v="265.68"/>
        <n v="940.80399999999997"/>
        <n v="491.90999999999991"/>
        <n v="825"/>
        <n v="2040"/>
        <n v="459.99999999999994"/>
        <n v="1171.875"/>
        <n v="357.75"/>
        <n v="469.8"/>
        <n v="67.2"/>
        <n v="2750"/>
        <n v="230"/>
        <n v="567"/>
        <n v="715.5"/>
        <n v="462"/>
        <n v="1152"/>
        <n v="88.32"/>
        <n v="1224"/>
        <n v="946"/>
        <n v="640.5"/>
        <n v="291"/>
        <n v="477.81899999999996"/>
        <n v="238"/>
        <n v="8.5"/>
        <n v="382.5"/>
        <n v="90.25"/>
        <n v="133"/>
        <n v="185.25"/>
        <n v="2194.5"/>
        <n v="2465"/>
        <n v="331.5"/>
        <n v="819.78749999999991"/>
        <n v="928.42500000000007"/>
        <n v="439"/>
        <n v="195.5625"/>
        <n v="748.125"/>
        <n v="1638"/>
        <n v="87.5"/>
        <n v="135.15"/>
        <n v="15019.5"/>
        <n v="20.25"/>
        <n v="776.69999999999993"/>
        <n v="98.399999999999991"/>
        <n v="756"/>
        <n v="106"/>
        <n v="1187.5"/>
        <n v="198.92999999999998"/>
        <n v="473.8125"/>
        <n v="419.94749999999999"/>
        <n v="229.99999999999997"/>
        <n v="179.55"/>
        <n v="392.625"/>
        <n v="1562.5"/>
        <n v="1539"/>
        <n v="220.79999999999998"/>
        <n v="684"/>
        <n v="202.64"/>
        <n v="758.09999999999991"/>
        <n v="239.97"/>
        <n v="585"/>
        <n v="368.9325"/>
        <n v="2090"/>
        <n v="1200"/>
        <n v="2970.96"/>
        <n v="906.15"/>
        <n v="883.5"/>
        <n v="495"/>
        <n v="810"/>
        <n v="1674.3999999999999"/>
        <n v="3400"/>
        <n v="9903.2000000000007"/>
        <n v="932.04"/>
        <n v="33.75"/>
        <n v="289.5"/>
        <n v="251.42999999999995"/>
        <n v="198.75"/>
        <n v="1725.5"/>
        <n v="108.5"/>
        <n v="93.1"/>
        <n v="261.75"/>
        <n v="48.25"/>
        <n v="5570.55"/>
        <n v="537.5"/>
        <n v="74.5"/>
        <n v="104.69999999999999"/>
        <n v="25.89"/>
        <n v="637.5"/>
        <n v="418.79999999999995"/>
        <n v="268.8"/>
        <n v="1231.2"/>
        <n v="46.5"/>
        <n v="403.75"/>
        <n v="71.399999999999991"/>
        <n v="379.75"/>
        <n v="1097.5"/>
        <n v="621.17999999999995"/>
        <n v="556.79999999999995"/>
        <n v="65.599999999999994"/>
        <n v="828"/>
        <n v="1249.5"/>
        <n v="564.375"/>
        <n v="161.5"/>
        <n v="476"/>
        <n v="412.5"/>
        <n v="1109.25"/>
        <n v="1739.9999999999998"/>
        <n v="441"/>
        <n v="78.75"/>
        <n v="262.57499999999999"/>
        <n v="146.25"/>
        <n v="2120"/>
        <n v="930"/>
        <n v="2958"/>
        <n v="55.005000000000003"/>
        <n v="3847.5"/>
        <n v="415.30999999999995"/>
        <n v="265.625"/>
        <n v="424"/>
        <n v="266"/>
        <n v="427"/>
        <n v="131.75"/>
        <n v="39.9"/>
        <n v="792"/>
        <n v="57.8"/>
        <n v="502.8599999999999"/>
        <n v="1733.0600000000002"/>
        <n v="17.5"/>
        <n v="156.15"/>
        <n v="57.900000000000006"/>
        <n v="530"/>
        <n v="184"/>
        <n v="99.194999999999993"/>
        <n v="1536.5"/>
        <n v="15810"/>
        <n v="428.4"/>
        <n v="959.75"/>
        <n v="565.38"/>
        <n v="1215"/>
        <n v="1800"/>
        <n v="696"/>
        <n v="1774.8"/>
        <n v="1000"/>
        <n v="1326"/>
        <n v="1598.85"/>
        <n v="69.599999999999994"/>
        <n v="4642.125"/>
        <n v="253.3125"/>
        <n v="940.5"/>
        <n v="755.25"/>
        <n v="259.34999999999997"/>
        <n v="229.5"/>
        <n v="185.685"/>
        <n v="3032.3999999999996"/>
        <n v="1197"/>
        <n v="451.5"/>
        <n v="503.5"/>
        <n v="1225.5"/>
        <n v="25"/>
        <n v="243.18"/>
        <n v="6050"/>
        <n v="156.75"/>
        <n v="1967.49"/>
        <n v="1749"/>
        <n v="1380"/>
        <n v="1075"/>
        <n v="776.47499999999991"/>
        <n v="526.79999999999995"/>
        <n v="1425"/>
        <n v="1494.5"/>
        <n v="4125"/>
        <n v="94.5"/>
        <n v="6587.5"/>
        <n v="1650"/>
        <n v="2066.4"/>
        <n v="1166.4000000000001"/>
        <n v="233.39999999999998"/>
        <n v="73.600000000000009"/>
        <n v="14"/>
        <n v="291.75"/>
        <n v="591.59999999999991"/>
        <n v="1272"/>
        <n v="722"/>
        <n v="307.8"/>
        <n v="480.375"/>
        <n v="121.60000000000001"/>
        <n v="67.5"/>
        <n v="1190"/>
        <n v="130"/>
        <n v="262.40000000000003"/>
        <n v="662.4"/>
        <n v="260.55"/>
        <n v="2702.7000000000003"/>
        <n v="737.99999999999989"/>
        <n v="687.5"/>
        <n v="77.67"/>
        <n v="386.4"/>
        <n v="86.850000000000009"/>
        <n v="310.08"/>
        <n v="1407.6"/>
        <n v="309.39999999999998"/>
        <n v="444.97499999999997"/>
        <n v="386"/>
        <n v="357.5"/>
        <n v="4322.5"/>
        <n v="232.08499999999998"/>
        <n v="348.75"/>
        <n v="69"/>
        <n v="22"/>
        <n v="24.5"/>
        <n v="28.5"/>
        <n v="31"/>
        <n v="72.2"/>
        <n v="22.552499999999998"/>
        <n v="33.852999999999994"/>
        <n v="77.759999999999991"/>
        <n v="28.950000000000003"/>
        <n v="35.28"/>
        <n v="63.919999999999995"/>
        <n v="64.504999999999995"/>
        <n v="29.7"/>
        <n v="26"/>
      </sharedItems>
    </cacheField>
    <cacheField name="Year" numFmtId="0">
      <sharedItems containsSemiMixedTypes="0" containsString="0" containsNumber="1" containsInteger="1" minValue="2013" maxValue="2015" count="3">
        <n v="2013"/>
        <n v="2014"/>
        <n v="2015"/>
      </sharedItems>
    </cacheField>
    <cacheField name="Month" numFmtId="0">
      <sharedItems containsSemiMixedTypes="0" containsString="0" containsNumber="1" containsInteger="1" minValue="1" maxValue="12" count="12">
        <n v="7"/>
        <n v="8"/>
        <n v="9"/>
        <n v="10"/>
        <n v="11"/>
        <n v="12"/>
        <n v="1"/>
        <n v="2"/>
        <n v="3"/>
        <n v="4"/>
        <n v="5"/>
        <n v="6"/>
      </sharedItems>
    </cacheField>
    <cacheField name="Category" numFmtId="0">
      <sharedItems count="8">
        <s v="Dairy Products"/>
        <s v="Grains &amp; Cereals"/>
        <s v="Produce"/>
        <s v="Seafood"/>
        <s v="Condiments"/>
        <s v="Confections"/>
        <s v="Beverages"/>
        <s v="Meat &amp; Poultry"/>
      </sharedItems>
    </cacheField>
    <cacheField name="Country" numFmtId="0">
      <sharedItems count="21">
        <s v="France"/>
        <s v="Germany"/>
        <s v="Brazil"/>
        <s v="Belgium"/>
        <s v="Switzerland"/>
        <s v="Venezuela"/>
        <s v="Austria"/>
        <s v="Mexico"/>
        <s v="USA"/>
        <s v="Sweden"/>
        <s v="Finland"/>
        <s v="Italy"/>
        <s v="Spain"/>
        <s v="UK"/>
        <s v="Ireland"/>
        <s v="Portugal"/>
        <s v="Canada"/>
        <s v="Denmark"/>
        <s v="Poland"/>
        <s v="Norway"/>
        <s v="Argentina"/>
      </sharedItems>
    </cacheField>
    <cacheField name="Employee"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141.201541319446" createdVersion="4" refreshedVersion="4" minRefreshableVersion="3" recordCount="12">
  <cacheSource type="worksheet">
    <worksheetSource ref="D1:E13" sheet="Data_Page1"/>
  </cacheSource>
  <cacheFields count="2">
    <cacheField name="Month" numFmtId="0">
      <sharedItems containsSemiMixedTypes="0" containsString="0" containsNumber="1" containsInteger="1" minValue="1" maxValue="12" count="12">
        <n v="1"/>
        <n v="2"/>
        <n v="3"/>
        <n v="4"/>
        <n v="5"/>
        <n v="6"/>
        <n v="7"/>
        <n v="8"/>
        <n v="9"/>
        <n v="10"/>
        <n v="11"/>
        <n v="12"/>
      </sharedItems>
    </cacheField>
    <cacheField name="Orders" numFmtId="0">
      <sharedItems containsSemiMixedTypes="0" containsString="0" containsNumber="1" containsInteger="1" minValue="76" maxValue="261" count="11">
        <n v="237"/>
        <n v="201"/>
        <n v="255"/>
        <n v="261"/>
        <n v="155"/>
        <n v="76"/>
        <n v="130"/>
        <n v="153"/>
        <n v="152"/>
        <n v="179"/>
        <n v="19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55">
  <r>
    <n v="10248"/>
    <n v="11"/>
    <n v="14"/>
    <n v="12"/>
    <n v="0"/>
    <x v="0"/>
    <x v="0"/>
    <x v="0"/>
    <x v="0"/>
    <x v="0"/>
    <s v="Steven Buchanan"/>
  </r>
  <r>
    <n v="10248"/>
    <n v="42"/>
    <n v="9.8000000000000007"/>
    <n v="10"/>
    <n v="0"/>
    <x v="1"/>
    <x v="0"/>
    <x v="0"/>
    <x v="1"/>
    <x v="0"/>
    <s v="Steven Buchanan"/>
  </r>
  <r>
    <n v="10248"/>
    <n v="72"/>
    <n v="34.799999999999997"/>
    <n v="5"/>
    <n v="0"/>
    <x v="2"/>
    <x v="0"/>
    <x v="0"/>
    <x v="0"/>
    <x v="0"/>
    <s v="Steven Buchanan"/>
  </r>
  <r>
    <n v="10249"/>
    <n v="14"/>
    <n v="18.600000000000001"/>
    <n v="9"/>
    <n v="0"/>
    <x v="3"/>
    <x v="0"/>
    <x v="0"/>
    <x v="2"/>
    <x v="1"/>
    <s v="Michael Suyama"/>
  </r>
  <r>
    <n v="10249"/>
    <n v="51"/>
    <n v="42.4"/>
    <n v="40"/>
    <n v="0"/>
    <x v="4"/>
    <x v="0"/>
    <x v="0"/>
    <x v="2"/>
    <x v="1"/>
    <s v="Michael Suyama"/>
  </r>
  <r>
    <n v="10250"/>
    <n v="41"/>
    <n v="7.7"/>
    <n v="10"/>
    <n v="0"/>
    <x v="5"/>
    <x v="0"/>
    <x v="0"/>
    <x v="3"/>
    <x v="2"/>
    <s v="Margaret Peacock"/>
  </r>
  <r>
    <n v="10250"/>
    <n v="51"/>
    <n v="42.4"/>
    <n v="35"/>
    <n v="0.15"/>
    <x v="6"/>
    <x v="0"/>
    <x v="0"/>
    <x v="2"/>
    <x v="2"/>
    <s v="Margaret Peacock"/>
  </r>
  <r>
    <n v="10250"/>
    <n v="65"/>
    <n v="16.8"/>
    <n v="15"/>
    <n v="0.15"/>
    <x v="7"/>
    <x v="0"/>
    <x v="0"/>
    <x v="4"/>
    <x v="2"/>
    <s v="Margaret Peacock"/>
  </r>
  <r>
    <n v="10251"/>
    <n v="22"/>
    <n v="16.8"/>
    <n v="6"/>
    <n v="0.05"/>
    <x v="8"/>
    <x v="0"/>
    <x v="0"/>
    <x v="1"/>
    <x v="0"/>
    <s v="Janet Leverling"/>
  </r>
  <r>
    <n v="10251"/>
    <n v="57"/>
    <n v="15.6"/>
    <n v="15"/>
    <n v="0.05"/>
    <x v="9"/>
    <x v="0"/>
    <x v="0"/>
    <x v="1"/>
    <x v="0"/>
    <s v="Janet Leverling"/>
  </r>
  <r>
    <n v="10251"/>
    <n v="65"/>
    <n v="16.8"/>
    <n v="20"/>
    <n v="0"/>
    <x v="10"/>
    <x v="0"/>
    <x v="0"/>
    <x v="4"/>
    <x v="0"/>
    <s v="Janet Leverling"/>
  </r>
  <r>
    <n v="10252"/>
    <n v="20"/>
    <n v="64.8"/>
    <n v="40"/>
    <n v="0.05"/>
    <x v="11"/>
    <x v="0"/>
    <x v="0"/>
    <x v="5"/>
    <x v="3"/>
    <s v="Margaret Peacock"/>
  </r>
  <r>
    <n v="10252"/>
    <n v="33"/>
    <n v="2"/>
    <n v="25"/>
    <n v="0.05"/>
    <x v="12"/>
    <x v="0"/>
    <x v="0"/>
    <x v="0"/>
    <x v="3"/>
    <s v="Margaret Peacock"/>
  </r>
  <r>
    <n v="10252"/>
    <n v="60"/>
    <n v="27.2"/>
    <n v="40"/>
    <n v="0"/>
    <x v="13"/>
    <x v="0"/>
    <x v="0"/>
    <x v="0"/>
    <x v="3"/>
    <s v="Margaret Peacock"/>
  </r>
  <r>
    <n v="10253"/>
    <n v="31"/>
    <n v="10"/>
    <n v="20"/>
    <n v="0"/>
    <x v="14"/>
    <x v="0"/>
    <x v="0"/>
    <x v="0"/>
    <x v="2"/>
    <s v="Janet Leverling"/>
  </r>
  <r>
    <n v="10253"/>
    <n v="39"/>
    <n v="14.4"/>
    <n v="42"/>
    <n v="0"/>
    <x v="15"/>
    <x v="0"/>
    <x v="0"/>
    <x v="6"/>
    <x v="2"/>
    <s v="Janet Leverling"/>
  </r>
  <r>
    <n v="10253"/>
    <n v="49"/>
    <n v="16"/>
    <n v="40"/>
    <n v="0"/>
    <x v="16"/>
    <x v="0"/>
    <x v="0"/>
    <x v="5"/>
    <x v="2"/>
    <s v="Janet Leverling"/>
  </r>
  <r>
    <n v="10254"/>
    <n v="24"/>
    <n v="3.6"/>
    <n v="15"/>
    <n v="0.15"/>
    <x v="17"/>
    <x v="0"/>
    <x v="0"/>
    <x v="6"/>
    <x v="4"/>
    <s v="Steven Buchanan"/>
  </r>
  <r>
    <n v="10254"/>
    <n v="55"/>
    <n v="19.2"/>
    <n v="21"/>
    <n v="0.15"/>
    <x v="18"/>
    <x v="0"/>
    <x v="0"/>
    <x v="7"/>
    <x v="4"/>
    <s v="Steven Buchanan"/>
  </r>
  <r>
    <n v="10254"/>
    <n v="74"/>
    <n v="8"/>
    <n v="21"/>
    <n v="0"/>
    <x v="0"/>
    <x v="0"/>
    <x v="0"/>
    <x v="2"/>
    <x v="4"/>
    <s v="Steven Buchanan"/>
  </r>
  <r>
    <n v="10255"/>
    <n v="2"/>
    <n v="15.2"/>
    <n v="20"/>
    <n v="0"/>
    <x v="19"/>
    <x v="0"/>
    <x v="0"/>
    <x v="6"/>
    <x v="4"/>
    <s v="Anne Dodsworth"/>
  </r>
  <r>
    <n v="10255"/>
    <n v="16"/>
    <n v="13.9"/>
    <n v="35"/>
    <n v="0"/>
    <x v="20"/>
    <x v="0"/>
    <x v="0"/>
    <x v="5"/>
    <x v="4"/>
    <s v="Anne Dodsworth"/>
  </r>
  <r>
    <n v="10255"/>
    <n v="36"/>
    <n v="15.2"/>
    <n v="25"/>
    <n v="0"/>
    <x v="21"/>
    <x v="0"/>
    <x v="0"/>
    <x v="3"/>
    <x v="4"/>
    <s v="Anne Dodsworth"/>
  </r>
  <r>
    <n v="10255"/>
    <n v="59"/>
    <n v="44"/>
    <n v="30"/>
    <n v="0"/>
    <x v="22"/>
    <x v="0"/>
    <x v="0"/>
    <x v="0"/>
    <x v="4"/>
    <s v="Anne Dodsworth"/>
  </r>
  <r>
    <n v="10256"/>
    <n v="53"/>
    <n v="26.2"/>
    <n v="15"/>
    <n v="0"/>
    <x v="23"/>
    <x v="0"/>
    <x v="0"/>
    <x v="7"/>
    <x v="2"/>
    <s v="Janet Leverling"/>
  </r>
  <r>
    <n v="10256"/>
    <n v="77"/>
    <n v="10.4"/>
    <n v="12"/>
    <n v="0"/>
    <x v="24"/>
    <x v="0"/>
    <x v="0"/>
    <x v="4"/>
    <x v="2"/>
    <s v="Janet Leverling"/>
  </r>
  <r>
    <n v="10257"/>
    <n v="27"/>
    <n v="35.1"/>
    <n v="25"/>
    <n v="0"/>
    <x v="25"/>
    <x v="0"/>
    <x v="0"/>
    <x v="5"/>
    <x v="5"/>
    <s v="Margaret Peacock"/>
  </r>
  <r>
    <n v="10257"/>
    <n v="39"/>
    <n v="14.4"/>
    <n v="6"/>
    <n v="0"/>
    <x v="26"/>
    <x v="0"/>
    <x v="0"/>
    <x v="6"/>
    <x v="5"/>
    <s v="Margaret Peacock"/>
  </r>
  <r>
    <n v="10257"/>
    <n v="77"/>
    <n v="10.4"/>
    <n v="15"/>
    <n v="0"/>
    <x v="27"/>
    <x v="0"/>
    <x v="0"/>
    <x v="4"/>
    <x v="5"/>
    <s v="Margaret Peacock"/>
  </r>
  <r>
    <n v="10258"/>
    <n v="2"/>
    <n v="15.2"/>
    <n v="50"/>
    <n v="0.2"/>
    <x v="28"/>
    <x v="0"/>
    <x v="0"/>
    <x v="6"/>
    <x v="6"/>
    <s v="Nancy Davolio"/>
  </r>
  <r>
    <n v="10258"/>
    <n v="5"/>
    <n v="17"/>
    <n v="65"/>
    <n v="0.2"/>
    <x v="29"/>
    <x v="0"/>
    <x v="0"/>
    <x v="4"/>
    <x v="6"/>
    <s v="Nancy Davolio"/>
  </r>
  <r>
    <n v="10258"/>
    <n v="32"/>
    <n v="25.6"/>
    <n v="6"/>
    <n v="0.2"/>
    <x v="30"/>
    <x v="0"/>
    <x v="0"/>
    <x v="0"/>
    <x v="6"/>
    <s v="Nancy Davolio"/>
  </r>
  <r>
    <n v="10259"/>
    <n v="21"/>
    <n v="8"/>
    <n v="10"/>
    <n v="0"/>
    <x v="31"/>
    <x v="0"/>
    <x v="0"/>
    <x v="5"/>
    <x v="7"/>
    <s v="Margaret Peacock"/>
  </r>
  <r>
    <n v="10259"/>
    <n v="37"/>
    <n v="20.8"/>
    <n v="1"/>
    <n v="0"/>
    <x v="32"/>
    <x v="0"/>
    <x v="0"/>
    <x v="3"/>
    <x v="7"/>
    <s v="Margaret Peacock"/>
  </r>
  <r>
    <n v="10260"/>
    <n v="41"/>
    <n v="7.7"/>
    <n v="16"/>
    <n v="0.25"/>
    <x v="33"/>
    <x v="0"/>
    <x v="0"/>
    <x v="3"/>
    <x v="1"/>
    <s v="Margaret Peacock"/>
  </r>
  <r>
    <n v="10260"/>
    <n v="57"/>
    <n v="15.6"/>
    <n v="50"/>
    <n v="0"/>
    <x v="34"/>
    <x v="0"/>
    <x v="0"/>
    <x v="1"/>
    <x v="1"/>
    <s v="Margaret Peacock"/>
  </r>
  <r>
    <n v="10260"/>
    <n v="62"/>
    <n v="39.4"/>
    <n v="15"/>
    <n v="0.25"/>
    <x v="35"/>
    <x v="0"/>
    <x v="0"/>
    <x v="5"/>
    <x v="1"/>
    <s v="Margaret Peacock"/>
  </r>
  <r>
    <n v="10260"/>
    <n v="70"/>
    <n v="12"/>
    <n v="21"/>
    <n v="0.25"/>
    <x v="36"/>
    <x v="0"/>
    <x v="0"/>
    <x v="6"/>
    <x v="1"/>
    <s v="Margaret Peacock"/>
  </r>
  <r>
    <n v="10261"/>
    <n v="21"/>
    <n v="8"/>
    <n v="20"/>
    <n v="0"/>
    <x v="37"/>
    <x v="0"/>
    <x v="0"/>
    <x v="5"/>
    <x v="2"/>
    <s v="Margaret Peacock"/>
  </r>
  <r>
    <n v="10261"/>
    <n v="35"/>
    <n v="14.4"/>
    <n v="20"/>
    <n v="0"/>
    <x v="38"/>
    <x v="0"/>
    <x v="0"/>
    <x v="6"/>
    <x v="2"/>
    <s v="Margaret Peacock"/>
  </r>
  <r>
    <n v="10262"/>
    <n v="5"/>
    <n v="17"/>
    <n v="12"/>
    <n v="0.2"/>
    <x v="39"/>
    <x v="0"/>
    <x v="0"/>
    <x v="4"/>
    <x v="8"/>
    <s v="Laura Callahan"/>
  </r>
  <r>
    <n v="10262"/>
    <n v="7"/>
    <n v="24"/>
    <n v="15"/>
    <n v="0"/>
    <x v="40"/>
    <x v="0"/>
    <x v="0"/>
    <x v="2"/>
    <x v="8"/>
    <s v="Laura Callahan"/>
  </r>
  <r>
    <n v="10262"/>
    <n v="56"/>
    <n v="30.4"/>
    <n v="2"/>
    <n v="0"/>
    <x v="41"/>
    <x v="0"/>
    <x v="0"/>
    <x v="1"/>
    <x v="8"/>
    <s v="Laura Callahan"/>
  </r>
  <r>
    <n v="10263"/>
    <n v="16"/>
    <n v="13.9"/>
    <n v="60"/>
    <n v="0.25"/>
    <x v="42"/>
    <x v="0"/>
    <x v="0"/>
    <x v="5"/>
    <x v="6"/>
    <s v="Anne Dodsworth"/>
  </r>
  <r>
    <n v="10263"/>
    <n v="24"/>
    <n v="3.6"/>
    <n v="28"/>
    <n v="0"/>
    <x v="43"/>
    <x v="0"/>
    <x v="0"/>
    <x v="6"/>
    <x v="6"/>
    <s v="Anne Dodsworth"/>
  </r>
  <r>
    <n v="10263"/>
    <n v="30"/>
    <n v="20.7"/>
    <n v="60"/>
    <n v="0.25"/>
    <x v="44"/>
    <x v="0"/>
    <x v="0"/>
    <x v="3"/>
    <x v="6"/>
    <s v="Anne Dodsworth"/>
  </r>
  <r>
    <n v="10263"/>
    <n v="74"/>
    <n v="8"/>
    <n v="36"/>
    <n v="0.25"/>
    <x v="45"/>
    <x v="0"/>
    <x v="0"/>
    <x v="2"/>
    <x v="6"/>
    <s v="Anne Dodsworth"/>
  </r>
  <r>
    <n v="10264"/>
    <n v="2"/>
    <n v="15.2"/>
    <n v="35"/>
    <n v="0"/>
    <x v="46"/>
    <x v="0"/>
    <x v="0"/>
    <x v="6"/>
    <x v="9"/>
    <s v="Michael Suyama"/>
  </r>
  <r>
    <n v="10264"/>
    <n v="41"/>
    <n v="7.7"/>
    <n v="25"/>
    <n v="0.15"/>
    <x v="47"/>
    <x v="0"/>
    <x v="0"/>
    <x v="3"/>
    <x v="9"/>
    <s v="Michael Suyama"/>
  </r>
  <r>
    <n v="10265"/>
    <n v="17"/>
    <n v="31.2"/>
    <n v="30"/>
    <n v="0"/>
    <x v="48"/>
    <x v="0"/>
    <x v="0"/>
    <x v="7"/>
    <x v="0"/>
    <s v="Andrew Fuller"/>
  </r>
  <r>
    <n v="10265"/>
    <n v="70"/>
    <n v="12"/>
    <n v="20"/>
    <n v="0"/>
    <x v="49"/>
    <x v="0"/>
    <x v="0"/>
    <x v="6"/>
    <x v="0"/>
    <s v="Andrew Fuller"/>
  </r>
  <r>
    <n v="10266"/>
    <n v="12"/>
    <n v="30.4"/>
    <n v="12"/>
    <n v="0.05"/>
    <x v="50"/>
    <x v="0"/>
    <x v="0"/>
    <x v="0"/>
    <x v="10"/>
    <s v="Janet Leverling"/>
  </r>
  <r>
    <n v="10267"/>
    <n v="40"/>
    <n v="14.7"/>
    <n v="50"/>
    <n v="0"/>
    <x v="51"/>
    <x v="0"/>
    <x v="0"/>
    <x v="3"/>
    <x v="1"/>
    <s v="Margaret Peacock"/>
  </r>
  <r>
    <n v="10267"/>
    <n v="59"/>
    <n v="44"/>
    <n v="70"/>
    <n v="0.15"/>
    <x v="52"/>
    <x v="0"/>
    <x v="0"/>
    <x v="0"/>
    <x v="1"/>
    <s v="Margaret Peacock"/>
  </r>
  <r>
    <n v="10267"/>
    <n v="76"/>
    <n v="14.4"/>
    <n v="15"/>
    <n v="0.15"/>
    <x v="53"/>
    <x v="0"/>
    <x v="0"/>
    <x v="6"/>
    <x v="1"/>
    <s v="Margaret Peacock"/>
  </r>
  <r>
    <n v="10268"/>
    <n v="29"/>
    <n v="99"/>
    <n v="10"/>
    <n v="0"/>
    <x v="54"/>
    <x v="0"/>
    <x v="0"/>
    <x v="7"/>
    <x v="5"/>
    <s v="Laura Callahan"/>
  </r>
  <r>
    <n v="10268"/>
    <n v="72"/>
    <n v="27.8"/>
    <n v="4"/>
    <n v="0"/>
    <x v="55"/>
    <x v="0"/>
    <x v="0"/>
    <x v="0"/>
    <x v="5"/>
    <s v="Laura Callahan"/>
  </r>
  <r>
    <n v="10269"/>
    <n v="33"/>
    <n v="2"/>
    <n v="60"/>
    <n v="0.05"/>
    <x v="56"/>
    <x v="0"/>
    <x v="0"/>
    <x v="0"/>
    <x v="8"/>
    <s v="Steven Buchanan"/>
  </r>
  <r>
    <n v="10269"/>
    <n v="72"/>
    <n v="27.8"/>
    <n v="20"/>
    <n v="0.05"/>
    <x v="57"/>
    <x v="0"/>
    <x v="0"/>
    <x v="0"/>
    <x v="8"/>
    <s v="Steven Buchanan"/>
  </r>
  <r>
    <n v="10270"/>
    <n v="36"/>
    <n v="15.2"/>
    <n v="30"/>
    <n v="0"/>
    <x v="58"/>
    <x v="0"/>
    <x v="1"/>
    <x v="3"/>
    <x v="10"/>
    <s v="Nancy Davolio"/>
  </r>
  <r>
    <n v="10270"/>
    <n v="43"/>
    <n v="36.799999999999997"/>
    <n v="25"/>
    <n v="0"/>
    <x v="59"/>
    <x v="0"/>
    <x v="1"/>
    <x v="6"/>
    <x v="10"/>
    <s v="Nancy Davolio"/>
  </r>
  <r>
    <n v="10271"/>
    <n v="33"/>
    <n v="2"/>
    <n v="24"/>
    <n v="0"/>
    <x v="60"/>
    <x v="0"/>
    <x v="1"/>
    <x v="0"/>
    <x v="8"/>
    <s v="Michael Suyama"/>
  </r>
  <r>
    <n v="10272"/>
    <n v="20"/>
    <n v="64.8"/>
    <n v="6"/>
    <n v="0"/>
    <x v="61"/>
    <x v="0"/>
    <x v="1"/>
    <x v="5"/>
    <x v="8"/>
    <s v="Michael Suyama"/>
  </r>
  <r>
    <n v="10272"/>
    <n v="31"/>
    <n v="10"/>
    <n v="40"/>
    <n v="0"/>
    <x v="62"/>
    <x v="0"/>
    <x v="1"/>
    <x v="0"/>
    <x v="8"/>
    <s v="Michael Suyama"/>
  </r>
  <r>
    <n v="10272"/>
    <n v="72"/>
    <n v="27.8"/>
    <n v="24"/>
    <n v="0"/>
    <x v="63"/>
    <x v="0"/>
    <x v="1"/>
    <x v="0"/>
    <x v="8"/>
    <s v="Michael Suyama"/>
  </r>
  <r>
    <n v="10273"/>
    <n v="10"/>
    <n v="24.8"/>
    <n v="24"/>
    <n v="0.05"/>
    <x v="64"/>
    <x v="0"/>
    <x v="1"/>
    <x v="3"/>
    <x v="1"/>
    <s v="Janet Leverling"/>
  </r>
  <r>
    <n v="10273"/>
    <n v="31"/>
    <n v="10"/>
    <n v="15"/>
    <n v="0.05"/>
    <x v="65"/>
    <x v="0"/>
    <x v="1"/>
    <x v="0"/>
    <x v="1"/>
    <s v="Janet Leverling"/>
  </r>
  <r>
    <n v="10273"/>
    <n v="33"/>
    <n v="2"/>
    <n v="20"/>
    <n v="0"/>
    <x v="66"/>
    <x v="0"/>
    <x v="1"/>
    <x v="0"/>
    <x v="1"/>
    <s v="Janet Leverling"/>
  </r>
  <r>
    <n v="10273"/>
    <n v="40"/>
    <n v="14.7"/>
    <n v="60"/>
    <n v="0.05"/>
    <x v="67"/>
    <x v="0"/>
    <x v="1"/>
    <x v="3"/>
    <x v="1"/>
    <s v="Janet Leverling"/>
  </r>
  <r>
    <n v="10273"/>
    <n v="76"/>
    <n v="14.4"/>
    <n v="33"/>
    <n v="0.05"/>
    <x v="68"/>
    <x v="0"/>
    <x v="1"/>
    <x v="6"/>
    <x v="1"/>
    <s v="Janet Leverling"/>
  </r>
  <r>
    <n v="10274"/>
    <n v="71"/>
    <n v="17.2"/>
    <n v="20"/>
    <n v="0"/>
    <x v="69"/>
    <x v="0"/>
    <x v="1"/>
    <x v="0"/>
    <x v="0"/>
    <s v="Michael Suyama"/>
  </r>
  <r>
    <n v="10274"/>
    <n v="72"/>
    <n v="27.8"/>
    <n v="7"/>
    <n v="0"/>
    <x v="70"/>
    <x v="0"/>
    <x v="1"/>
    <x v="0"/>
    <x v="0"/>
    <s v="Michael Suyama"/>
  </r>
  <r>
    <n v="10275"/>
    <n v="24"/>
    <n v="3.6"/>
    <n v="12"/>
    <n v="0.05"/>
    <x v="71"/>
    <x v="0"/>
    <x v="1"/>
    <x v="6"/>
    <x v="11"/>
    <s v="Nancy Davolio"/>
  </r>
  <r>
    <n v="10275"/>
    <n v="59"/>
    <n v="44"/>
    <n v="6"/>
    <n v="0.05"/>
    <x v="72"/>
    <x v="0"/>
    <x v="1"/>
    <x v="0"/>
    <x v="11"/>
    <s v="Nancy Davolio"/>
  </r>
  <r>
    <n v="10276"/>
    <n v="10"/>
    <n v="24.8"/>
    <n v="15"/>
    <n v="0"/>
    <x v="73"/>
    <x v="0"/>
    <x v="1"/>
    <x v="3"/>
    <x v="7"/>
    <s v="Laura Callahan"/>
  </r>
  <r>
    <n v="10276"/>
    <n v="13"/>
    <n v="4.8"/>
    <n v="10"/>
    <n v="0"/>
    <x v="60"/>
    <x v="0"/>
    <x v="1"/>
    <x v="3"/>
    <x v="7"/>
    <s v="Laura Callahan"/>
  </r>
  <r>
    <n v="10277"/>
    <n v="28"/>
    <n v="36.4"/>
    <n v="20"/>
    <n v="0"/>
    <x v="74"/>
    <x v="0"/>
    <x v="1"/>
    <x v="2"/>
    <x v="1"/>
    <s v="Andrew Fuller"/>
  </r>
  <r>
    <n v="10277"/>
    <n v="62"/>
    <n v="39.4"/>
    <n v="12"/>
    <n v="0"/>
    <x v="75"/>
    <x v="0"/>
    <x v="1"/>
    <x v="5"/>
    <x v="1"/>
    <s v="Andrew Fuller"/>
  </r>
  <r>
    <n v="10278"/>
    <n v="44"/>
    <n v="15.5"/>
    <n v="16"/>
    <n v="0"/>
    <x v="76"/>
    <x v="0"/>
    <x v="1"/>
    <x v="4"/>
    <x v="9"/>
    <s v="Laura Callahan"/>
  </r>
  <r>
    <n v="10278"/>
    <n v="59"/>
    <n v="44"/>
    <n v="15"/>
    <n v="0"/>
    <x v="77"/>
    <x v="0"/>
    <x v="1"/>
    <x v="0"/>
    <x v="9"/>
    <s v="Laura Callahan"/>
  </r>
  <r>
    <n v="10278"/>
    <n v="63"/>
    <n v="35.1"/>
    <n v="8"/>
    <n v="0"/>
    <x v="78"/>
    <x v="0"/>
    <x v="1"/>
    <x v="4"/>
    <x v="9"/>
    <s v="Laura Callahan"/>
  </r>
  <r>
    <n v="10278"/>
    <n v="73"/>
    <n v="12"/>
    <n v="25"/>
    <n v="0"/>
    <x v="79"/>
    <x v="0"/>
    <x v="1"/>
    <x v="3"/>
    <x v="9"/>
    <s v="Laura Callahan"/>
  </r>
  <r>
    <n v="10279"/>
    <n v="17"/>
    <n v="31.2"/>
    <n v="15"/>
    <n v="0.25"/>
    <x v="80"/>
    <x v="0"/>
    <x v="1"/>
    <x v="7"/>
    <x v="1"/>
    <s v="Laura Callahan"/>
  </r>
  <r>
    <n v="10280"/>
    <n v="24"/>
    <n v="3.6"/>
    <n v="12"/>
    <n v="0"/>
    <x v="81"/>
    <x v="0"/>
    <x v="1"/>
    <x v="6"/>
    <x v="9"/>
    <s v="Andrew Fuller"/>
  </r>
  <r>
    <n v="10280"/>
    <n v="55"/>
    <n v="19.2"/>
    <n v="20"/>
    <n v="0"/>
    <x v="82"/>
    <x v="0"/>
    <x v="1"/>
    <x v="7"/>
    <x v="9"/>
    <s v="Andrew Fuller"/>
  </r>
  <r>
    <n v="10280"/>
    <n v="75"/>
    <n v="6.2"/>
    <n v="30"/>
    <n v="0"/>
    <x v="83"/>
    <x v="0"/>
    <x v="1"/>
    <x v="6"/>
    <x v="9"/>
    <s v="Andrew Fuller"/>
  </r>
  <r>
    <n v="10281"/>
    <n v="19"/>
    <n v="7.3"/>
    <n v="1"/>
    <n v="0"/>
    <x v="84"/>
    <x v="0"/>
    <x v="1"/>
    <x v="5"/>
    <x v="12"/>
    <s v="Margaret Peacock"/>
  </r>
  <r>
    <n v="10281"/>
    <n v="24"/>
    <n v="3.6"/>
    <n v="6"/>
    <n v="0"/>
    <x v="85"/>
    <x v="0"/>
    <x v="1"/>
    <x v="6"/>
    <x v="12"/>
    <s v="Margaret Peacock"/>
  </r>
  <r>
    <n v="10281"/>
    <n v="35"/>
    <n v="14.4"/>
    <n v="4"/>
    <n v="0"/>
    <x v="86"/>
    <x v="0"/>
    <x v="1"/>
    <x v="6"/>
    <x v="12"/>
    <s v="Margaret Peacock"/>
  </r>
  <r>
    <n v="10282"/>
    <n v="30"/>
    <n v="20.7"/>
    <n v="6"/>
    <n v="0"/>
    <x v="87"/>
    <x v="0"/>
    <x v="1"/>
    <x v="3"/>
    <x v="12"/>
    <s v="Margaret Peacock"/>
  </r>
  <r>
    <n v="10282"/>
    <n v="57"/>
    <n v="15.6"/>
    <n v="2"/>
    <n v="0"/>
    <x v="88"/>
    <x v="0"/>
    <x v="1"/>
    <x v="1"/>
    <x v="12"/>
    <s v="Margaret Peacock"/>
  </r>
  <r>
    <n v="10283"/>
    <n v="15"/>
    <n v="12.4"/>
    <n v="20"/>
    <n v="0"/>
    <x v="76"/>
    <x v="0"/>
    <x v="1"/>
    <x v="4"/>
    <x v="5"/>
    <s v="Janet Leverling"/>
  </r>
  <r>
    <n v="10283"/>
    <n v="19"/>
    <n v="7.3"/>
    <n v="18"/>
    <n v="0"/>
    <x v="89"/>
    <x v="0"/>
    <x v="1"/>
    <x v="5"/>
    <x v="5"/>
    <s v="Janet Leverling"/>
  </r>
  <r>
    <n v="10283"/>
    <n v="60"/>
    <n v="27.2"/>
    <n v="35"/>
    <n v="0"/>
    <x v="90"/>
    <x v="0"/>
    <x v="1"/>
    <x v="0"/>
    <x v="5"/>
    <s v="Janet Leverling"/>
  </r>
  <r>
    <n v="10283"/>
    <n v="72"/>
    <n v="27.8"/>
    <n v="3"/>
    <n v="0"/>
    <x v="91"/>
    <x v="0"/>
    <x v="1"/>
    <x v="0"/>
    <x v="5"/>
    <s v="Janet Leverling"/>
  </r>
  <r>
    <n v="10284"/>
    <n v="27"/>
    <n v="35.1"/>
    <n v="15"/>
    <n v="0.25"/>
    <x v="92"/>
    <x v="0"/>
    <x v="1"/>
    <x v="5"/>
    <x v="1"/>
    <s v="Margaret Peacock"/>
  </r>
  <r>
    <n v="10284"/>
    <n v="44"/>
    <n v="15.5"/>
    <n v="21"/>
    <n v="0"/>
    <x v="93"/>
    <x v="0"/>
    <x v="1"/>
    <x v="4"/>
    <x v="1"/>
    <s v="Margaret Peacock"/>
  </r>
  <r>
    <n v="10284"/>
    <n v="60"/>
    <n v="27.2"/>
    <n v="20"/>
    <n v="0.25"/>
    <x v="94"/>
    <x v="0"/>
    <x v="1"/>
    <x v="0"/>
    <x v="1"/>
    <s v="Margaret Peacock"/>
  </r>
  <r>
    <n v="10284"/>
    <n v="67"/>
    <n v="11.2"/>
    <n v="5"/>
    <n v="0.25"/>
    <x v="95"/>
    <x v="0"/>
    <x v="1"/>
    <x v="6"/>
    <x v="1"/>
    <s v="Margaret Peacock"/>
  </r>
  <r>
    <n v="10285"/>
    <n v="1"/>
    <n v="14.4"/>
    <n v="45"/>
    <n v="0.2"/>
    <x v="96"/>
    <x v="0"/>
    <x v="1"/>
    <x v="6"/>
    <x v="1"/>
    <s v="Nancy Davolio"/>
  </r>
  <r>
    <n v="10285"/>
    <n v="40"/>
    <n v="14.7"/>
    <n v="40"/>
    <n v="0.2"/>
    <x v="97"/>
    <x v="0"/>
    <x v="1"/>
    <x v="3"/>
    <x v="1"/>
    <s v="Nancy Davolio"/>
  </r>
  <r>
    <n v="10285"/>
    <n v="53"/>
    <n v="26.2"/>
    <n v="36"/>
    <n v="0.2"/>
    <x v="98"/>
    <x v="0"/>
    <x v="1"/>
    <x v="7"/>
    <x v="1"/>
    <s v="Nancy Davolio"/>
  </r>
  <r>
    <n v="10286"/>
    <n v="35"/>
    <n v="14.4"/>
    <n v="100"/>
    <n v="0"/>
    <x v="99"/>
    <x v="0"/>
    <x v="1"/>
    <x v="6"/>
    <x v="1"/>
    <s v="Laura Callahan"/>
  </r>
  <r>
    <n v="10286"/>
    <n v="62"/>
    <n v="39.4"/>
    <n v="40"/>
    <n v="0"/>
    <x v="100"/>
    <x v="0"/>
    <x v="1"/>
    <x v="5"/>
    <x v="1"/>
    <s v="Laura Callahan"/>
  </r>
  <r>
    <n v="10287"/>
    <n v="16"/>
    <n v="13.9"/>
    <n v="40"/>
    <n v="0.15"/>
    <x v="101"/>
    <x v="0"/>
    <x v="1"/>
    <x v="5"/>
    <x v="2"/>
    <s v="Laura Callahan"/>
  </r>
  <r>
    <n v="10287"/>
    <n v="34"/>
    <n v="11.2"/>
    <n v="20"/>
    <n v="0"/>
    <x v="102"/>
    <x v="0"/>
    <x v="1"/>
    <x v="6"/>
    <x v="2"/>
    <s v="Laura Callahan"/>
  </r>
  <r>
    <n v="10287"/>
    <n v="46"/>
    <n v="9.6"/>
    <n v="15"/>
    <n v="0.15"/>
    <x v="103"/>
    <x v="0"/>
    <x v="1"/>
    <x v="3"/>
    <x v="2"/>
    <s v="Laura Callahan"/>
  </r>
  <r>
    <n v="10288"/>
    <n v="54"/>
    <n v="5.9"/>
    <n v="10"/>
    <n v="0.1"/>
    <x v="104"/>
    <x v="0"/>
    <x v="1"/>
    <x v="7"/>
    <x v="11"/>
    <s v="Margaret Peacock"/>
  </r>
  <r>
    <n v="10288"/>
    <n v="68"/>
    <n v="10"/>
    <n v="3"/>
    <n v="0.1"/>
    <x v="105"/>
    <x v="0"/>
    <x v="1"/>
    <x v="5"/>
    <x v="11"/>
    <s v="Margaret Peacock"/>
  </r>
  <r>
    <n v="10289"/>
    <n v="3"/>
    <n v="8"/>
    <n v="30"/>
    <n v="0"/>
    <x v="49"/>
    <x v="0"/>
    <x v="1"/>
    <x v="4"/>
    <x v="13"/>
    <s v="Robert King"/>
  </r>
  <r>
    <n v="10289"/>
    <n v="64"/>
    <n v="26.6"/>
    <n v="9"/>
    <n v="0"/>
    <x v="106"/>
    <x v="0"/>
    <x v="1"/>
    <x v="1"/>
    <x v="13"/>
    <s v="Robert King"/>
  </r>
  <r>
    <n v="10290"/>
    <n v="5"/>
    <n v="17"/>
    <n v="20"/>
    <n v="0"/>
    <x v="107"/>
    <x v="0"/>
    <x v="1"/>
    <x v="4"/>
    <x v="2"/>
    <s v="Laura Callahan"/>
  </r>
  <r>
    <n v="10290"/>
    <n v="29"/>
    <n v="99"/>
    <n v="15"/>
    <n v="0"/>
    <x v="108"/>
    <x v="0"/>
    <x v="1"/>
    <x v="7"/>
    <x v="2"/>
    <s v="Laura Callahan"/>
  </r>
  <r>
    <n v="10290"/>
    <n v="49"/>
    <n v="16"/>
    <n v="15"/>
    <n v="0"/>
    <x v="49"/>
    <x v="0"/>
    <x v="1"/>
    <x v="5"/>
    <x v="2"/>
    <s v="Laura Callahan"/>
  </r>
  <r>
    <n v="10290"/>
    <n v="77"/>
    <n v="10.4"/>
    <n v="10"/>
    <n v="0"/>
    <x v="109"/>
    <x v="0"/>
    <x v="1"/>
    <x v="4"/>
    <x v="2"/>
    <s v="Laura Callahan"/>
  </r>
  <r>
    <n v="10291"/>
    <n v="13"/>
    <n v="4.8"/>
    <n v="20"/>
    <n v="0.1"/>
    <x v="26"/>
    <x v="0"/>
    <x v="1"/>
    <x v="3"/>
    <x v="2"/>
    <s v="Michael Suyama"/>
  </r>
  <r>
    <n v="10291"/>
    <n v="44"/>
    <n v="15.5"/>
    <n v="24"/>
    <n v="0.1"/>
    <x v="110"/>
    <x v="0"/>
    <x v="1"/>
    <x v="4"/>
    <x v="2"/>
    <s v="Michael Suyama"/>
  </r>
  <r>
    <n v="10291"/>
    <n v="51"/>
    <n v="42.4"/>
    <n v="2"/>
    <n v="0.1"/>
    <x v="111"/>
    <x v="0"/>
    <x v="1"/>
    <x v="2"/>
    <x v="2"/>
    <s v="Michael Suyama"/>
  </r>
  <r>
    <n v="10292"/>
    <n v="20"/>
    <n v="64.8"/>
    <n v="20"/>
    <n v="0"/>
    <x v="112"/>
    <x v="0"/>
    <x v="1"/>
    <x v="5"/>
    <x v="2"/>
    <s v="Nancy Davolio"/>
  </r>
  <r>
    <n v="10293"/>
    <n v="18"/>
    <n v="50"/>
    <n v="12"/>
    <n v="0"/>
    <x v="113"/>
    <x v="0"/>
    <x v="1"/>
    <x v="3"/>
    <x v="7"/>
    <s v="Nancy Davolio"/>
  </r>
  <r>
    <n v="10293"/>
    <n v="24"/>
    <n v="3.6"/>
    <n v="10"/>
    <n v="0"/>
    <x v="114"/>
    <x v="0"/>
    <x v="1"/>
    <x v="6"/>
    <x v="7"/>
    <s v="Nancy Davolio"/>
  </r>
  <r>
    <n v="10293"/>
    <n v="63"/>
    <n v="35.1"/>
    <n v="5"/>
    <n v="0"/>
    <x v="115"/>
    <x v="0"/>
    <x v="1"/>
    <x v="4"/>
    <x v="7"/>
    <s v="Nancy Davolio"/>
  </r>
  <r>
    <n v="10293"/>
    <n v="75"/>
    <n v="6.2"/>
    <n v="6"/>
    <n v="0"/>
    <x v="116"/>
    <x v="0"/>
    <x v="1"/>
    <x v="6"/>
    <x v="7"/>
    <s v="Nancy Davolio"/>
  </r>
  <r>
    <n v="10294"/>
    <n v="1"/>
    <n v="14.4"/>
    <n v="18"/>
    <n v="0"/>
    <x v="117"/>
    <x v="0"/>
    <x v="1"/>
    <x v="6"/>
    <x v="8"/>
    <s v="Margaret Peacock"/>
  </r>
  <r>
    <n v="10294"/>
    <n v="17"/>
    <n v="31.2"/>
    <n v="15"/>
    <n v="0"/>
    <x v="118"/>
    <x v="0"/>
    <x v="1"/>
    <x v="7"/>
    <x v="8"/>
    <s v="Margaret Peacock"/>
  </r>
  <r>
    <n v="10294"/>
    <n v="43"/>
    <n v="36.799999999999997"/>
    <n v="15"/>
    <n v="0"/>
    <x v="119"/>
    <x v="0"/>
    <x v="1"/>
    <x v="6"/>
    <x v="8"/>
    <s v="Margaret Peacock"/>
  </r>
  <r>
    <n v="10294"/>
    <n v="60"/>
    <n v="27.2"/>
    <n v="21"/>
    <n v="0"/>
    <x v="120"/>
    <x v="0"/>
    <x v="1"/>
    <x v="0"/>
    <x v="8"/>
    <s v="Margaret Peacock"/>
  </r>
  <r>
    <n v="10294"/>
    <n v="75"/>
    <n v="6.2"/>
    <n v="6"/>
    <n v="0"/>
    <x v="116"/>
    <x v="0"/>
    <x v="1"/>
    <x v="6"/>
    <x v="8"/>
    <s v="Margaret Peacock"/>
  </r>
  <r>
    <n v="10295"/>
    <n v="56"/>
    <n v="30.4"/>
    <n v="4"/>
    <n v="0"/>
    <x v="121"/>
    <x v="0"/>
    <x v="2"/>
    <x v="1"/>
    <x v="0"/>
    <s v="Andrew Fuller"/>
  </r>
  <r>
    <n v="10296"/>
    <n v="11"/>
    <n v="16.8"/>
    <n v="12"/>
    <n v="0"/>
    <x v="122"/>
    <x v="0"/>
    <x v="2"/>
    <x v="0"/>
    <x v="5"/>
    <s v="Michael Suyama"/>
  </r>
  <r>
    <n v="10296"/>
    <n v="16"/>
    <n v="13.9"/>
    <n v="30"/>
    <n v="0"/>
    <x v="123"/>
    <x v="0"/>
    <x v="2"/>
    <x v="5"/>
    <x v="5"/>
    <s v="Michael Suyama"/>
  </r>
  <r>
    <n v="10296"/>
    <n v="69"/>
    <n v="28.8"/>
    <n v="15"/>
    <n v="0"/>
    <x v="124"/>
    <x v="0"/>
    <x v="2"/>
    <x v="0"/>
    <x v="5"/>
    <s v="Michael Suyama"/>
  </r>
  <r>
    <n v="10297"/>
    <n v="39"/>
    <n v="14.4"/>
    <n v="60"/>
    <n v="0"/>
    <x v="125"/>
    <x v="0"/>
    <x v="2"/>
    <x v="6"/>
    <x v="0"/>
    <s v="Steven Buchanan"/>
  </r>
  <r>
    <n v="10297"/>
    <n v="72"/>
    <n v="27.8"/>
    <n v="20"/>
    <n v="0"/>
    <x v="126"/>
    <x v="0"/>
    <x v="2"/>
    <x v="0"/>
    <x v="0"/>
    <s v="Steven Buchanan"/>
  </r>
  <r>
    <n v="10298"/>
    <n v="2"/>
    <n v="15.2"/>
    <n v="40"/>
    <n v="0"/>
    <x v="28"/>
    <x v="0"/>
    <x v="2"/>
    <x v="6"/>
    <x v="14"/>
    <s v="Michael Suyama"/>
  </r>
  <r>
    <n v="10298"/>
    <n v="36"/>
    <n v="15.2"/>
    <n v="40"/>
    <n v="0.25"/>
    <x v="58"/>
    <x v="0"/>
    <x v="2"/>
    <x v="3"/>
    <x v="14"/>
    <s v="Michael Suyama"/>
  </r>
  <r>
    <n v="10298"/>
    <n v="59"/>
    <n v="44"/>
    <n v="30"/>
    <n v="0.25"/>
    <x v="54"/>
    <x v="0"/>
    <x v="2"/>
    <x v="0"/>
    <x v="14"/>
    <s v="Michael Suyama"/>
  </r>
  <r>
    <n v="10298"/>
    <n v="62"/>
    <n v="39.4"/>
    <n v="15"/>
    <n v="0"/>
    <x v="127"/>
    <x v="0"/>
    <x v="2"/>
    <x v="5"/>
    <x v="14"/>
    <s v="Michael Suyama"/>
  </r>
  <r>
    <n v="10299"/>
    <n v="19"/>
    <n v="7.3"/>
    <n v="15"/>
    <n v="0"/>
    <x v="128"/>
    <x v="0"/>
    <x v="2"/>
    <x v="5"/>
    <x v="2"/>
    <s v="Margaret Peacock"/>
  </r>
  <r>
    <n v="10299"/>
    <n v="70"/>
    <n v="12"/>
    <n v="20"/>
    <n v="0"/>
    <x v="49"/>
    <x v="0"/>
    <x v="2"/>
    <x v="6"/>
    <x v="2"/>
    <s v="Margaret Peacock"/>
  </r>
  <r>
    <n v="10300"/>
    <n v="66"/>
    <n v="13.6"/>
    <n v="30"/>
    <n v="0"/>
    <x v="94"/>
    <x v="0"/>
    <x v="2"/>
    <x v="4"/>
    <x v="11"/>
    <s v="Andrew Fuller"/>
  </r>
  <r>
    <n v="10300"/>
    <n v="68"/>
    <n v="10"/>
    <n v="20"/>
    <n v="0"/>
    <x v="14"/>
    <x v="0"/>
    <x v="2"/>
    <x v="5"/>
    <x v="11"/>
    <s v="Andrew Fuller"/>
  </r>
  <r>
    <n v="10301"/>
    <n v="40"/>
    <n v="14.7"/>
    <n v="10"/>
    <n v="0"/>
    <x v="129"/>
    <x v="0"/>
    <x v="2"/>
    <x v="3"/>
    <x v="1"/>
    <s v="Laura Callahan"/>
  </r>
  <r>
    <n v="10301"/>
    <n v="56"/>
    <n v="30.4"/>
    <n v="20"/>
    <n v="0"/>
    <x v="28"/>
    <x v="0"/>
    <x v="2"/>
    <x v="1"/>
    <x v="1"/>
    <s v="Laura Callahan"/>
  </r>
  <r>
    <n v="10302"/>
    <n v="17"/>
    <n v="31.2"/>
    <n v="40"/>
    <n v="0"/>
    <x v="130"/>
    <x v="0"/>
    <x v="2"/>
    <x v="7"/>
    <x v="3"/>
    <s v="Margaret Peacock"/>
  </r>
  <r>
    <n v="10302"/>
    <n v="28"/>
    <n v="36.4"/>
    <n v="28"/>
    <n v="0"/>
    <x v="131"/>
    <x v="0"/>
    <x v="2"/>
    <x v="2"/>
    <x v="3"/>
    <s v="Margaret Peacock"/>
  </r>
  <r>
    <n v="10302"/>
    <n v="43"/>
    <n v="36.799999999999997"/>
    <n v="12"/>
    <n v="0"/>
    <x v="132"/>
    <x v="0"/>
    <x v="2"/>
    <x v="6"/>
    <x v="3"/>
    <s v="Margaret Peacock"/>
  </r>
  <r>
    <n v="10303"/>
    <n v="40"/>
    <n v="14.7"/>
    <n v="40"/>
    <n v="0.1"/>
    <x v="133"/>
    <x v="0"/>
    <x v="2"/>
    <x v="3"/>
    <x v="12"/>
    <s v="Robert King"/>
  </r>
  <r>
    <n v="10303"/>
    <n v="65"/>
    <n v="16.8"/>
    <n v="30"/>
    <n v="0.1"/>
    <x v="134"/>
    <x v="0"/>
    <x v="2"/>
    <x v="4"/>
    <x v="12"/>
    <s v="Robert King"/>
  </r>
  <r>
    <n v="10303"/>
    <n v="68"/>
    <n v="10"/>
    <n v="15"/>
    <n v="0.1"/>
    <x v="135"/>
    <x v="0"/>
    <x v="2"/>
    <x v="5"/>
    <x v="12"/>
    <s v="Robert King"/>
  </r>
  <r>
    <n v="10304"/>
    <n v="49"/>
    <n v="16"/>
    <n v="30"/>
    <n v="0"/>
    <x v="136"/>
    <x v="0"/>
    <x v="2"/>
    <x v="5"/>
    <x v="7"/>
    <s v="Nancy Davolio"/>
  </r>
  <r>
    <n v="10304"/>
    <n v="59"/>
    <n v="44"/>
    <n v="10"/>
    <n v="0"/>
    <x v="137"/>
    <x v="0"/>
    <x v="2"/>
    <x v="0"/>
    <x v="7"/>
    <s v="Nancy Davolio"/>
  </r>
  <r>
    <n v="10304"/>
    <n v="71"/>
    <n v="17.2"/>
    <n v="2"/>
    <n v="0"/>
    <x v="138"/>
    <x v="0"/>
    <x v="2"/>
    <x v="0"/>
    <x v="7"/>
    <s v="Nancy Davolio"/>
  </r>
  <r>
    <n v="10305"/>
    <n v="18"/>
    <n v="50"/>
    <n v="25"/>
    <n v="0.1"/>
    <x v="139"/>
    <x v="0"/>
    <x v="2"/>
    <x v="3"/>
    <x v="8"/>
    <s v="Laura Callahan"/>
  </r>
  <r>
    <n v="10305"/>
    <n v="29"/>
    <n v="99"/>
    <n v="25"/>
    <n v="0.1"/>
    <x v="140"/>
    <x v="0"/>
    <x v="2"/>
    <x v="7"/>
    <x v="8"/>
    <s v="Laura Callahan"/>
  </r>
  <r>
    <n v="10305"/>
    <n v="39"/>
    <n v="14.4"/>
    <n v="30"/>
    <n v="0.1"/>
    <x v="141"/>
    <x v="0"/>
    <x v="2"/>
    <x v="6"/>
    <x v="8"/>
    <s v="Laura Callahan"/>
  </r>
  <r>
    <n v="10306"/>
    <n v="30"/>
    <n v="20.7"/>
    <n v="10"/>
    <n v="0"/>
    <x v="142"/>
    <x v="0"/>
    <x v="2"/>
    <x v="3"/>
    <x v="12"/>
    <s v="Nancy Davolio"/>
  </r>
  <r>
    <n v="10306"/>
    <n v="53"/>
    <n v="26.2"/>
    <n v="10"/>
    <n v="0"/>
    <x v="143"/>
    <x v="0"/>
    <x v="2"/>
    <x v="7"/>
    <x v="12"/>
    <s v="Nancy Davolio"/>
  </r>
  <r>
    <n v="10306"/>
    <n v="54"/>
    <n v="5.9"/>
    <n v="5"/>
    <n v="0"/>
    <x v="144"/>
    <x v="0"/>
    <x v="2"/>
    <x v="7"/>
    <x v="12"/>
    <s v="Nancy Davolio"/>
  </r>
  <r>
    <n v="10307"/>
    <n v="62"/>
    <n v="39.4"/>
    <n v="10"/>
    <n v="0"/>
    <x v="145"/>
    <x v="0"/>
    <x v="2"/>
    <x v="5"/>
    <x v="8"/>
    <s v="Andrew Fuller"/>
  </r>
  <r>
    <n v="10307"/>
    <n v="68"/>
    <n v="10"/>
    <n v="3"/>
    <n v="0"/>
    <x v="146"/>
    <x v="0"/>
    <x v="2"/>
    <x v="5"/>
    <x v="8"/>
    <s v="Andrew Fuller"/>
  </r>
  <r>
    <n v="10308"/>
    <n v="69"/>
    <n v="28.8"/>
    <n v="1"/>
    <n v="0"/>
    <x v="147"/>
    <x v="0"/>
    <x v="2"/>
    <x v="0"/>
    <x v="7"/>
    <s v="Robert King"/>
  </r>
  <r>
    <n v="10308"/>
    <n v="70"/>
    <n v="12"/>
    <n v="5"/>
    <n v="0"/>
    <x v="148"/>
    <x v="0"/>
    <x v="2"/>
    <x v="6"/>
    <x v="7"/>
    <s v="Robert King"/>
  </r>
  <r>
    <n v="10309"/>
    <n v="4"/>
    <n v="17.600000000000001"/>
    <n v="20"/>
    <n v="0"/>
    <x v="149"/>
    <x v="0"/>
    <x v="2"/>
    <x v="4"/>
    <x v="14"/>
    <s v="Janet Leverling"/>
  </r>
  <r>
    <n v="10309"/>
    <n v="6"/>
    <n v="20"/>
    <n v="30"/>
    <n v="0"/>
    <x v="113"/>
    <x v="0"/>
    <x v="2"/>
    <x v="4"/>
    <x v="14"/>
    <s v="Janet Leverling"/>
  </r>
  <r>
    <n v="10309"/>
    <n v="42"/>
    <n v="11.2"/>
    <n v="2"/>
    <n v="0"/>
    <x v="150"/>
    <x v="0"/>
    <x v="2"/>
    <x v="1"/>
    <x v="14"/>
    <s v="Janet Leverling"/>
  </r>
  <r>
    <n v="10309"/>
    <n v="43"/>
    <n v="36.799999999999997"/>
    <n v="20"/>
    <n v="0"/>
    <x v="151"/>
    <x v="0"/>
    <x v="2"/>
    <x v="6"/>
    <x v="14"/>
    <s v="Janet Leverling"/>
  </r>
  <r>
    <n v="10309"/>
    <n v="71"/>
    <n v="17.2"/>
    <n v="3"/>
    <n v="0"/>
    <x v="152"/>
    <x v="0"/>
    <x v="2"/>
    <x v="0"/>
    <x v="14"/>
    <s v="Janet Leverling"/>
  </r>
  <r>
    <n v="10310"/>
    <n v="16"/>
    <n v="13.9"/>
    <n v="10"/>
    <n v="0"/>
    <x v="153"/>
    <x v="0"/>
    <x v="2"/>
    <x v="5"/>
    <x v="8"/>
    <s v="Laura Callahan"/>
  </r>
  <r>
    <n v="10310"/>
    <n v="62"/>
    <n v="39.4"/>
    <n v="5"/>
    <n v="0"/>
    <x v="154"/>
    <x v="0"/>
    <x v="2"/>
    <x v="5"/>
    <x v="8"/>
    <s v="Laura Callahan"/>
  </r>
  <r>
    <n v="10311"/>
    <n v="42"/>
    <n v="11.2"/>
    <n v="6"/>
    <n v="0"/>
    <x v="155"/>
    <x v="0"/>
    <x v="2"/>
    <x v="1"/>
    <x v="0"/>
    <s v="Nancy Davolio"/>
  </r>
  <r>
    <n v="10311"/>
    <n v="69"/>
    <n v="28.8"/>
    <n v="7"/>
    <n v="0"/>
    <x v="156"/>
    <x v="0"/>
    <x v="2"/>
    <x v="0"/>
    <x v="0"/>
    <s v="Nancy Davolio"/>
  </r>
  <r>
    <n v="10312"/>
    <n v="28"/>
    <n v="36.4"/>
    <n v="4"/>
    <n v="0"/>
    <x v="157"/>
    <x v="0"/>
    <x v="2"/>
    <x v="2"/>
    <x v="1"/>
    <s v="Andrew Fuller"/>
  </r>
  <r>
    <n v="10312"/>
    <n v="43"/>
    <n v="36.799999999999997"/>
    <n v="24"/>
    <n v="0"/>
    <x v="158"/>
    <x v="0"/>
    <x v="2"/>
    <x v="6"/>
    <x v="1"/>
    <s v="Andrew Fuller"/>
  </r>
  <r>
    <n v="10312"/>
    <n v="53"/>
    <n v="26.2"/>
    <n v="20"/>
    <n v="0"/>
    <x v="159"/>
    <x v="0"/>
    <x v="2"/>
    <x v="7"/>
    <x v="1"/>
    <s v="Andrew Fuller"/>
  </r>
  <r>
    <n v="10312"/>
    <n v="75"/>
    <n v="6.2"/>
    <n v="10"/>
    <n v="0"/>
    <x v="160"/>
    <x v="0"/>
    <x v="2"/>
    <x v="6"/>
    <x v="1"/>
    <s v="Andrew Fuller"/>
  </r>
  <r>
    <n v="10313"/>
    <n v="36"/>
    <n v="15.2"/>
    <n v="12"/>
    <n v="0"/>
    <x v="161"/>
    <x v="0"/>
    <x v="2"/>
    <x v="3"/>
    <x v="1"/>
    <s v="Andrew Fuller"/>
  </r>
  <r>
    <n v="10314"/>
    <n v="32"/>
    <n v="25.6"/>
    <n v="40"/>
    <n v="0.1"/>
    <x v="162"/>
    <x v="0"/>
    <x v="2"/>
    <x v="0"/>
    <x v="8"/>
    <s v="Nancy Davolio"/>
  </r>
  <r>
    <n v="10314"/>
    <n v="58"/>
    <n v="10.6"/>
    <n v="30"/>
    <n v="0.1"/>
    <x v="163"/>
    <x v="0"/>
    <x v="2"/>
    <x v="3"/>
    <x v="8"/>
    <s v="Nancy Davolio"/>
  </r>
  <r>
    <n v="10314"/>
    <n v="62"/>
    <n v="39.4"/>
    <n v="25"/>
    <n v="0.1"/>
    <x v="164"/>
    <x v="0"/>
    <x v="2"/>
    <x v="5"/>
    <x v="8"/>
    <s v="Nancy Davolio"/>
  </r>
  <r>
    <n v="10315"/>
    <n v="34"/>
    <n v="11.2"/>
    <n v="14"/>
    <n v="0"/>
    <x v="165"/>
    <x v="0"/>
    <x v="2"/>
    <x v="6"/>
    <x v="13"/>
    <s v="Margaret Peacock"/>
  </r>
  <r>
    <n v="10315"/>
    <n v="70"/>
    <n v="12"/>
    <n v="30"/>
    <n v="0"/>
    <x v="40"/>
    <x v="0"/>
    <x v="2"/>
    <x v="6"/>
    <x v="13"/>
    <s v="Margaret Peacock"/>
  </r>
  <r>
    <n v="10316"/>
    <n v="41"/>
    <n v="7.7"/>
    <n v="10"/>
    <n v="0"/>
    <x v="5"/>
    <x v="0"/>
    <x v="2"/>
    <x v="3"/>
    <x v="8"/>
    <s v="Nancy Davolio"/>
  </r>
  <r>
    <n v="10316"/>
    <n v="62"/>
    <n v="39.4"/>
    <n v="70"/>
    <n v="0"/>
    <x v="166"/>
    <x v="0"/>
    <x v="2"/>
    <x v="5"/>
    <x v="8"/>
    <s v="Nancy Davolio"/>
  </r>
  <r>
    <n v="10317"/>
    <n v="1"/>
    <n v="14.4"/>
    <n v="20"/>
    <n v="0"/>
    <x v="38"/>
    <x v="0"/>
    <x v="2"/>
    <x v="6"/>
    <x v="8"/>
    <s v="Michael Suyama"/>
  </r>
  <r>
    <n v="10318"/>
    <n v="41"/>
    <n v="7.7"/>
    <n v="20"/>
    <n v="0"/>
    <x v="167"/>
    <x v="0"/>
    <x v="3"/>
    <x v="3"/>
    <x v="13"/>
    <s v="Laura Callahan"/>
  </r>
  <r>
    <n v="10318"/>
    <n v="76"/>
    <n v="14.4"/>
    <n v="6"/>
    <n v="0"/>
    <x v="26"/>
    <x v="0"/>
    <x v="3"/>
    <x v="6"/>
    <x v="13"/>
    <s v="Laura Callahan"/>
  </r>
  <r>
    <n v="10319"/>
    <n v="17"/>
    <n v="31.2"/>
    <n v="8"/>
    <n v="0"/>
    <x v="168"/>
    <x v="0"/>
    <x v="3"/>
    <x v="7"/>
    <x v="7"/>
    <s v="Robert King"/>
  </r>
  <r>
    <n v="10319"/>
    <n v="28"/>
    <n v="36.4"/>
    <n v="14"/>
    <n v="0"/>
    <x v="169"/>
    <x v="0"/>
    <x v="3"/>
    <x v="2"/>
    <x v="7"/>
    <s v="Robert King"/>
  </r>
  <r>
    <n v="10319"/>
    <n v="76"/>
    <n v="14.4"/>
    <n v="30"/>
    <n v="0"/>
    <x v="124"/>
    <x v="0"/>
    <x v="3"/>
    <x v="6"/>
    <x v="7"/>
    <s v="Robert King"/>
  </r>
  <r>
    <n v="10320"/>
    <n v="71"/>
    <n v="17.2"/>
    <n v="30"/>
    <n v="0"/>
    <x v="170"/>
    <x v="0"/>
    <x v="3"/>
    <x v="0"/>
    <x v="10"/>
    <s v="Steven Buchanan"/>
  </r>
  <r>
    <n v="10321"/>
    <n v="35"/>
    <n v="14.4"/>
    <n v="10"/>
    <n v="0"/>
    <x v="171"/>
    <x v="0"/>
    <x v="3"/>
    <x v="6"/>
    <x v="13"/>
    <s v="Janet Leverling"/>
  </r>
  <r>
    <n v="10322"/>
    <n v="52"/>
    <n v="5.6"/>
    <n v="20"/>
    <n v="0"/>
    <x v="172"/>
    <x v="0"/>
    <x v="3"/>
    <x v="1"/>
    <x v="7"/>
    <s v="Robert King"/>
  </r>
  <r>
    <n v="10323"/>
    <n v="15"/>
    <n v="12.4"/>
    <n v="5"/>
    <n v="0"/>
    <x v="160"/>
    <x v="0"/>
    <x v="3"/>
    <x v="4"/>
    <x v="1"/>
    <s v="Margaret Peacock"/>
  </r>
  <r>
    <n v="10323"/>
    <n v="25"/>
    <n v="11.2"/>
    <n v="4"/>
    <n v="0"/>
    <x v="173"/>
    <x v="0"/>
    <x v="3"/>
    <x v="5"/>
    <x v="1"/>
    <s v="Margaret Peacock"/>
  </r>
  <r>
    <n v="10323"/>
    <n v="39"/>
    <n v="14.4"/>
    <n v="4"/>
    <n v="0"/>
    <x v="86"/>
    <x v="0"/>
    <x v="3"/>
    <x v="6"/>
    <x v="1"/>
    <s v="Margaret Peacock"/>
  </r>
  <r>
    <n v="10324"/>
    <n v="16"/>
    <n v="13.9"/>
    <n v="21"/>
    <n v="0.15"/>
    <x v="174"/>
    <x v="0"/>
    <x v="3"/>
    <x v="5"/>
    <x v="8"/>
    <s v="Anne Dodsworth"/>
  </r>
  <r>
    <n v="10324"/>
    <n v="35"/>
    <n v="14.4"/>
    <n v="70"/>
    <n v="0.15"/>
    <x v="175"/>
    <x v="0"/>
    <x v="3"/>
    <x v="6"/>
    <x v="8"/>
    <s v="Anne Dodsworth"/>
  </r>
  <r>
    <n v="10324"/>
    <n v="46"/>
    <n v="9.6"/>
    <n v="30"/>
    <n v="0"/>
    <x v="38"/>
    <x v="0"/>
    <x v="3"/>
    <x v="3"/>
    <x v="8"/>
    <s v="Anne Dodsworth"/>
  </r>
  <r>
    <n v="10324"/>
    <n v="59"/>
    <n v="44"/>
    <n v="40"/>
    <n v="0.15"/>
    <x v="176"/>
    <x v="0"/>
    <x v="3"/>
    <x v="0"/>
    <x v="8"/>
    <s v="Anne Dodsworth"/>
  </r>
  <r>
    <n v="10324"/>
    <n v="63"/>
    <n v="35.1"/>
    <n v="80"/>
    <n v="0.15"/>
    <x v="177"/>
    <x v="0"/>
    <x v="3"/>
    <x v="4"/>
    <x v="8"/>
    <s v="Anne Dodsworth"/>
  </r>
  <r>
    <n v="10325"/>
    <n v="6"/>
    <n v="20"/>
    <n v="6"/>
    <n v="0"/>
    <x v="178"/>
    <x v="0"/>
    <x v="3"/>
    <x v="4"/>
    <x v="1"/>
    <s v="Nancy Davolio"/>
  </r>
  <r>
    <n v="10325"/>
    <n v="13"/>
    <n v="4.8"/>
    <n v="12"/>
    <n v="0"/>
    <x v="179"/>
    <x v="0"/>
    <x v="3"/>
    <x v="3"/>
    <x v="1"/>
    <s v="Nancy Davolio"/>
  </r>
  <r>
    <n v="10325"/>
    <n v="14"/>
    <n v="18.600000000000001"/>
    <n v="9"/>
    <n v="0"/>
    <x v="3"/>
    <x v="0"/>
    <x v="3"/>
    <x v="2"/>
    <x v="1"/>
    <s v="Nancy Davolio"/>
  </r>
  <r>
    <n v="10325"/>
    <n v="31"/>
    <n v="10"/>
    <n v="4"/>
    <n v="0"/>
    <x v="66"/>
    <x v="0"/>
    <x v="3"/>
    <x v="0"/>
    <x v="1"/>
    <s v="Nancy Davolio"/>
  </r>
  <r>
    <n v="10325"/>
    <n v="72"/>
    <n v="27.8"/>
    <n v="40"/>
    <n v="0"/>
    <x v="180"/>
    <x v="0"/>
    <x v="3"/>
    <x v="0"/>
    <x v="1"/>
    <s v="Nancy Davolio"/>
  </r>
  <r>
    <n v="10326"/>
    <n v="4"/>
    <n v="17.600000000000001"/>
    <n v="24"/>
    <n v="0"/>
    <x v="181"/>
    <x v="0"/>
    <x v="3"/>
    <x v="4"/>
    <x v="12"/>
    <s v="Margaret Peacock"/>
  </r>
  <r>
    <n v="10326"/>
    <n v="57"/>
    <n v="15.6"/>
    <n v="16"/>
    <n v="0"/>
    <x v="168"/>
    <x v="0"/>
    <x v="3"/>
    <x v="1"/>
    <x v="12"/>
    <s v="Margaret Peacock"/>
  </r>
  <r>
    <n v="10326"/>
    <n v="75"/>
    <n v="6.2"/>
    <n v="50"/>
    <n v="0"/>
    <x v="182"/>
    <x v="0"/>
    <x v="3"/>
    <x v="6"/>
    <x v="12"/>
    <s v="Margaret Peacock"/>
  </r>
  <r>
    <n v="10327"/>
    <n v="2"/>
    <n v="15.2"/>
    <n v="25"/>
    <n v="0.2"/>
    <x v="19"/>
    <x v="0"/>
    <x v="3"/>
    <x v="6"/>
    <x v="9"/>
    <s v="Andrew Fuller"/>
  </r>
  <r>
    <n v="10327"/>
    <n v="11"/>
    <n v="16.8"/>
    <n v="50"/>
    <n v="0.2"/>
    <x v="183"/>
    <x v="0"/>
    <x v="3"/>
    <x v="0"/>
    <x v="9"/>
    <s v="Andrew Fuller"/>
  </r>
  <r>
    <n v="10327"/>
    <n v="30"/>
    <n v="20.7"/>
    <n v="35"/>
    <n v="0.2"/>
    <x v="184"/>
    <x v="0"/>
    <x v="3"/>
    <x v="3"/>
    <x v="9"/>
    <s v="Andrew Fuller"/>
  </r>
  <r>
    <n v="10327"/>
    <n v="58"/>
    <n v="10.6"/>
    <n v="30"/>
    <n v="0.2"/>
    <x v="185"/>
    <x v="0"/>
    <x v="3"/>
    <x v="3"/>
    <x v="9"/>
    <s v="Andrew Fuller"/>
  </r>
  <r>
    <n v="10328"/>
    <n v="59"/>
    <n v="44"/>
    <n v="9"/>
    <n v="0"/>
    <x v="186"/>
    <x v="0"/>
    <x v="3"/>
    <x v="0"/>
    <x v="15"/>
    <s v="Margaret Peacock"/>
  </r>
  <r>
    <n v="10328"/>
    <n v="65"/>
    <n v="16.8"/>
    <n v="40"/>
    <n v="0"/>
    <x v="183"/>
    <x v="0"/>
    <x v="3"/>
    <x v="4"/>
    <x v="15"/>
    <s v="Margaret Peacock"/>
  </r>
  <r>
    <n v="10328"/>
    <n v="68"/>
    <n v="10"/>
    <n v="10"/>
    <n v="0"/>
    <x v="187"/>
    <x v="0"/>
    <x v="3"/>
    <x v="5"/>
    <x v="15"/>
    <s v="Margaret Peacock"/>
  </r>
  <r>
    <n v="10329"/>
    <n v="19"/>
    <n v="7.3"/>
    <n v="10"/>
    <n v="0.05"/>
    <x v="188"/>
    <x v="0"/>
    <x v="3"/>
    <x v="5"/>
    <x v="8"/>
    <s v="Margaret Peacock"/>
  </r>
  <r>
    <n v="10329"/>
    <n v="30"/>
    <n v="20.7"/>
    <n v="8"/>
    <n v="0.05"/>
    <x v="189"/>
    <x v="0"/>
    <x v="3"/>
    <x v="3"/>
    <x v="8"/>
    <s v="Margaret Peacock"/>
  </r>
  <r>
    <n v="10329"/>
    <n v="38"/>
    <n v="210.8"/>
    <n v="20"/>
    <n v="0.05"/>
    <x v="190"/>
    <x v="0"/>
    <x v="3"/>
    <x v="6"/>
    <x v="8"/>
    <s v="Margaret Peacock"/>
  </r>
  <r>
    <n v="10329"/>
    <n v="56"/>
    <n v="30.4"/>
    <n v="12"/>
    <n v="0.05"/>
    <x v="50"/>
    <x v="0"/>
    <x v="3"/>
    <x v="1"/>
    <x v="8"/>
    <s v="Margaret Peacock"/>
  </r>
  <r>
    <n v="10330"/>
    <n v="26"/>
    <n v="24.9"/>
    <n v="50"/>
    <n v="0.15"/>
    <x v="191"/>
    <x v="0"/>
    <x v="3"/>
    <x v="5"/>
    <x v="5"/>
    <s v="Janet Leverling"/>
  </r>
  <r>
    <n v="10330"/>
    <n v="72"/>
    <n v="27.8"/>
    <n v="25"/>
    <n v="0.15"/>
    <x v="192"/>
    <x v="0"/>
    <x v="3"/>
    <x v="0"/>
    <x v="5"/>
    <s v="Janet Leverling"/>
  </r>
  <r>
    <n v="10331"/>
    <n v="54"/>
    <n v="5.9"/>
    <n v="15"/>
    <n v="0"/>
    <x v="193"/>
    <x v="0"/>
    <x v="3"/>
    <x v="7"/>
    <x v="0"/>
    <s v="Anne Dodsworth"/>
  </r>
  <r>
    <n v="10332"/>
    <n v="18"/>
    <n v="50"/>
    <n v="40"/>
    <n v="0.2"/>
    <x v="194"/>
    <x v="0"/>
    <x v="3"/>
    <x v="3"/>
    <x v="16"/>
    <s v="Janet Leverling"/>
  </r>
  <r>
    <n v="10332"/>
    <n v="42"/>
    <n v="11.2"/>
    <n v="10"/>
    <n v="0.2"/>
    <x v="195"/>
    <x v="0"/>
    <x v="3"/>
    <x v="1"/>
    <x v="16"/>
    <s v="Janet Leverling"/>
  </r>
  <r>
    <n v="10332"/>
    <n v="47"/>
    <n v="7.6"/>
    <n v="16"/>
    <n v="0.2"/>
    <x v="196"/>
    <x v="0"/>
    <x v="3"/>
    <x v="5"/>
    <x v="16"/>
    <s v="Janet Leverling"/>
  </r>
  <r>
    <n v="10333"/>
    <n v="14"/>
    <n v="18.600000000000001"/>
    <n v="10"/>
    <n v="0"/>
    <x v="83"/>
    <x v="0"/>
    <x v="3"/>
    <x v="2"/>
    <x v="10"/>
    <s v="Steven Buchanan"/>
  </r>
  <r>
    <n v="10333"/>
    <n v="21"/>
    <n v="8"/>
    <n v="10"/>
    <n v="0.1"/>
    <x v="197"/>
    <x v="0"/>
    <x v="3"/>
    <x v="5"/>
    <x v="10"/>
    <s v="Steven Buchanan"/>
  </r>
  <r>
    <n v="10333"/>
    <n v="71"/>
    <n v="17.2"/>
    <n v="40"/>
    <n v="0.1"/>
    <x v="198"/>
    <x v="0"/>
    <x v="3"/>
    <x v="0"/>
    <x v="10"/>
    <s v="Steven Buchanan"/>
  </r>
  <r>
    <n v="10334"/>
    <n v="52"/>
    <n v="5.6"/>
    <n v="8"/>
    <n v="0"/>
    <x v="173"/>
    <x v="0"/>
    <x v="3"/>
    <x v="1"/>
    <x v="0"/>
    <s v="Laura Callahan"/>
  </r>
  <r>
    <n v="10334"/>
    <n v="68"/>
    <n v="10"/>
    <n v="10"/>
    <n v="0"/>
    <x v="187"/>
    <x v="0"/>
    <x v="3"/>
    <x v="5"/>
    <x v="0"/>
    <s v="Laura Callahan"/>
  </r>
  <r>
    <n v="10335"/>
    <n v="2"/>
    <n v="15.2"/>
    <n v="7"/>
    <n v="0.2"/>
    <x v="199"/>
    <x v="0"/>
    <x v="3"/>
    <x v="6"/>
    <x v="14"/>
    <s v="Robert King"/>
  </r>
  <r>
    <n v="10335"/>
    <n v="31"/>
    <n v="10"/>
    <n v="25"/>
    <n v="0.2"/>
    <x v="14"/>
    <x v="0"/>
    <x v="3"/>
    <x v="0"/>
    <x v="14"/>
    <s v="Robert King"/>
  </r>
  <r>
    <n v="10335"/>
    <n v="32"/>
    <n v="25.6"/>
    <n v="6"/>
    <n v="0.2"/>
    <x v="30"/>
    <x v="0"/>
    <x v="3"/>
    <x v="0"/>
    <x v="14"/>
    <s v="Robert King"/>
  </r>
  <r>
    <n v="10335"/>
    <n v="51"/>
    <n v="42.4"/>
    <n v="48"/>
    <n v="0.2"/>
    <x v="200"/>
    <x v="0"/>
    <x v="3"/>
    <x v="2"/>
    <x v="14"/>
    <s v="Robert King"/>
  </r>
  <r>
    <n v="10336"/>
    <n v="4"/>
    <n v="17.600000000000001"/>
    <n v="18"/>
    <n v="0.1"/>
    <x v="201"/>
    <x v="0"/>
    <x v="3"/>
    <x v="4"/>
    <x v="15"/>
    <s v="Robert King"/>
  </r>
  <r>
    <n v="10337"/>
    <n v="23"/>
    <n v="7.2"/>
    <n v="40"/>
    <n v="0"/>
    <x v="38"/>
    <x v="0"/>
    <x v="3"/>
    <x v="1"/>
    <x v="1"/>
    <s v="Margaret Peacock"/>
  </r>
  <r>
    <n v="10337"/>
    <n v="26"/>
    <n v="24.9"/>
    <n v="24"/>
    <n v="0"/>
    <x v="202"/>
    <x v="0"/>
    <x v="3"/>
    <x v="5"/>
    <x v="1"/>
    <s v="Margaret Peacock"/>
  </r>
  <r>
    <n v="10337"/>
    <n v="36"/>
    <n v="15.2"/>
    <n v="20"/>
    <n v="0"/>
    <x v="19"/>
    <x v="0"/>
    <x v="3"/>
    <x v="3"/>
    <x v="1"/>
    <s v="Margaret Peacock"/>
  </r>
  <r>
    <n v="10337"/>
    <n v="37"/>
    <n v="20.8"/>
    <n v="28"/>
    <n v="0"/>
    <x v="203"/>
    <x v="0"/>
    <x v="3"/>
    <x v="3"/>
    <x v="1"/>
    <s v="Margaret Peacock"/>
  </r>
  <r>
    <n v="10337"/>
    <n v="72"/>
    <n v="27.8"/>
    <n v="25"/>
    <n v="0"/>
    <x v="204"/>
    <x v="0"/>
    <x v="3"/>
    <x v="0"/>
    <x v="1"/>
    <s v="Margaret Peacock"/>
  </r>
  <r>
    <n v="10338"/>
    <n v="17"/>
    <n v="31.2"/>
    <n v="20"/>
    <n v="0"/>
    <x v="205"/>
    <x v="0"/>
    <x v="3"/>
    <x v="7"/>
    <x v="8"/>
    <s v="Margaret Peacock"/>
  </r>
  <r>
    <n v="10338"/>
    <n v="30"/>
    <n v="20.7"/>
    <n v="15"/>
    <n v="0"/>
    <x v="206"/>
    <x v="0"/>
    <x v="3"/>
    <x v="3"/>
    <x v="8"/>
    <s v="Margaret Peacock"/>
  </r>
  <r>
    <n v="10339"/>
    <n v="4"/>
    <n v="17.600000000000001"/>
    <n v="10"/>
    <n v="0"/>
    <x v="207"/>
    <x v="0"/>
    <x v="3"/>
    <x v="4"/>
    <x v="16"/>
    <s v="Andrew Fuller"/>
  </r>
  <r>
    <n v="10339"/>
    <n v="17"/>
    <n v="31.2"/>
    <n v="70"/>
    <n v="0.05"/>
    <x v="208"/>
    <x v="0"/>
    <x v="3"/>
    <x v="7"/>
    <x v="16"/>
    <s v="Andrew Fuller"/>
  </r>
  <r>
    <n v="10339"/>
    <n v="62"/>
    <n v="39.4"/>
    <n v="28"/>
    <n v="0"/>
    <x v="209"/>
    <x v="0"/>
    <x v="3"/>
    <x v="5"/>
    <x v="16"/>
    <s v="Andrew Fuller"/>
  </r>
  <r>
    <n v="10340"/>
    <n v="18"/>
    <n v="50"/>
    <n v="20"/>
    <n v="0.05"/>
    <x v="210"/>
    <x v="0"/>
    <x v="3"/>
    <x v="3"/>
    <x v="0"/>
    <s v="Nancy Davolio"/>
  </r>
  <r>
    <n v="10340"/>
    <n v="41"/>
    <n v="7.7"/>
    <n v="12"/>
    <n v="0.05"/>
    <x v="211"/>
    <x v="0"/>
    <x v="3"/>
    <x v="3"/>
    <x v="0"/>
    <s v="Nancy Davolio"/>
  </r>
  <r>
    <n v="10340"/>
    <n v="43"/>
    <n v="36.799999999999997"/>
    <n v="40"/>
    <n v="0.05"/>
    <x v="212"/>
    <x v="0"/>
    <x v="3"/>
    <x v="6"/>
    <x v="0"/>
    <s v="Nancy Davolio"/>
  </r>
  <r>
    <n v="10341"/>
    <n v="33"/>
    <n v="2"/>
    <n v="8"/>
    <n v="0"/>
    <x v="213"/>
    <x v="0"/>
    <x v="3"/>
    <x v="0"/>
    <x v="17"/>
    <s v="Robert King"/>
  </r>
  <r>
    <n v="10341"/>
    <n v="59"/>
    <n v="44"/>
    <n v="9"/>
    <n v="0.15"/>
    <x v="214"/>
    <x v="0"/>
    <x v="3"/>
    <x v="0"/>
    <x v="17"/>
    <s v="Robert King"/>
  </r>
  <r>
    <n v="10342"/>
    <n v="2"/>
    <n v="15.2"/>
    <n v="24"/>
    <n v="0.2"/>
    <x v="215"/>
    <x v="0"/>
    <x v="3"/>
    <x v="6"/>
    <x v="1"/>
    <s v="Margaret Peacock"/>
  </r>
  <r>
    <n v="10342"/>
    <n v="31"/>
    <n v="10"/>
    <n v="56"/>
    <n v="0.2"/>
    <x v="216"/>
    <x v="0"/>
    <x v="3"/>
    <x v="0"/>
    <x v="1"/>
    <s v="Margaret Peacock"/>
  </r>
  <r>
    <n v="10342"/>
    <n v="36"/>
    <n v="15.2"/>
    <n v="40"/>
    <n v="0.2"/>
    <x v="217"/>
    <x v="0"/>
    <x v="3"/>
    <x v="3"/>
    <x v="1"/>
    <s v="Margaret Peacock"/>
  </r>
  <r>
    <n v="10342"/>
    <n v="55"/>
    <n v="19.2"/>
    <n v="40"/>
    <n v="0.2"/>
    <x v="218"/>
    <x v="0"/>
    <x v="3"/>
    <x v="7"/>
    <x v="1"/>
    <s v="Margaret Peacock"/>
  </r>
  <r>
    <n v="10343"/>
    <n v="64"/>
    <n v="26.6"/>
    <n v="50"/>
    <n v="0"/>
    <x v="219"/>
    <x v="0"/>
    <x v="3"/>
    <x v="1"/>
    <x v="1"/>
    <s v="Margaret Peacock"/>
  </r>
  <r>
    <n v="10343"/>
    <n v="68"/>
    <n v="10"/>
    <n v="4"/>
    <n v="0.05"/>
    <x v="220"/>
    <x v="0"/>
    <x v="3"/>
    <x v="5"/>
    <x v="1"/>
    <s v="Margaret Peacock"/>
  </r>
  <r>
    <n v="10343"/>
    <n v="76"/>
    <n v="14.4"/>
    <n v="15"/>
    <n v="0"/>
    <x v="45"/>
    <x v="0"/>
    <x v="3"/>
    <x v="6"/>
    <x v="1"/>
    <s v="Margaret Peacock"/>
  </r>
  <r>
    <n v="10344"/>
    <n v="4"/>
    <n v="17.600000000000001"/>
    <n v="35"/>
    <n v="0"/>
    <x v="221"/>
    <x v="0"/>
    <x v="4"/>
    <x v="4"/>
    <x v="8"/>
    <s v="Margaret Peacock"/>
  </r>
  <r>
    <n v="10344"/>
    <n v="8"/>
    <n v="32"/>
    <n v="70"/>
    <n v="0.25"/>
    <x v="222"/>
    <x v="0"/>
    <x v="4"/>
    <x v="4"/>
    <x v="8"/>
    <s v="Margaret Peacock"/>
  </r>
  <r>
    <n v="10345"/>
    <n v="8"/>
    <n v="32"/>
    <n v="70"/>
    <n v="0"/>
    <x v="223"/>
    <x v="0"/>
    <x v="4"/>
    <x v="4"/>
    <x v="1"/>
    <s v="Andrew Fuller"/>
  </r>
  <r>
    <n v="10345"/>
    <n v="19"/>
    <n v="7.3"/>
    <n v="80"/>
    <n v="0"/>
    <x v="224"/>
    <x v="0"/>
    <x v="4"/>
    <x v="5"/>
    <x v="1"/>
    <s v="Andrew Fuller"/>
  </r>
  <r>
    <n v="10345"/>
    <n v="42"/>
    <n v="11.2"/>
    <n v="9"/>
    <n v="0"/>
    <x v="43"/>
    <x v="0"/>
    <x v="4"/>
    <x v="1"/>
    <x v="1"/>
    <s v="Andrew Fuller"/>
  </r>
  <r>
    <n v="10346"/>
    <n v="17"/>
    <n v="31.2"/>
    <n v="36"/>
    <n v="0.1"/>
    <x v="225"/>
    <x v="0"/>
    <x v="4"/>
    <x v="7"/>
    <x v="8"/>
    <s v="Janet Leverling"/>
  </r>
  <r>
    <n v="10346"/>
    <n v="56"/>
    <n v="30.4"/>
    <n v="20"/>
    <n v="0"/>
    <x v="28"/>
    <x v="0"/>
    <x v="4"/>
    <x v="1"/>
    <x v="8"/>
    <s v="Janet Leverling"/>
  </r>
  <r>
    <n v="10347"/>
    <n v="25"/>
    <n v="11.2"/>
    <n v="10"/>
    <n v="0"/>
    <x v="172"/>
    <x v="0"/>
    <x v="4"/>
    <x v="5"/>
    <x v="2"/>
    <s v="Margaret Peacock"/>
  </r>
  <r>
    <n v="10347"/>
    <n v="39"/>
    <n v="14.4"/>
    <n v="50"/>
    <n v="0.15"/>
    <x v="226"/>
    <x v="0"/>
    <x v="4"/>
    <x v="6"/>
    <x v="2"/>
    <s v="Margaret Peacock"/>
  </r>
  <r>
    <n v="10347"/>
    <n v="40"/>
    <n v="14.7"/>
    <n v="4"/>
    <n v="0"/>
    <x v="227"/>
    <x v="0"/>
    <x v="4"/>
    <x v="3"/>
    <x v="2"/>
    <s v="Margaret Peacock"/>
  </r>
  <r>
    <n v="10347"/>
    <n v="75"/>
    <n v="6.2"/>
    <n v="6"/>
    <n v="0.15"/>
    <x v="228"/>
    <x v="0"/>
    <x v="4"/>
    <x v="6"/>
    <x v="2"/>
    <s v="Margaret Peacock"/>
  </r>
  <r>
    <n v="10348"/>
    <n v="1"/>
    <n v="14.4"/>
    <n v="15"/>
    <n v="0.15"/>
    <x v="53"/>
    <x v="0"/>
    <x v="4"/>
    <x v="6"/>
    <x v="1"/>
    <s v="Margaret Peacock"/>
  </r>
  <r>
    <n v="10348"/>
    <n v="23"/>
    <n v="7.2"/>
    <n v="25"/>
    <n v="0"/>
    <x v="229"/>
    <x v="0"/>
    <x v="4"/>
    <x v="1"/>
    <x v="1"/>
    <s v="Margaret Peacock"/>
  </r>
  <r>
    <n v="10349"/>
    <n v="54"/>
    <n v="5.9"/>
    <n v="24"/>
    <n v="0"/>
    <x v="230"/>
    <x v="0"/>
    <x v="4"/>
    <x v="7"/>
    <x v="8"/>
    <s v="Robert King"/>
  </r>
  <r>
    <n v="10350"/>
    <n v="50"/>
    <n v="13"/>
    <n v="15"/>
    <n v="0.1"/>
    <x v="115"/>
    <x v="0"/>
    <x v="4"/>
    <x v="5"/>
    <x v="0"/>
    <s v="Michael Suyama"/>
  </r>
  <r>
    <n v="10350"/>
    <n v="69"/>
    <n v="28.8"/>
    <n v="18"/>
    <n v="0.1"/>
    <x v="231"/>
    <x v="0"/>
    <x v="4"/>
    <x v="0"/>
    <x v="0"/>
    <s v="Michael Suyama"/>
  </r>
  <r>
    <n v="10351"/>
    <n v="38"/>
    <n v="210.8"/>
    <n v="20"/>
    <n v="0.05"/>
    <x v="190"/>
    <x v="0"/>
    <x v="4"/>
    <x v="6"/>
    <x v="6"/>
    <s v="Nancy Davolio"/>
  </r>
  <r>
    <n v="10351"/>
    <n v="41"/>
    <n v="7.7"/>
    <n v="13"/>
    <n v="0"/>
    <x v="232"/>
    <x v="0"/>
    <x v="4"/>
    <x v="3"/>
    <x v="6"/>
    <s v="Nancy Davolio"/>
  </r>
  <r>
    <n v="10351"/>
    <n v="44"/>
    <n v="15.5"/>
    <n v="77"/>
    <n v="0.05"/>
    <x v="233"/>
    <x v="0"/>
    <x v="4"/>
    <x v="4"/>
    <x v="6"/>
    <s v="Nancy Davolio"/>
  </r>
  <r>
    <n v="10351"/>
    <n v="65"/>
    <n v="16.8"/>
    <n v="10"/>
    <n v="0.05"/>
    <x v="234"/>
    <x v="0"/>
    <x v="4"/>
    <x v="4"/>
    <x v="6"/>
    <s v="Nancy Davolio"/>
  </r>
  <r>
    <n v="10352"/>
    <n v="24"/>
    <n v="3.6"/>
    <n v="10"/>
    <n v="0"/>
    <x v="114"/>
    <x v="0"/>
    <x v="4"/>
    <x v="6"/>
    <x v="15"/>
    <s v="Janet Leverling"/>
  </r>
  <r>
    <n v="10352"/>
    <n v="54"/>
    <n v="5.9"/>
    <n v="20"/>
    <n v="0.15"/>
    <x v="235"/>
    <x v="0"/>
    <x v="4"/>
    <x v="7"/>
    <x v="15"/>
    <s v="Janet Leverling"/>
  </r>
  <r>
    <n v="10353"/>
    <n v="11"/>
    <n v="16.8"/>
    <n v="12"/>
    <n v="0.2"/>
    <x v="236"/>
    <x v="0"/>
    <x v="4"/>
    <x v="0"/>
    <x v="6"/>
    <s v="Robert King"/>
  </r>
  <r>
    <n v="10353"/>
    <n v="38"/>
    <n v="210.8"/>
    <n v="50"/>
    <n v="0.2"/>
    <x v="237"/>
    <x v="0"/>
    <x v="4"/>
    <x v="6"/>
    <x v="6"/>
    <s v="Robert King"/>
  </r>
  <r>
    <n v="10354"/>
    <n v="1"/>
    <n v="14.4"/>
    <n v="12"/>
    <n v="0"/>
    <x v="238"/>
    <x v="0"/>
    <x v="4"/>
    <x v="6"/>
    <x v="7"/>
    <s v="Laura Callahan"/>
  </r>
  <r>
    <n v="10354"/>
    <n v="29"/>
    <n v="99"/>
    <n v="4"/>
    <n v="0"/>
    <x v="186"/>
    <x v="0"/>
    <x v="4"/>
    <x v="7"/>
    <x v="7"/>
    <s v="Laura Callahan"/>
  </r>
  <r>
    <n v="10355"/>
    <n v="24"/>
    <n v="3.6"/>
    <n v="25"/>
    <n v="0"/>
    <x v="239"/>
    <x v="0"/>
    <x v="4"/>
    <x v="6"/>
    <x v="13"/>
    <s v="Michael Suyama"/>
  </r>
  <r>
    <n v="10355"/>
    <n v="57"/>
    <n v="15.6"/>
    <n v="25"/>
    <n v="0"/>
    <x v="240"/>
    <x v="0"/>
    <x v="4"/>
    <x v="1"/>
    <x v="13"/>
    <s v="Michael Suyama"/>
  </r>
  <r>
    <n v="10356"/>
    <n v="31"/>
    <n v="10"/>
    <n v="30"/>
    <n v="0"/>
    <x v="79"/>
    <x v="0"/>
    <x v="4"/>
    <x v="0"/>
    <x v="1"/>
    <s v="Michael Suyama"/>
  </r>
  <r>
    <n v="10356"/>
    <n v="55"/>
    <n v="19.2"/>
    <n v="12"/>
    <n v="0"/>
    <x v="241"/>
    <x v="0"/>
    <x v="4"/>
    <x v="7"/>
    <x v="1"/>
    <s v="Michael Suyama"/>
  </r>
  <r>
    <n v="10356"/>
    <n v="69"/>
    <n v="28.8"/>
    <n v="20"/>
    <n v="0"/>
    <x v="242"/>
    <x v="0"/>
    <x v="4"/>
    <x v="0"/>
    <x v="1"/>
    <s v="Michael Suyama"/>
  </r>
  <r>
    <n v="10357"/>
    <n v="10"/>
    <n v="24.8"/>
    <n v="30"/>
    <n v="0.2"/>
    <x v="243"/>
    <x v="0"/>
    <x v="4"/>
    <x v="3"/>
    <x v="5"/>
    <s v="Nancy Davolio"/>
  </r>
  <r>
    <n v="10357"/>
    <n v="26"/>
    <n v="24.9"/>
    <n v="16"/>
    <n v="0"/>
    <x v="244"/>
    <x v="0"/>
    <x v="4"/>
    <x v="5"/>
    <x v="5"/>
    <s v="Nancy Davolio"/>
  </r>
  <r>
    <n v="10357"/>
    <n v="60"/>
    <n v="27.2"/>
    <n v="8"/>
    <n v="0.2"/>
    <x v="245"/>
    <x v="0"/>
    <x v="4"/>
    <x v="0"/>
    <x v="5"/>
    <s v="Nancy Davolio"/>
  </r>
  <r>
    <n v="10358"/>
    <n v="24"/>
    <n v="3.6"/>
    <n v="10"/>
    <n v="0.05"/>
    <x v="246"/>
    <x v="0"/>
    <x v="4"/>
    <x v="6"/>
    <x v="0"/>
    <s v="Steven Buchanan"/>
  </r>
  <r>
    <n v="10358"/>
    <n v="34"/>
    <n v="11.2"/>
    <n v="10"/>
    <n v="0.05"/>
    <x v="247"/>
    <x v="0"/>
    <x v="4"/>
    <x v="6"/>
    <x v="0"/>
    <s v="Steven Buchanan"/>
  </r>
  <r>
    <n v="10358"/>
    <n v="36"/>
    <n v="15.2"/>
    <n v="20"/>
    <n v="0.05"/>
    <x v="248"/>
    <x v="0"/>
    <x v="4"/>
    <x v="3"/>
    <x v="0"/>
    <s v="Steven Buchanan"/>
  </r>
  <r>
    <n v="10359"/>
    <n v="16"/>
    <n v="13.9"/>
    <n v="56"/>
    <n v="0.05"/>
    <x v="249"/>
    <x v="0"/>
    <x v="4"/>
    <x v="5"/>
    <x v="13"/>
    <s v="Steven Buchanan"/>
  </r>
  <r>
    <n v="10359"/>
    <n v="31"/>
    <n v="10"/>
    <n v="70"/>
    <n v="0.05"/>
    <x v="250"/>
    <x v="0"/>
    <x v="4"/>
    <x v="0"/>
    <x v="13"/>
    <s v="Steven Buchanan"/>
  </r>
  <r>
    <n v="10359"/>
    <n v="60"/>
    <n v="27.2"/>
    <n v="80"/>
    <n v="0.05"/>
    <x v="251"/>
    <x v="0"/>
    <x v="4"/>
    <x v="0"/>
    <x v="13"/>
    <s v="Steven Buchanan"/>
  </r>
  <r>
    <n v="10360"/>
    <n v="28"/>
    <n v="36.4"/>
    <n v="30"/>
    <n v="0"/>
    <x v="252"/>
    <x v="0"/>
    <x v="4"/>
    <x v="2"/>
    <x v="0"/>
    <s v="Margaret Peacock"/>
  </r>
  <r>
    <n v="10360"/>
    <n v="29"/>
    <n v="99"/>
    <n v="35"/>
    <n v="0"/>
    <x v="253"/>
    <x v="0"/>
    <x v="4"/>
    <x v="7"/>
    <x v="0"/>
    <s v="Margaret Peacock"/>
  </r>
  <r>
    <n v="10360"/>
    <n v="38"/>
    <n v="210.8"/>
    <n v="10"/>
    <n v="0"/>
    <x v="254"/>
    <x v="0"/>
    <x v="4"/>
    <x v="6"/>
    <x v="0"/>
    <s v="Margaret Peacock"/>
  </r>
  <r>
    <n v="10360"/>
    <n v="49"/>
    <n v="16"/>
    <n v="35"/>
    <n v="0"/>
    <x v="255"/>
    <x v="0"/>
    <x v="4"/>
    <x v="5"/>
    <x v="0"/>
    <s v="Margaret Peacock"/>
  </r>
  <r>
    <n v="10360"/>
    <n v="54"/>
    <n v="5.9"/>
    <n v="28"/>
    <n v="0"/>
    <x v="256"/>
    <x v="0"/>
    <x v="4"/>
    <x v="7"/>
    <x v="0"/>
    <s v="Margaret Peacock"/>
  </r>
  <r>
    <n v="10361"/>
    <n v="39"/>
    <n v="14.4"/>
    <n v="54"/>
    <n v="0.1"/>
    <x v="257"/>
    <x v="0"/>
    <x v="4"/>
    <x v="6"/>
    <x v="1"/>
    <s v="Nancy Davolio"/>
  </r>
  <r>
    <n v="10361"/>
    <n v="60"/>
    <n v="27.2"/>
    <n v="55"/>
    <n v="0.1"/>
    <x v="258"/>
    <x v="0"/>
    <x v="4"/>
    <x v="0"/>
    <x v="1"/>
    <s v="Nancy Davolio"/>
  </r>
  <r>
    <n v="10362"/>
    <n v="25"/>
    <n v="11.2"/>
    <n v="50"/>
    <n v="0"/>
    <x v="255"/>
    <x v="0"/>
    <x v="4"/>
    <x v="5"/>
    <x v="0"/>
    <s v="Janet Leverling"/>
  </r>
  <r>
    <n v="10362"/>
    <n v="51"/>
    <n v="42.4"/>
    <n v="20"/>
    <n v="0"/>
    <x v="259"/>
    <x v="0"/>
    <x v="4"/>
    <x v="2"/>
    <x v="0"/>
    <s v="Janet Leverling"/>
  </r>
  <r>
    <n v="10362"/>
    <n v="54"/>
    <n v="5.9"/>
    <n v="24"/>
    <n v="0"/>
    <x v="230"/>
    <x v="0"/>
    <x v="4"/>
    <x v="7"/>
    <x v="0"/>
    <s v="Janet Leverling"/>
  </r>
  <r>
    <n v="10363"/>
    <n v="31"/>
    <n v="10"/>
    <n v="20"/>
    <n v="0"/>
    <x v="14"/>
    <x v="0"/>
    <x v="4"/>
    <x v="0"/>
    <x v="1"/>
    <s v="Margaret Peacock"/>
  </r>
  <r>
    <n v="10363"/>
    <n v="75"/>
    <n v="6.2"/>
    <n v="12"/>
    <n v="0"/>
    <x v="260"/>
    <x v="0"/>
    <x v="4"/>
    <x v="6"/>
    <x v="1"/>
    <s v="Margaret Peacock"/>
  </r>
  <r>
    <n v="10363"/>
    <n v="76"/>
    <n v="14.4"/>
    <n v="12"/>
    <n v="0"/>
    <x v="238"/>
    <x v="0"/>
    <x v="4"/>
    <x v="6"/>
    <x v="1"/>
    <s v="Margaret Peacock"/>
  </r>
  <r>
    <n v="10364"/>
    <n v="69"/>
    <n v="28.8"/>
    <n v="30"/>
    <n v="0"/>
    <x v="125"/>
    <x v="0"/>
    <x v="4"/>
    <x v="0"/>
    <x v="13"/>
    <s v="Nancy Davolio"/>
  </r>
  <r>
    <n v="10364"/>
    <n v="71"/>
    <n v="17.2"/>
    <n v="5"/>
    <n v="0"/>
    <x v="261"/>
    <x v="0"/>
    <x v="4"/>
    <x v="0"/>
    <x v="13"/>
    <s v="Nancy Davolio"/>
  </r>
  <r>
    <n v="10365"/>
    <n v="11"/>
    <n v="16.8"/>
    <n v="24"/>
    <n v="0"/>
    <x v="262"/>
    <x v="0"/>
    <x v="4"/>
    <x v="0"/>
    <x v="7"/>
    <s v="Janet Leverling"/>
  </r>
  <r>
    <n v="10366"/>
    <n v="65"/>
    <n v="16.8"/>
    <n v="5"/>
    <n v="0"/>
    <x v="263"/>
    <x v="0"/>
    <x v="4"/>
    <x v="4"/>
    <x v="12"/>
    <s v="Laura Callahan"/>
  </r>
  <r>
    <n v="10366"/>
    <n v="77"/>
    <n v="10.4"/>
    <n v="5"/>
    <n v="0"/>
    <x v="264"/>
    <x v="0"/>
    <x v="4"/>
    <x v="4"/>
    <x v="12"/>
    <s v="Laura Callahan"/>
  </r>
  <r>
    <n v="10367"/>
    <n v="34"/>
    <n v="11.2"/>
    <n v="36"/>
    <n v="0"/>
    <x v="265"/>
    <x v="0"/>
    <x v="4"/>
    <x v="6"/>
    <x v="17"/>
    <s v="Robert King"/>
  </r>
  <r>
    <n v="10367"/>
    <n v="54"/>
    <n v="5.9"/>
    <n v="18"/>
    <n v="0"/>
    <x v="266"/>
    <x v="0"/>
    <x v="4"/>
    <x v="7"/>
    <x v="17"/>
    <s v="Robert King"/>
  </r>
  <r>
    <n v="10367"/>
    <n v="65"/>
    <n v="16.8"/>
    <n v="15"/>
    <n v="0"/>
    <x v="267"/>
    <x v="0"/>
    <x v="4"/>
    <x v="4"/>
    <x v="17"/>
    <s v="Robert King"/>
  </r>
  <r>
    <n v="10367"/>
    <n v="77"/>
    <n v="10.4"/>
    <n v="7"/>
    <n v="0"/>
    <x v="268"/>
    <x v="0"/>
    <x v="4"/>
    <x v="4"/>
    <x v="17"/>
    <s v="Robert King"/>
  </r>
  <r>
    <n v="10368"/>
    <n v="21"/>
    <n v="8"/>
    <n v="5"/>
    <n v="0.1"/>
    <x v="114"/>
    <x v="0"/>
    <x v="4"/>
    <x v="5"/>
    <x v="6"/>
    <s v="Andrew Fuller"/>
  </r>
  <r>
    <n v="10368"/>
    <n v="28"/>
    <n v="36.4"/>
    <n v="13"/>
    <n v="0.1"/>
    <x v="269"/>
    <x v="0"/>
    <x v="4"/>
    <x v="2"/>
    <x v="6"/>
    <s v="Andrew Fuller"/>
  </r>
  <r>
    <n v="10368"/>
    <n v="57"/>
    <n v="15.6"/>
    <n v="25"/>
    <n v="0"/>
    <x v="240"/>
    <x v="0"/>
    <x v="4"/>
    <x v="1"/>
    <x v="6"/>
    <s v="Andrew Fuller"/>
  </r>
  <r>
    <n v="10368"/>
    <n v="64"/>
    <n v="26.6"/>
    <n v="35"/>
    <n v="0.1"/>
    <x v="67"/>
    <x v="0"/>
    <x v="4"/>
    <x v="1"/>
    <x v="6"/>
    <s v="Andrew Fuller"/>
  </r>
  <r>
    <n v="10369"/>
    <n v="29"/>
    <n v="99"/>
    <n v="20"/>
    <n v="0"/>
    <x v="270"/>
    <x v="0"/>
    <x v="5"/>
    <x v="7"/>
    <x v="8"/>
    <s v="Laura Callahan"/>
  </r>
  <r>
    <n v="10369"/>
    <n v="56"/>
    <n v="30.4"/>
    <n v="18"/>
    <n v="0.25"/>
    <x v="271"/>
    <x v="0"/>
    <x v="5"/>
    <x v="1"/>
    <x v="8"/>
    <s v="Laura Callahan"/>
  </r>
  <r>
    <n v="10370"/>
    <n v="1"/>
    <n v="14.4"/>
    <n v="15"/>
    <n v="0.15"/>
    <x v="53"/>
    <x v="0"/>
    <x v="5"/>
    <x v="6"/>
    <x v="4"/>
    <s v="Michael Suyama"/>
  </r>
  <r>
    <n v="10370"/>
    <n v="64"/>
    <n v="26.6"/>
    <n v="30"/>
    <n v="0"/>
    <x v="272"/>
    <x v="0"/>
    <x v="5"/>
    <x v="1"/>
    <x v="4"/>
    <s v="Michael Suyama"/>
  </r>
  <r>
    <n v="10370"/>
    <n v="74"/>
    <n v="8"/>
    <n v="20"/>
    <n v="0.15"/>
    <x v="273"/>
    <x v="0"/>
    <x v="5"/>
    <x v="2"/>
    <x v="4"/>
    <s v="Michael Suyama"/>
  </r>
  <r>
    <n v="10371"/>
    <n v="36"/>
    <n v="15.2"/>
    <n v="6"/>
    <n v="0.2"/>
    <x v="274"/>
    <x v="0"/>
    <x v="5"/>
    <x v="3"/>
    <x v="0"/>
    <s v="Nancy Davolio"/>
  </r>
  <r>
    <n v="10372"/>
    <n v="20"/>
    <n v="64.8"/>
    <n v="12"/>
    <n v="0.25"/>
    <x v="275"/>
    <x v="0"/>
    <x v="5"/>
    <x v="5"/>
    <x v="2"/>
    <s v="Steven Buchanan"/>
  </r>
  <r>
    <n v="10372"/>
    <n v="38"/>
    <n v="210.8"/>
    <n v="40"/>
    <n v="0.25"/>
    <x v="276"/>
    <x v="0"/>
    <x v="5"/>
    <x v="6"/>
    <x v="2"/>
    <s v="Steven Buchanan"/>
  </r>
  <r>
    <n v="10372"/>
    <n v="60"/>
    <n v="27.2"/>
    <n v="70"/>
    <n v="0.25"/>
    <x v="277"/>
    <x v="0"/>
    <x v="5"/>
    <x v="0"/>
    <x v="2"/>
    <s v="Steven Buchanan"/>
  </r>
  <r>
    <n v="10372"/>
    <n v="72"/>
    <n v="27.8"/>
    <n v="42"/>
    <n v="0.25"/>
    <x v="278"/>
    <x v="0"/>
    <x v="5"/>
    <x v="0"/>
    <x v="2"/>
    <s v="Steven Buchanan"/>
  </r>
  <r>
    <n v="10373"/>
    <n v="58"/>
    <n v="10.6"/>
    <n v="80"/>
    <n v="0.2"/>
    <x v="279"/>
    <x v="0"/>
    <x v="5"/>
    <x v="3"/>
    <x v="14"/>
    <s v="Margaret Peacock"/>
  </r>
  <r>
    <n v="10373"/>
    <n v="71"/>
    <n v="17.2"/>
    <n v="50"/>
    <n v="0.2"/>
    <x v="280"/>
    <x v="0"/>
    <x v="5"/>
    <x v="0"/>
    <x v="14"/>
    <s v="Margaret Peacock"/>
  </r>
  <r>
    <n v="10374"/>
    <n v="31"/>
    <n v="10"/>
    <n v="30"/>
    <n v="0"/>
    <x v="79"/>
    <x v="0"/>
    <x v="5"/>
    <x v="0"/>
    <x v="18"/>
    <s v="Nancy Davolio"/>
  </r>
  <r>
    <n v="10374"/>
    <n v="58"/>
    <n v="10.6"/>
    <n v="15"/>
    <n v="0"/>
    <x v="281"/>
    <x v="0"/>
    <x v="5"/>
    <x v="3"/>
    <x v="18"/>
    <s v="Nancy Davolio"/>
  </r>
  <r>
    <n v="10375"/>
    <n v="14"/>
    <n v="18.600000000000001"/>
    <n v="15"/>
    <n v="0"/>
    <x v="282"/>
    <x v="0"/>
    <x v="5"/>
    <x v="2"/>
    <x v="8"/>
    <s v="Janet Leverling"/>
  </r>
  <r>
    <n v="10375"/>
    <n v="54"/>
    <n v="5.9"/>
    <n v="10"/>
    <n v="0"/>
    <x v="283"/>
    <x v="0"/>
    <x v="5"/>
    <x v="7"/>
    <x v="8"/>
    <s v="Janet Leverling"/>
  </r>
  <r>
    <n v="10376"/>
    <n v="31"/>
    <n v="10"/>
    <n v="42"/>
    <n v="0.05"/>
    <x v="284"/>
    <x v="0"/>
    <x v="5"/>
    <x v="0"/>
    <x v="16"/>
    <s v="Nancy Davolio"/>
  </r>
  <r>
    <n v="10377"/>
    <n v="28"/>
    <n v="36.4"/>
    <n v="20"/>
    <n v="0.15"/>
    <x v="285"/>
    <x v="0"/>
    <x v="5"/>
    <x v="2"/>
    <x v="13"/>
    <s v="Nancy Davolio"/>
  </r>
  <r>
    <n v="10377"/>
    <n v="39"/>
    <n v="14.4"/>
    <n v="20"/>
    <n v="0.15"/>
    <x v="286"/>
    <x v="0"/>
    <x v="5"/>
    <x v="6"/>
    <x v="13"/>
    <s v="Nancy Davolio"/>
  </r>
  <r>
    <n v="10378"/>
    <n v="71"/>
    <n v="17.2"/>
    <n v="6"/>
    <n v="0"/>
    <x v="287"/>
    <x v="0"/>
    <x v="5"/>
    <x v="0"/>
    <x v="9"/>
    <s v="Steven Buchanan"/>
  </r>
  <r>
    <n v="10379"/>
    <n v="41"/>
    <n v="7.7"/>
    <n v="8"/>
    <n v="0.1"/>
    <x v="288"/>
    <x v="0"/>
    <x v="5"/>
    <x v="3"/>
    <x v="2"/>
    <s v="Andrew Fuller"/>
  </r>
  <r>
    <n v="10379"/>
    <n v="63"/>
    <n v="35.1"/>
    <n v="16"/>
    <n v="0.1"/>
    <x v="289"/>
    <x v="0"/>
    <x v="5"/>
    <x v="4"/>
    <x v="2"/>
    <s v="Andrew Fuller"/>
  </r>
  <r>
    <n v="10379"/>
    <n v="65"/>
    <n v="16.8"/>
    <n v="20"/>
    <n v="0.1"/>
    <x v="290"/>
    <x v="0"/>
    <x v="5"/>
    <x v="4"/>
    <x v="2"/>
    <s v="Andrew Fuller"/>
  </r>
  <r>
    <n v="10380"/>
    <n v="30"/>
    <n v="20.7"/>
    <n v="18"/>
    <n v="0.1"/>
    <x v="291"/>
    <x v="0"/>
    <x v="5"/>
    <x v="3"/>
    <x v="14"/>
    <s v="Laura Callahan"/>
  </r>
  <r>
    <n v="10380"/>
    <n v="53"/>
    <n v="26.2"/>
    <n v="20"/>
    <n v="0.1"/>
    <x v="292"/>
    <x v="0"/>
    <x v="5"/>
    <x v="7"/>
    <x v="14"/>
    <s v="Laura Callahan"/>
  </r>
  <r>
    <n v="10380"/>
    <n v="60"/>
    <n v="27.2"/>
    <n v="6"/>
    <n v="0.1"/>
    <x v="293"/>
    <x v="0"/>
    <x v="5"/>
    <x v="0"/>
    <x v="14"/>
    <s v="Laura Callahan"/>
  </r>
  <r>
    <n v="10380"/>
    <n v="70"/>
    <n v="12"/>
    <n v="30"/>
    <n v="0"/>
    <x v="40"/>
    <x v="0"/>
    <x v="5"/>
    <x v="6"/>
    <x v="14"/>
    <s v="Laura Callahan"/>
  </r>
  <r>
    <n v="10381"/>
    <n v="74"/>
    <n v="8"/>
    <n v="14"/>
    <n v="0"/>
    <x v="172"/>
    <x v="0"/>
    <x v="5"/>
    <x v="2"/>
    <x v="5"/>
    <s v="Janet Leverling"/>
  </r>
  <r>
    <n v="10382"/>
    <n v="5"/>
    <n v="17"/>
    <n v="32"/>
    <n v="0"/>
    <x v="294"/>
    <x v="0"/>
    <x v="5"/>
    <x v="4"/>
    <x v="6"/>
    <s v="Margaret Peacock"/>
  </r>
  <r>
    <n v="10382"/>
    <n v="18"/>
    <n v="50"/>
    <n v="9"/>
    <n v="0"/>
    <x v="295"/>
    <x v="0"/>
    <x v="5"/>
    <x v="3"/>
    <x v="6"/>
    <s v="Margaret Peacock"/>
  </r>
  <r>
    <n v="10382"/>
    <n v="29"/>
    <n v="99"/>
    <n v="14"/>
    <n v="0"/>
    <x v="296"/>
    <x v="0"/>
    <x v="5"/>
    <x v="7"/>
    <x v="6"/>
    <s v="Margaret Peacock"/>
  </r>
  <r>
    <n v="10382"/>
    <n v="33"/>
    <n v="2"/>
    <n v="60"/>
    <n v="0"/>
    <x v="178"/>
    <x v="0"/>
    <x v="5"/>
    <x v="0"/>
    <x v="6"/>
    <s v="Margaret Peacock"/>
  </r>
  <r>
    <n v="10382"/>
    <n v="74"/>
    <n v="8"/>
    <n v="50"/>
    <n v="0"/>
    <x v="62"/>
    <x v="0"/>
    <x v="5"/>
    <x v="2"/>
    <x v="6"/>
    <s v="Margaret Peacock"/>
  </r>
  <r>
    <n v="10383"/>
    <n v="13"/>
    <n v="4.8"/>
    <n v="20"/>
    <n v="0"/>
    <x v="297"/>
    <x v="0"/>
    <x v="5"/>
    <x v="3"/>
    <x v="13"/>
    <s v="Laura Callahan"/>
  </r>
  <r>
    <n v="10383"/>
    <n v="50"/>
    <n v="13"/>
    <n v="15"/>
    <n v="0"/>
    <x v="298"/>
    <x v="0"/>
    <x v="5"/>
    <x v="5"/>
    <x v="13"/>
    <s v="Laura Callahan"/>
  </r>
  <r>
    <n v="10383"/>
    <n v="56"/>
    <n v="30.4"/>
    <n v="20"/>
    <n v="0"/>
    <x v="28"/>
    <x v="0"/>
    <x v="5"/>
    <x v="1"/>
    <x v="13"/>
    <s v="Laura Callahan"/>
  </r>
  <r>
    <n v="10384"/>
    <n v="20"/>
    <n v="64.8"/>
    <n v="28"/>
    <n v="0"/>
    <x v="299"/>
    <x v="0"/>
    <x v="5"/>
    <x v="5"/>
    <x v="9"/>
    <s v="Janet Leverling"/>
  </r>
  <r>
    <n v="10384"/>
    <n v="60"/>
    <n v="27.2"/>
    <n v="15"/>
    <n v="0"/>
    <x v="94"/>
    <x v="0"/>
    <x v="5"/>
    <x v="0"/>
    <x v="9"/>
    <s v="Janet Leverling"/>
  </r>
  <r>
    <n v="10385"/>
    <n v="7"/>
    <n v="24"/>
    <n v="10"/>
    <n v="0.2"/>
    <x v="300"/>
    <x v="0"/>
    <x v="5"/>
    <x v="2"/>
    <x v="8"/>
    <s v="Nancy Davolio"/>
  </r>
  <r>
    <n v="10385"/>
    <n v="60"/>
    <n v="27.2"/>
    <n v="20"/>
    <n v="0.2"/>
    <x v="301"/>
    <x v="0"/>
    <x v="5"/>
    <x v="0"/>
    <x v="8"/>
    <s v="Nancy Davolio"/>
  </r>
  <r>
    <n v="10385"/>
    <n v="68"/>
    <n v="10"/>
    <n v="8"/>
    <n v="0.2"/>
    <x v="302"/>
    <x v="0"/>
    <x v="5"/>
    <x v="5"/>
    <x v="8"/>
    <s v="Nancy Davolio"/>
  </r>
  <r>
    <n v="10386"/>
    <n v="24"/>
    <n v="3.6"/>
    <n v="15"/>
    <n v="0"/>
    <x v="303"/>
    <x v="0"/>
    <x v="5"/>
    <x v="6"/>
    <x v="2"/>
    <s v="Anne Dodsworth"/>
  </r>
  <r>
    <n v="10386"/>
    <n v="34"/>
    <n v="11.2"/>
    <n v="10"/>
    <n v="0"/>
    <x v="172"/>
    <x v="0"/>
    <x v="5"/>
    <x v="6"/>
    <x v="2"/>
    <s v="Anne Dodsworth"/>
  </r>
  <r>
    <n v="10387"/>
    <n v="24"/>
    <n v="3.6"/>
    <n v="15"/>
    <n v="0"/>
    <x v="303"/>
    <x v="0"/>
    <x v="5"/>
    <x v="6"/>
    <x v="19"/>
    <s v="Nancy Davolio"/>
  </r>
  <r>
    <n v="10387"/>
    <n v="28"/>
    <n v="36.4"/>
    <n v="6"/>
    <n v="0"/>
    <x v="304"/>
    <x v="0"/>
    <x v="5"/>
    <x v="2"/>
    <x v="19"/>
    <s v="Nancy Davolio"/>
  </r>
  <r>
    <n v="10387"/>
    <n v="59"/>
    <n v="44"/>
    <n v="12"/>
    <n v="0"/>
    <x v="305"/>
    <x v="0"/>
    <x v="5"/>
    <x v="0"/>
    <x v="19"/>
    <s v="Nancy Davolio"/>
  </r>
  <r>
    <n v="10387"/>
    <n v="71"/>
    <n v="17.2"/>
    <n v="15"/>
    <n v="0"/>
    <x v="306"/>
    <x v="0"/>
    <x v="5"/>
    <x v="0"/>
    <x v="19"/>
    <s v="Nancy Davolio"/>
  </r>
  <r>
    <n v="10388"/>
    <n v="45"/>
    <n v="7.6"/>
    <n v="15"/>
    <n v="0.2"/>
    <x v="307"/>
    <x v="0"/>
    <x v="5"/>
    <x v="3"/>
    <x v="13"/>
    <s v="Andrew Fuller"/>
  </r>
  <r>
    <n v="10388"/>
    <n v="52"/>
    <n v="5.6"/>
    <n v="20"/>
    <n v="0.2"/>
    <x v="195"/>
    <x v="0"/>
    <x v="5"/>
    <x v="1"/>
    <x v="13"/>
    <s v="Andrew Fuller"/>
  </r>
  <r>
    <n v="10388"/>
    <n v="53"/>
    <n v="26.2"/>
    <n v="40"/>
    <n v="0"/>
    <x v="308"/>
    <x v="0"/>
    <x v="5"/>
    <x v="7"/>
    <x v="13"/>
    <s v="Andrew Fuller"/>
  </r>
  <r>
    <n v="10389"/>
    <n v="10"/>
    <n v="24.8"/>
    <n v="16"/>
    <n v="0"/>
    <x v="309"/>
    <x v="0"/>
    <x v="5"/>
    <x v="3"/>
    <x v="16"/>
    <s v="Margaret Peacock"/>
  </r>
  <r>
    <n v="10389"/>
    <n v="55"/>
    <n v="19.2"/>
    <n v="15"/>
    <n v="0"/>
    <x v="38"/>
    <x v="0"/>
    <x v="5"/>
    <x v="7"/>
    <x v="16"/>
    <s v="Margaret Peacock"/>
  </r>
  <r>
    <n v="10389"/>
    <n v="62"/>
    <n v="39.4"/>
    <n v="20"/>
    <n v="0"/>
    <x v="310"/>
    <x v="0"/>
    <x v="5"/>
    <x v="5"/>
    <x v="16"/>
    <s v="Margaret Peacock"/>
  </r>
  <r>
    <n v="10389"/>
    <n v="70"/>
    <n v="12"/>
    <n v="30"/>
    <n v="0"/>
    <x v="40"/>
    <x v="0"/>
    <x v="5"/>
    <x v="6"/>
    <x v="16"/>
    <s v="Margaret Peacock"/>
  </r>
  <r>
    <n v="10390"/>
    <n v="31"/>
    <n v="10"/>
    <n v="60"/>
    <n v="0.1"/>
    <x v="311"/>
    <x v="0"/>
    <x v="5"/>
    <x v="0"/>
    <x v="6"/>
    <s v="Michael Suyama"/>
  </r>
  <r>
    <n v="10390"/>
    <n v="35"/>
    <n v="14.4"/>
    <n v="40"/>
    <n v="0.1"/>
    <x v="96"/>
    <x v="0"/>
    <x v="5"/>
    <x v="6"/>
    <x v="6"/>
    <s v="Michael Suyama"/>
  </r>
  <r>
    <n v="10390"/>
    <n v="46"/>
    <n v="9.6"/>
    <n v="45"/>
    <n v="0"/>
    <x v="124"/>
    <x v="0"/>
    <x v="5"/>
    <x v="3"/>
    <x v="6"/>
    <s v="Michael Suyama"/>
  </r>
  <r>
    <n v="10390"/>
    <n v="72"/>
    <n v="27.8"/>
    <n v="24"/>
    <n v="0.1"/>
    <x v="312"/>
    <x v="0"/>
    <x v="5"/>
    <x v="0"/>
    <x v="6"/>
    <s v="Michael Suyama"/>
  </r>
  <r>
    <n v="10391"/>
    <n v="13"/>
    <n v="4.8"/>
    <n v="18"/>
    <n v="0"/>
    <x v="313"/>
    <x v="0"/>
    <x v="5"/>
    <x v="3"/>
    <x v="1"/>
    <s v="Janet Leverling"/>
  </r>
  <r>
    <n v="10392"/>
    <n v="69"/>
    <n v="28.8"/>
    <n v="50"/>
    <n v="0"/>
    <x v="99"/>
    <x v="0"/>
    <x v="5"/>
    <x v="0"/>
    <x v="6"/>
    <s v="Andrew Fuller"/>
  </r>
  <r>
    <n v="10393"/>
    <n v="2"/>
    <n v="15.2"/>
    <n v="25"/>
    <n v="0.25"/>
    <x v="314"/>
    <x v="0"/>
    <x v="5"/>
    <x v="6"/>
    <x v="8"/>
    <s v="Nancy Davolio"/>
  </r>
  <r>
    <n v="10393"/>
    <n v="14"/>
    <n v="18.600000000000001"/>
    <n v="42"/>
    <n v="0.25"/>
    <x v="315"/>
    <x v="0"/>
    <x v="5"/>
    <x v="2"/>
    <x v="8"/>
    <s v="Nancy Davolio"/>
  </r>
  <r>
    <n v="10393"/>
    <n v="25"/>
    <n v="11.2"/>
    <n v="7"/>
    <n v="0.25"/>
    <x v="227"/>
    <x v="0"/>
    <x v="5"/>
    <x v="5"/>
    <x v="8"/>
    <s v="Nancy Davolio"/>
  </r>
  <r>
    <n v="10393"/>
    <n v="26"/>
    <n v="24.9"/>
    <n v="70"/>
    <n v="0.25"/>
    <x v="316"/>
    <x v="0"/>
    <x v="5"/>
    <x v="5"/>
    <x v="8"/>
    <s v="Nancy Davolio"/>
  </r>
  <r>
    <n v="10393"/>
    <n v="31"/>
    <n v="10"/>
    <n v="32"/>
    <n v="0"/>
    <x v="317"/>
    <x v="0"/>
    <x v="5"/>
    <x v="0"/>
    <x v="8"/>
    <s v="Nancy Davolio"/>
  </r>
  <r>
    <n v="10394"/>
    <n v="13"/>
    <n v="4.8"/>
    <n v="10"/>
    <n v="0"/>
    <x v="60"/>
    <x v="0"/>
    <x v="5"/>
    <x v="3"/>
    <x v="8"/>
    <s v="Nancy Davolio"/>
  </r>
  <r>
    <n v="10394"/>
    <n v="62"/>
    <n v="39.4"/>
    <n v="10"/>
    <n v="0"/>
    <x v="145"/>
    <x v="0"/>
    <x v="5"/>
    <x v="5"/>
    <x v="8"/>
    <s v="Nancy Davolio"/>
  </r>
  <r>
    <n v="10395"/>
    <n v="46"/>
    <n v="9.6"/>
    <n v="28"/>
    <n v="0.1"/>
    <x v="318"/>
    <x v="0"/>
    <x v="5"/>
    <x v="3"/>
    <x v="5"/>
    <s v="Michael Suyama"/>
  </r>
  <r>
    <n v="10395"/>
    <n v="53"/>
    <n v="26.2"/>
    <n v="70"/>
    <n v="0.1"/>
    <x v="319"/>
    <x v="0"/>
    <x v="5"/>
    <x v="7"/>
    <x v="5"/>
    <s v="Michael Suyama"/>
  </r>
  <r>
    <n v="10395"/>
    <n v="69"/>
    <n v="28.8"/>
    <n v="8"/>
    <n v="0"/>
    <x v="320"/>
    <x v="0"/>
    <x v="5"/>
    <x v="0"/>
    <x v="5"/>
    <s v="Michael Suyama"/>
  </r>
  <r>
    <n v="10396"/>
    <n v="23"/>
    <n v="7.2"/>
    <n v="40"/>
    <n v="0"/>
    <x v="38"/>
    <x v="0"/>
    <x v="5"/>
    <x v="1"/>
    <x v="1"/>
    <s v="Nancy Davolio"/>
  </r>
  <r>
    <n v="10396"/>
    <n v="71"/>
    <n v="17.2"/>
    <n v="60"/>
    <n v="0"/>
    <x v="321"/>
    <x v="0"/>
    <x v="5"/>
    <x v="0"/>
    <x v="1"/>
    <s v="Nancy Davolio"/>
  </r>
  <r>
    <n v="10396"/>
    <n v="72"/>
    <n v="27.8"/>
    <n v="21"/>
    <n v="0"/>
    <x v="322"/>
    <x v="0"/>
    <x v="5"/>
    <x v="0"/>
    <x v="1"/>
    <s v="Nancy Davolio"/>
  </r>
  <r>
    <n v="10397"/>
    <n v="21"/>
    <n v="8"/>
    <n v="10"/>
    <n v="0.15"/>
    <x v="323"/>
    <x v="0"/>
    <x v="5"/>
    <x v="5"/>
    <x v="15"/>
    <s v="Steven Buchanan"/>
  </r>
  <r>
    <n v="10397"/>
    <n v="51"/>
    <n v="42.4"/>
    <n v="18"/>
    <n v="0.15"/>
    <x v="324"/>
    <x v="0"/>
    <x v="5"/>
    <x v="2"/>
    <x v="15"/>
    <s v="Steven Buchanan"/>
  </r>
  <r>
    <n v="10398"/>
    <n v="35"/>
    <n v="14.4"/>
    <n v="30"/>
    <n v="0"/>
    <x v="124"/>
    <x v="0"/>
    <x v="5"/>
    <x v="6"/>
    <x v="8"/>
    <s v="Andrew Fuller"/>
  </r>
  <r>
    <n v="10398"/>
    <n v="55"/>
    <n v="19.2"/>
    <n v="120"/>
    <n v="0.1"/>
    <x v="325"/>
    <x v="0"/>
    <x v="5"/>
    <x v="7"/>
    <x v="8"/>
    <s v="Andrew Fuller"/>
  </r>
  <r>
    <n v="10399"/>
    <n v="68"/>
    <n v="10"/>
    <n v="60"/>
    <n v="0"/>
    <x v="113"/>
    <x v="0"/>
    <x v="5"/>
    <x v="5"/>
    <x v="17"/>
    <s v="Laura Callahan"/>
  </r>
  <r>
    <n v="10399"/>
    <n v="71"/>
    <n v="17.2"/>
    <n v="30"/>
    <n v="0"/>
    <x v="170"/>
    <x v="0"/>
    <x v="5"/>
    <x v="0"/>
    <x v="17"/>
    <s v="Laura Callahan"/>
  </r>
  <r>
    <n v="10399"/>
    <n v="76"/>
    <n v="14.4"/>
    <n v="35"/>
    <n v="0"/>
    <x v="326"/>
    <x v="0"/>
    <x v="5"/>
    <x v="6"/>
    <x v="17"/>
    <s v="Laura Callahan"/>
  </r>
  <r>
    <n v="10399"/>
    <n v="77"/>
    <n v="10.4"/>
    <n v="14"/>
    <n v="0"/>
    <x v="157"/>
    <x v="0"/>
    <x v="5"/>
    <x v="4"/>
    <x v="17"/>
    <s v="Laura Callahan"/>
  </r>
  <r>
    <n v="10400"/>
    <n v="29"/>
    <n v="99"/>
    <n v="21"/>
    <n v="0"/>
    <x v="327"/>
    <x v="1"/>
    <x v="6"/>
    <x v="7"/>
    <x v="13"/>
    <s v="Nancy Davolio"/>
  </r>
  <r>
    <n v="10400"/>
    <n v="35"/>
    <n v="14.4"/>
    <n v="35"/>
    <n v="0"/>
    <x v="326"/>
    <x v="1"/>
    <x v="6"/>
    <x v="6"/>
    <x v="13"/>
    <s v="Nancy Davolio"/>
  </r>
  <r>
    <n v="10400"/>
    <n v="49"/>
    <n v="16"/>
    <n v="30"/>
    <n v="0"/>
    <x v="136"/>
    <x v="1"/>
    <x v="6"/>
    <x v="5"/>
    <x v="13"/>
    <s v="Nancy Davolio"/>
  </r>
  <r>
    <n v="10401"/>
    <n v="30"/>
    <n v="20.7"/>
    <n v="18"/>
    <n v="0"/>
    <x v="328"/>
    <x v="1"/>
    <x v="6"/>
    <x v="3"/>
    <x v="8"/>
    <s v="Nancy Davolio"/>
  </r>
  <r>
    <n v="10401"/>
    <n v="56"/>
    <n v="30.4"/>
    <n v="70"/>
    <n v="0"/>
    <x v="329"/>
    <x v="1"/>
    <x v="6"/>
    <x v="1"/>
    <x v="8"/>
    <s v="Nancy Davolio"/>
  </r>
  <r>
    <n v="10401"/>
    <n v="65"/>
    <n v="16.8"/>
    <n v="20"/>
    <n v="0"/>
    <x v="10"/>
    <x v="1"/>
    <x v="6"/>
    <x v="4"/>
    <x v="8"/>
    <s v="Nancy Davolio"/>
  </r>
  <r>
    <n v="10401"/>
    <n v="71"/>
    <n v="17.2"/>
    <n v="60"/>
    <n v="0"/>
    <x v="321"/>
    <x v="1"/>
    <x v="6"/>
    <x v="0"/>
    <x v="8"/>
    <s v="Nancy Davolio"/>
  </r>
  <r>
    <n v="10402"/>
    <n v="23"/>
    <n v="7.2"/>
    <n v="60"/>
    <n v="0"/>
    <x v="124"/>
    <x v="1"/>
    <x v="6"/>
    <x v="1"/>
    <x v="6"/>
    <s v="Laura Callahan"/>
  </r>
  <r>
    <n v="10402"/>
    <n v="63"/>
    <n v="35.1"/>
    <n v="65"/>
    <n v="0"/>
    <x v="330"/>
    <x v="1"/>
    <x v="6"/>
    <x v="4"/>
    <x v="6"/>
    <s v="Laura Callahan"/>
  </r>
  <r>
    <n v="10403"/>
    <n v="16"/>
    <n v="13.9"/>
    <n v="21"/>
    <n v="0.15"/>
    <x v="174"/>
    <x v="1"/>
    <x v="6"/>
    <x v="5"/>
    <x v="6"/>
    <s v="Margaret Peacock"/>
  </r>
  <r>
    <n v="10403"/>
    <n v="48"/>
    <n v="10.199999999999999"/>
    <n v="70"/>
    <n v="0.15"/>
    <x v="331"/>
    <x v="1"/>
    <x v="6"/>
    <x v="5"/>
    <x v="6"/>
    <s v="Margaret Peacock"/>
  </r>
  <r>
    <n v="10404"/>
    <n v="26"/>
    <n v="24.9"/>
    <n v="30"/>
    <n v="0.05"/>
    <x v="332"/>
    <x v="1"/>
    <x v="6"/>
    <x v="5"/>
    <x v="11"/>
    <s v="Andrew Fuller"/>
  </r>
  <r>
    <n v="10404"/>
    <n v="42"/>
    <n v="11.2"/>
    <n v="40"/>
    <n v="0.05"/>
    <x v="333"/>
    <x v="1"/>
    <x v="6"/>
    <x v="1"/>
    <x v="11"/>
    <s v="Andrew Fuller"/>
  </r>
  <r>
    <n v="10404"/>
    <n v="49"/>
    <n v="16"/>
    <n v="30"/>
    <n v="0.05"/>
    <x v="58"/>
    <x v="1"/>
    <x v="6"/>
    <x v="5"/>
    <x v="11"/>
    <s v="Andrew Fuller"/>
  </r>
  <r>
    <n v="10405"/>
    <n v="3"/>
    <n v="8"/>
    <n v="50"/>
    <n v="0"/>
    <x v="62"/>
    <x v="1"/>
    <x v="6"/>
    <x v="4"/>
    <x v="5"/>
    <s v="Nancy Davolio"/>
  </r>
  <r>
    <n v="10406"/>
    <n v="1"/>
    <n v="14.4"/>
    <n v="10"/>
    <n v="0"/>
    <x v="171"/>
    <x v="1"/>
    <x v="6"/>
    <x v="6"/>
    <x v="2"/>
    <s v="Robert King"/>
  </r>
  <r>
    <n v="10406"/>
    <n v="21"/>
    <n v="8"/>
    <n v="30"/>
    <n v="0.1"/>
    <x v="45"/>
    <x v="1"/>
    <x v="6"/>
    <x v="5"/>
    <x v="2"/>
    <s v="Robert King"/>
  </r>
  <r>
    <n v="10406"/>
    <n v="28"/>
    <n v="36.4"/>
    <n v="42"/>
    <n v="0.1"/>
    <x v="334"/>
    <x v="1"/>
    <x v="6"/>
    <x v="2"/>
    <x v="2"/>
    <s v="Robert King"/>
  </r>
  <r>
    <n v="10406"/>
    <n v="36"/>
    <n v="15.2"/>
    <n v="5"/>
    <n v="0.1"/>
    <x v="335"/>
    <x v="1"/>
    <x v="6"/>
    <x v="3"/>
    <x v="2"/>
    <s v="Robert King"/>
  </r>
  <r>
    <n v="10406"/>
    <n v="40"/>
    <n v="14.7"/>
    <n v="2"/>
    <n v="0.1"/>
    <x v="336"/>
    <x v="1"/>
    <x v="6"/>
    <x v="3"/>
    <x v="2"/>
    <s v="Robert King"/>
  </r>
  <r>
    <n v="10407"/>
    <n v="11"/>
    <n v="16.8"/>
    <n v="30"/>
    <n v="0"/>
    <x v="326"/>
    <x v="1"/>
    <x v="6"/>
    <x v="0"/>
    <x v="1"/>
    <s v="Andrew Fuller"/>
  </r>
  <r>
    <n v="10407"/>
    <n v="69"/>
    <n v="28.8"/>
    <n v="15"/>
    <n v="0"/>
    <x v="124"/>
    <x v="1"/>
    <x v="6"/>
    <x v="0"/>
    <x v="1"/>
    <s v="Andrew Fuller"/>
  </r>
  <r>
    <n v="10407"/>
    <n v="71"/>
    <n v="17.2"/>
    <n v="15"/>
    <n v="0"/>
    <x v="306"/>
    <x v="1"/>
    <x v="6"/>
    <x v="0"/>
    <x v="1"/>
    <s v="Andrew Fuller"/>
  </r>
  <r>
    <n v="10408"/>
    <n v="37"/>
    <n v="20.8"/>
    <n v="10"/>
    <n v="0"/>
    <x v="337"/>
    <x v="1"/>
    <x v="6"/>
    <x v="3"/>
    <x v="0"/>
    <s v="Laura Callahan"/>
  </r>
  <r>
    <n v="10408"/>
    <n v="54"/>
    <n v="5.9"/>
    <n v="6"/>
    <n v="0"/>
    <x v="338"/>
    <x v="1"/>
    <x v="6"/>
    <x v="7"/>
    <x v="0"/>
    <s v="Laura Callahan"/>
  </r>
  <r>
    <n v="10408"/>
    <n v="62"/>
    <n v="39.4"/>
    <n v="35"/>
    <n v="0"/>
    <x v="339"/>
    <x v="1"/>
    <x v="6"/>
    <x v="5"/>
    <x v="0"/>
    <s v="Laura Callahan"/>
  </r>
  <r>
    <n v="10409"/>
    <n v="14"/>
    <n v="18.600000000000001"/>
    <n v="12"/>
    <n v="0"/>
    <x v="340"/>
    <x v="1"/>
    <x v="6"/>
    <x v="2"/>
    <x v="20"/>
    <s v="Janet Leverling"/>
  </r>
  <r>
    <n v="10409"/>
    <n v="21"/>
    <n v="8"/>
    <n v="12"/>
    <n v="0"/>
    <x v="297"/>
    <x v="1"/>
    <x v="6"/>
    <x v="5"/>
    <x v="20"/>
    <s v="Janet Leverling"/>
  </r>
  <r>
    <n v="10410"/>
    <n v="33"/>
    <n v="2"/>
    <n v="49"/>
    <n v="0"/>
    <x v="1"/>
    <x v="1"/>
    <x v="6"/>
    <x v="0"/>
    <x v="16"/>
    <s v="Janet Leverling"/>
  </r>
  <r>
    <n v="10410"/>
    <n v="59"/>
    <n v="44"/>
    <n v="16"/>
    <n v="0"/>
    <x v="341"/>
    <x v="1"/>
    <x v="6"/>
    <x v="0"/>
    <x v="16"/>
    <s v="Janet Leverling"/>
  </r>
  <r>
    <n v="10411"/>
    <n v="41"/>
    <n v="7.7"/>
    <n v="25"/>
    <n v="0.2"/>
    <x v="167"/>
    <x v="1"/>
    <x v="6"/>
    <x v="3"/>
    <x v="16"/>
    <s v="Anne Dodsworth"/>
  </r>
  <r>
    <n v="10411"/>
    <n v="44"/>
    <n v="15.5"/>
    <n v="40"/>
    <n v="0.2"/>
    <x v="342"/>
    <x v="1"/>
    <x v="6"/>
    <x v="4"/>
    <x v="16"/>
    <s v="Anne Dodsworth"/>
  </r>
  <r>
    <n v="10411"/>
    <n v="59"/>
    <n v="44"/>
    <n v="9"/>
    <n v="0.2"/>
    <x v="343"/>
    <x v="1"/>
    <x v="6"/>
    <x v="0"/>
    <x v="16"/>
    <s v="Anne Dodsworth"/>
  </r>
  <r>
    <n v="10412"/>
    <n v="14"/>
    <n v="18.600000000000001"/>
    <n v="20"/>
    <n v="0.1"/>
    <x v="110"/>
    <x v="1"/>
    <x v="6"/>
    <x v="2"/>
    <x v="10"/>
    <s v="Laura Callahan"/>
  </r>
  <r>
    <n v="10413"/>
    <n v="1"/>
    <n v="14.4"/>
    <n v="24"/>
    <n v="0"/>
    <x v="344"/>
    <x v="1"/>
    <x v="6"/>
    <x v="6"/>
    <x v="0"/>
    <s v="Janet Leverling"/>
  </r>
  <r>
    <n v="10413"/>
    <n v="62"/>
    <n v="39.4"/>
    <n v="40"/>
    <n v="0"/>
    <x v="100"/>
    <x v="1"/>
    <x v="6"/>
    <x v="5"/>
    <x v="0"/>
    <s v="Janet Leverling"/>
  </r>
  <r>
    <n v="10413"/>
    <n v="76"/>
    <n v="14.4"/>
    <n v="14"/>
    <n v="0"/>
    <x v="156"/>
    <x v="1"/>
    <x v="6"/>
    <x v="6"/>
    <x v="0"/>
    <s v="Janet Leverling"/>
  </r>
  <r>
    <n v="10414"/>
    <n v="19"/>
    <n v="7.3"/>
    <n v="18"/>
    <n v="0.05"/>
    <x v="345"/>
    <x v="1"/>
    <x v="6"/>
    <x v="5"/>
    <x v="2"/>
    <s v="Andrew Fuller"/>
  </r>
  <r>
    <n v="10414"/>
    <n v="33"/>
    <n v="2"/>
    <n v="50"/>
    <n v="0"/>
    <x v="187"/>
    <x v="1"/>
    <x v="6"/>
    <x v="0"/>
    <x v="2"/>
    <s v="Andrew Fuller"/>
  </r>
  <r>
    <n v="10415"/>
    <n v="17"/>
    <n v="31.2"/>
    <n v="2"/>
    <n v="0"/>
    <x v="346"/>
    <x v="1"/>
    <x v="6"/>
    <x v="7"/>
    <x v="8"/>
    <s v="Janet Leverling"/>
  </r>
  <r>
    <n v="10415"/>
    <n v="33"/>
    <n v="2"/>
    <n v="20"/>
    <n v="0"/>
    <x v="66"/>
    <x v="1"/>
    <x v="6"/>
    <x v="0"/>
    <x v="8"/>
    <s v="Janet Leverling"/>
  </r>
  <r>
    <n v="10416"/>
    <n v="19"/>
    <n v="7.3"/>
    <n v="20"/>
    <n v="0"/>
    <x v="347"/>
    <x v="1"/>
    <x v="6"/>
    <x v="5"/>
    <x v="10"/>
    <s v="Laura Callahan"/>
  </r>
  <r>
    <n v="10416"/>
    <n v="53"/>
    <n v="26.2"/>
    <n v="10"/>
    <n v="0"/>
    <x v="143"/>
    <x v="1"/>
    <x v="6"/>
    <x v="7"/>
    <x v="10"/>
    <s v="Laura Callahan"/>
  </r>
  <r>
    <n v="10416"/>
    <n v="57"/>
    <n v="15.6"/>
    <n v="20"/>
    <n v="0"/>
    <x v="348"/>
    <x v="1"/>
    <x v="6"/>
    <x v="1"/>
    <x v="10"/>
    <s v="Laura Callahan"/>
  </r>
  <r>
    <n v="10417"/>
    <n v="38"/>
    <n v="210.8"/>
    <n v="50"/>
    <n v="0"/>
    <x v="349"/>
    <x v="1"/>
    <x v="6"/>
    <x v="6"/>
    <x v="17"/>
    <s v="Margaret Peacock"/>
  </r>
  <r>
    <n v="10417"/>
    <n v="46"/>
    <n v="9.6"/>
    <n v="2"/>
    <n v="0.25"/>
    <x v="350"/>
    <x v="1"/>
    <x v="6"/>
    <x v="3"/>
    <x v="17"/>
    <s v="Margaret Peacock"/>
  </r>
  <r>
    <n v="10417"/>
    <n v="68"/>
    <n v="10"/>
    <n v="36"/>
    <n v="0.25"/>
    <x v="351"/>
    <x v="1"/>
    <x v="6"/>
    <x v="5"/>
    <x v="17"/>
    <s v="Margaret Peacock"/>
  </r>
  <r>
    <n v="10417"/>
    <n v="77"/>
    <n v="10.4"/>
    <n v="35"/>
    <n v="0"/>
    <x v="352"/>
    <x v="1"/>
    <x v="6"/>
    <x v="4"/>
    <x v="17"/>
    <s v="Margaret Peacock"/>
  </r>
  <r>
    <n v="10418"/>
    <n v="2"/>
    <n v="15.2"/>
    <n v="60"/>
    <n v="0"/>
    <x v="353"/>
    <x v="1"/>
    <x v="6"/>
    <x v="6"/>
    <x v="1"/>
    <s v="Margaret Peacock"/>
  </r>
  <r>
    <n v="10418"/>
    <n v="47"/>
    <n v="7.6"/>
    <n v="55"/>
    <n v="0"/>
    <x v="354"/>
    <x v="1"/>
    <x v="6"/>
    <x v="5"/>
    <x v="1"/>
    <s v="Margaret Peacock"/>
  </r>
  <r>
    <n v="10418"/>
    <n v="61"/>
    <n v="22.8"/>
    <n v="16"/>
    <n v="0"/>
    <x v="355"/>
    <x v="1"/>
    <x v="6"/>
    <x v="4"/>
    <x v="1"/>
    <s v="Margaret Peacock"/>
  </r>
  <r>
    <n v="10418"/>
    <n v="74"/>
    <n v="8"/>
    <n v="15"/>
    <n v="0"/>
    <x v="178"/>
    <x v="1"/>
    <x v="6"/>
    <x v="2"/>
    <x v="1"/>
    <s v="Margaret Peacock"/>
  </r>
  <r>
    <n v="10419"/>
    <n v="60"/>
    <n v="27.2"/>
    <n v="60"/>
    <n v="0.05"/>
    <x v="356"/>
    <x v="1"/>
    <x v="6"/>
    <x v="0"/>
    <x v="4"/>
    <s v="Margaret Peacock"/>
  </r>
  <r>
    <n v="10419"/>
    <n v="69"/>
    <n v="28.8"/>
    <n v="20"/>
    <n v="0.05"/>
    <x v="357"/>
    <x v="1"/>
    <x v="6"/>
    <x v="0"/>
    <x v="4"/>
    <s v="Margaret Peacock"/>
  </r>
  <r>
    <n v="10420"/>
    <n v="9"/>
    <n v="77.599999999999994"/>
    <n v="20"/>
    <n v="0.1"/>
    <x v="358"/>
    <x v="1"/>
    <x v="6"/>
    <x v="7"/>
    <x v="2"/>
    <s v="Janet Leverling"/>
  </r>
  <r>
    <n v="10420"/>
    <n v="13"/>
    <n v="4.8"/>
    <n v="2"/>
    <n v="0.1"/>
    <x v="359"/>
    <x v="1"/>
    <x v="6"/>
    <x v="3"/>
    <x v="2"/>
    <s v="Janet Leverling"/>
  </r>
  <r>
    <n v="10420"/>
    <n v="70"/>
    <n v="12"/>
    <n v="8"/>
    <n v="0.1"/>
    <x v="26"/>
    <x v="1"/>
    <x v="6"/>
    <x v="6"/>
    <x v="2"/>
    <s v="Janet Leverling"/>
  </r>
  <r>
    <n v="10420"/>
    <n v="73"/>
    <n v="12"/>
    <n v="20"/>
    <n v="0.1"/>
    <x v="45"/>
    <x v="1"/>
    <x v="6"/>
    <x v="3"/>
    <x v="2"/>
    <s v="Janet Leverling"/>
  </r>
  <r>
    <n v="10421"/>
    <n v="19"/>
    <n v="7.3"/>
    <n v="4"/>
    <n v="0.15"/>
    <x v="360"/>
    <x v="1"/>
    <x v="6"/>
    <x v="5"/>
    <x v="2"/>
    <s v="Laura Callahan"/>
  </r>
  <r>
    <n v="10421"/>
    <n v="26"/>
    <n v="24.9"/>
    <n v="30"/>
    <n v="0"/>
    <x v="361"/>
    <x v="1"/>
    <x v="6"/>
    <x v="5"/>
    <x v="2"/>
    <s v="Laura Callahan"/>
  </r>
  <r>
    <n v="10421"/>
    <n v="53"/>
    <n v="26.2"/>
    <n v="15"/>
    <n v="0.15"/>
    <x v="362"/>
    <x v="1"/>
    <x v="6"/>
    <x v="7"/>
    <x v="2"/>
    <s v="Laura Callahan"/>
  </r>
  <r>
    <n v="10421"/>
    <n v="77"/>
    <n v="10.4"/>
    <n v="10"/>
    <n v="0.15"/>
    <x v="363"/>
    <x v="1"/>
    <x v="6"/>
    <x v="4"/>
    <x v="2"/>
    <s v="Laura Callahan"/>
  </r>
  <r>
    <n v="10422"/>
    <n v="26"/>
    <n v="24.9"/>
    <n v="2"/>
    <n v="0"/>
    <x v="364"/>
    <x v="1"/>
    <x v="6"/>
    <x v="5"/>
    <x v="11"/>
    <s v="Andrew Fuller"/>
  </r>
  <r>
    <n v="10423"/>
    <n v="31"/>
    <n v="10"/>
    <n v="14"/>
    <n v="0"/>
    <x v="365"/>
    <x v="1"/>
    <x v="6"/>
    <x v="0"/>
    <x v="2"/>
    <s v="Michael Suyama"/>
  </r>
  <r>
    <n v="10423"/>
    <n v="59"/>
    <n v="44"/>
    <n v="20"/>
    <n v="0"/>
    <x v="366"/>
    <x v="1"/>
    <x v="6"/>
    <x v="0"/>
    <x v="2"/>
    <s v="Michael Suyama"/>
  </r>
  <r>
    <n v="10424"/>
    <n v="35"/>
    <n v="14.4"/>
    <n v="60"/>
    <n v="0.2"/>
    <x v="367"/>
    <x v="1"/>
    <x v="6"/>
    <x v="6"/>
    <x v="16"/>
    <s v="Robert King"/>
  </r>
  <r>
    <n v="10424"/>
    <n v="38"/>
    <n v="210.8"/>
    <n v="49"/>
    <n v="0.2"/>
    <x v="368"/>
    <x v="1"/>
    <x v="6"/>
    <x v="6"/>
    <x v="16"/>
    <s v="Robert King"/>
  </r>
  <r>
    <n v="10424"/>
    <n v="68"/>
    <n v="10"/>
    <n v="30"/>
    <n v="0.2"/>
    <x v="49"/>
    <x v="1"/>
    <x v="6"/>
    <x v="5"/>
    <x v="16"/>
    <s v="Robert King"/>
  </r>
  <r>
    <n v="10425"/>
    <n v="55"/>
    <n v="19.2"/>
    <n v="10"/>
    <n v="0.25"/>
    <x v="171"/>
    <x v="1"/>
    <x v="6"/>
    <x v="7"/>
    <x v="0"/>
    <s v="Michael Suyama"/>
  </r>
  <r>
    <n v="10425"/>
    <n v="76"/>
    <n v="14.4"/>
    <n v="20"/>
    <n v="0.25"/>
    <x v="45"/>
    <x v="1"/>
    <x v="6"/>
    <x v="6"/>
    <x v="0"/>
    <s v="Michael Suyama"/>
  </r>
  <r>
    <n v="10426"/>
    <n v="56"/>
    <n v="30.4"/>
    <n v="5"/>
    <n v="0"/>
    <x v="369"/>
    <x v="1"/>
    <x v="6"/>
    <x v="1"/>
    <x v="12"/>
    <s v="Margaret Peacock"/>
  </r>
  <r>
    <n v="10426"/>
    <n v="64"/>
    <n v="26.6"/>
    <n v="7"/>
    <n v="0"/>
    <x v="370"/>
    <x v="1"/>
    <x v="6"/>
    <x v="1"/>
    <x v="12"/>
    <s v="Margaret Peacock"/>
  </r>
  <r>
    <n v="10427"/>
    <n v="14"/>
    <n v="18.600000000000001"/>
    <n v="35"/>
    <n v="0"/>
    <x v="371"/>
    <x v="1"/>
    <x v="6"/>
    <x v="2"/>
    <x v="6"/>
    <s v="Margaret Peacock"/>
  </r>
  <r>
    <n v="10428"/>
    <n v="46"/>
    <n v="9.6"/>
    <n v="20"/>
    <n v="0"/>
    <x v="300"/>
    <x v="1"/>
    <x v="6"/>
    <x v="3"/>
    <x v="11"/>
    <s v="Robert King"/>
  </r>
  <r>
    <n v="10429"/>
    <n v="50"/>
    <n v="13"/>
    <n v="40"/>
    <n v="0"/>
    <x v="372"/>
    <x v="1"/>
    <x v="6"/>
    <x v="5"/>
    <x v="14"/>
    <s v="Janet Leverling"/>
  </r>
  <r>
    <n v="10429"/>
    <n v="63"/>
    <n v="35.1"/>
    <n v="35"/>
    <n v="0.25"/>
    <x v="373"/>
    <x v="1"/>
    <x v="6"/>
    <x v="4"/>
    <x v="14"/>
    <s v="Janet Leverling"/>
  </r>
  <r>
    <n v="10430"/>
    <n v="17"/>
    <n v="31.2"/>
    <n v="45"/>
    <n v="0.2"/>
    <x v="374"/>
    <x v="1"/>
    <x v="6"/>
    <x v="7"/>
    <x v="6"/>
    <s v="Margaret Peacock"/>
  </r>
  <r>
    <n v="10430"/>
    <n v="21"/>
    <n v="8"/>
    <n v="50"/>
    <n v="0"/>
    <x v="62"/>
    <x v="1"/>
    <x v="6"/>
    <x v="5"/>
    <x v="6"/>
    <s v="Margaret Peacock"/>
  </r>
  <r>
    <n v="10430"/>
    <n v="56"/>
    <n v="30.4"/>
    <n v="30"/>
    <n v="0"/>
    <x v="353"/>
    <x v="1"/>
    <x v="6"/>
    <x v="1"/>
    <x v="6"/>
    <s v="Margaret Peacock"/>
  </r>
  <r>
    <n v="10430"/>
    <n v="59"/>
    <n v="44"/>
    <n v="70"/>
    <n v="0.2"/>
    <x v="375"/>
    <x v="1"/>
    <x v="6"/>
    <x v="0"/>
    <x v="6"/>
    <s v="Margaret Peacock"/>
  </r>
  <r>
    <n v="10431"/>
    <n v="17"/>
    <n v="31.2"/>
    <n v="50"/>
    <n v="0.25"/>
    <x v="376"/>
    <x v="1"/>
    <x v="6"/>
    <x v="7"/>
    <x v="16"/>
    <s v="Margaret Peacock"/>
  </r>
  <r>
    <n v="10431"/>
    <n v="40"/>
    <n v="14.7"/>
    <n v="50"/>
    <n v="0.25"/>
    <x v="377"/>
    <x v="1"/>
    <x v="6"/>
    <x v="3"/>
    <x v="16"/>
    <s v="Margaret Peacock"/>
  </r>
  <r>
    <n v="10431"/>
    <n v="47"/>
    <n v="7.6"/>
    <n v="30"/>
    <n v="0.25"/>
    <x v="378"/>
    <x v="1"/>
    <x v="6"/>
    <x v="5"/>
    <x v="16"/>
    <s v="Margaret Peacock"/>
  </r>
  <r>
    <n v="10432"/>
    <n v="26"/>
    <n v="24.9"/>
    <n v="10"/>
    <n v="0"/>
    <x v="379"/>
    <x v="1"/>
    <x v="6"/>
    <x v="5"/>
    <x v="8"/>
    <s v="Janet Leverling"/>
  </r>
  <r>
    <n v="10432"/>
    <n v="54"/>
    <n v="5.9"/>
    <n v="40"/>
    <n v="0"/>
    <x v="380"/>
    <x v="1"/>
    <x v="6"/>
    <x v="7"/>
    <x v="8"/>
    <s v="Janet Leverling"/>
  </r>
  <r>
    <n v="10433"/>
    <n v="56"/>
    <n v="30.4"/>
    <n v="28"/>
    <n v="0"/>
    <x v="381"/>
    <x v="1"/>
    <x v="7"/>
    <x v="1"/>
    <x v="15"/>
    <s v="Janet Leverling"/>
  </r>
  <r>
    <n v="10434"/>
    <n v="11"/>
    <n v="16.8"/>
    <n v="6"/>
    <n v="0"/>
    <x v="382"/>
    <x v="1"/>
    <x v="7"/>
    <x v="0"/>
    <x v="9"/>
    <s v="Janet Leverling"/>
  </r>
  <r>
    <n v="10434"/>
    <n v="76"/>
    <n v="14.4"/>
    <n v="18"/>
    <n v="0.15"/>
    <x v="383"/>
    <x v="1"/>
    <x v="7"/>
    <x v="6"/>
    <x v="9"/>
    <s v="Janet Leverling"/>
  </r>
  <r>
    <n v="10435"/>
    <n v="2"/>
    <n v="15.2"/>
    <n v="10"/>
    <n v="0"/>
    <x v="369"/>
    <x v="1"/>
    <x v="7"/>
    <x v="6"/>
    <x v="13"/>
    <s v="Laura Callahan"/>
  </r>
  <r>
    <n v="10435"/>
    <n v="22"/>
    <n v="16.8"/>
    <n v="12"/>
    <n v="0"/>
    <x v="122"/>
    <x v="1"/>
    <x v="7"/>
    <x v="1"/>
    <x v="13"/>
    <s v="Laura Callahan"/>
  </r>
  <r>
    <n v="10435"/>
    <n v="72"/>
    <n v="27.8"/>
    <n v="10"/>
    <n v="0"/>
    <x v="384"/>
    <x v="1"/>
    <x v="7"/>
    <x v="0"/>
    <x v="13"/>
    <s v="Laura Callahan"/>
  </r>
  <r>
    <n v="10436"/>
    <n v="46"/>
    <n v="9.6"/>
    <n v="5"/>
    <n v="0"/>
    <x v="60"/>
    <x v="1"/>
    <x v="7"/>
    <x v="3"/>
    <x v="0"/>
    <s v="Janet Leverling"/>
  </r>
  <r>
    <n v="10436"/>
    <n v="56"/>
    <n v="30.4"/>
    <n v="40"/>
    <n v="0.1"/>
    <x v="385"/>
    <x v="1"/>
    <x v="7"/>
    <x v="1"/>
    <x v="0"/>
    <s v="Janet Leverling"/>
  </r>
  <r>
    <n v="10436"/>
    <n v="64"/>
    <n v="26.6"/>
    <n v="30"/>
    <n v="0.1"/>
    <x v="386"/>
    <x v="1"/>
    <x v="7"/>
    <x v="1"/>
    <x v="0"/>
    <s v="Janet Leverling"/>
  </r>
  <r>
    <n v="10436"/>
    <n v="75"/>
    <n v="6.2"/>
    <n v="24"/>
    <n v="0.1"/>
    <x v="387"/>
    <x v="1"/>
    <x v="7"/>
    <x v="6"/>
    <x v="0"/>
    <s v="Janet Leverling"/>
  </r>
  <r>
    <n v="10437"/>
    <n v="53"/>
    <n v="26.2"/>
    <n v="15"/>
    <n v="0"/>
    <x v="23"/>
    <x v="1"/>
    <x v="7"/>
    <x v="7"/>
    <x v="10"/>
    <s v="Laura Callahan"/>
  </r>
  <r>
    <n v="10438"/>
    <n v="19"/>
    <n v="7.3"/>
    <n v="15"/>
    <n v="0.2"/>
    <x v="388"/>
    <x v="1"/>
    <x v="7"/>
    <x v="5"/>
    <x v="1"/>
    <s v="Janet Leverling"/>
  </r>
  <r>
    <n v="10438"/>
    <n v="34"/>
    <n v="11.2"/>
    <n v="20"/>
    <n v="0.2"/>
    <x v="389"/>
    <x v="1"/>
    <x v="7"/>
    <x v="6"/>
    <x v="1"/>
    <s v="Janet Leverling"/>
  </r>
  <r>
    <n v="10438"/>
    <n v="57"/>
    <n v="15.6"/>
    <n v="15"/>
    <n v="0.2"/>
    <x v="390"/>
    <x v="1"/>
    <x v="7"/>
    <x v="1"/>
    <x v="1"/>
    <s v="Janet Leverling"/>
  </r>
  <r>
    <n v="10439"/>
    <n v="12"/>
    <n v="30.4"/>
    <n v="15"/>
    <n v="0"/>
    <x v="58"/>
    <x v="1"/>
    <x v="7"/>
    <x v="0"/>
    <x v="16"/>
    <s v="Michael Suyama"/>
  </r>
  <r>
    <n v="10439"/>
    <n v="16"/>
    <n v="13.9"/>
    <n v="16"/>
    <n v="0"/>
    <x v="391"/>
    <x v="1"/>
    <x v="7"/>
    <x v="5"/>
    <x v="16"/>
    <s v="Michael Suyama"/>
  </r>
  <r>
    <n v="10439"/>
    <n v="64"/>
    <n v="26.6"/>
    <n v="6"/>
    <n v="0"/>
    <x v="392"/>
    <x v="1"/>
    <x v="7"/>
    <x v="1"/>
    <x v="16"/>
    <s v="Michael Suyama"/>
  </r>
  <r>
    <n v="10439"/>
    <n v="74"/>
    <n v="8"/>
    <n v="30"/>
    <n v="0"/>
    <x v="49"/>
    <x v="1"/>
    <x v="7"/>
    <x v="2"/>
    <x v="16"/>
    <s v="Michael Suyama"/>
  </r>
  <r>
    <n v="10440"/>
    <n v="2"/>
    <n v="15.2"/>
    <n v="45"/>
    <n v="0.15"/>
    <x v="393"/>
    <x v="1"/>
    <x v="7"/>
    <x v="6"/>
    <x v="8"/>
    <s v="Margaret Peacock"/>
  </r>
  <r>
    <n v="10440"/>
    <n v="16"/>
    <n v="13.9"/>
    <n v="49"/>
    <n v="0.15"/>
    <x v="394"/>
    <x v="1"/>
    <x v="7"/>
    <x v="5"/>
    <x v="8"/>
    <s v="Margaret Peacock"/>
  </r>
  <r>
    <n v="10440"/>
    <n v="29"/>
    <n v="99"/>
    <n v="24"/>
    <n v="0.15"/>
    <x v="395"/>
    <x v="1"/>
    <x v="7"/>
    <x v="7"/>
    <x v="8"/>
    <s v="Margaret Peacock"/>
  </r>
  <r>
    <n v="10440"/>
    <n v="61"/>
    <n v="22.8"/>
    <n v="90"/>
    <n v="0.15"/>
    <x v="396"/>
    <x v="1"/>
    <x v="7"/>
    <x v="4"/>
    <x v="8"/>
    <s v="Margaret Peacock"/>
  </r>
  <r>
    <n v="10441"/>
    <n v="27"/>
    <n v="35.1"/>
    <n v="50"/>
    <n v="0"/>
    <x v="397"/>
    <x v="1"/>
    <x v="7"/>
    <x v="5"/>
    <x v="8"/>
    <s v="Janet Leverling"/>
  </r>
  <r>
    <n v="10442"/>
    <n v="11"/>
    <n v="16.8"/>
    <n v="30"/>
    <n v="0"/>
    <x v="326"/>
    <x v="1"/>
    <x v="7"/>
    <x v="0"/>
    <x v="6"/>
    <s v="Janet Leverling"/>
  </r>
  <r>
    <n v="10442"/>
    <n v="54"/>
    <n v="5.9"/>
    <n v="80"/>
    <n v="0"/>
    <x v="398"/>
    <x v="1"/>
    <x v="7"/>
    <x v="7"/>
    <x v="6"/>
    <s v="Janet Leverling"/>
  </r>
  <r>
    <n v="10442"/>
    <n v="66"/>
    <n v="13.6"/>
    <n v="60"/>
    <n v="0"/>
    <x v="399"/>
    <x v="1"/>
    <x v="7"/>
    <x v="4"/>
    <x v="6"/>
    <s v="Janet Leverling"/>
  </r>
  <r>
    <n v="10443"/>
    <n v="11"/>
    <n v="16.8"/>
    <n v="6"/>
    <n v="0.2"/>
    <x v="400"/>
    <x v="1"/>
    <x v="7"/>
    <x v="0"/>
    <x v="11"/>
    <s v="Laura Callahan"/>
  </r>
  <r>
    <n v="10443"/>
    <n v="28"/>
    <n v="36.4"/>
    <n v="12"/>
    <n v="0"/>
    <x v="401"/>
    <x v="1"/>
    <x v="7"/>
    <x v="2"/>
    <x v="11"/>
    <s v="Laura Callahan"/>
  </r>
  <r>
    <n v="10444"/>
    <n v="17"/>
    <n v="31.2"/>
    <n v="10"/>
    <n v="0"/>
    <x v="348"/>
    <x v="1"/>
    <x v="7"/>
    <x v="7"/>
    <x v="9"/>
    <s v="Janet Leverling"/>
  </r>
  <r>
    <n v="10444"/>
    <n v="26"/>
    <n v="24.9"/>
    <n v="15"/>
    <n v="0"/>
    <x v="402"/>
    <x v="1"/>
    <x v="7"/>
    <x v="5"/>
    <x v="9"/>
    <s v="Janet Leverling"/>
  </r>
  <r>
    <n v="10444"/>
    <n v="35"/>
    <n v="14.4"/>
    <n v="8"/>
    <n v="0"/>
    <x v="403"/>
    <x v="1"/>
    <x v="7"/>
    <x v="6"/>
    <x v="9"/>
    <s v="Janet Leverling"/>
  </r>
  <r>
    <n v="10444"/>
    <n v="41"/>
    <n v="7.7"/>
    <n v="30"/>
    <n v="0"/>
    <x v="404"/>
    <x v="1"/>
    <x v="7"/>
    <x v="3"/>
    <x v="9"/>
    <s v="Janet Leverling"/>
  </r>
  <r>
    <n v="10445"/>
    <n v="39"/>
    <n v="14.4"/>
    <n v="6"/>
    <n v="0"/>
    <x v="26"/>
    <x v="1"/>
    <x v="7"/>
    <x v="6"/>
    <x v="9"/>
    <s v="Janet Leverling"/>
  </r>
  <r>
    <n v="10445"/>
    <n v="54"/>
    <n v="5.9"/>
    <n v="15"/>
    <n v="0"/>
    <x v="193"/>
    <x v="1"/>
    <x v="7"/>
    <x v="7"/>
    <x v="9"/>
    <s v="Janet Leverling"/>
  </r>
  <r>
    <n v="10446"/>
    <n v="19"/>
    <n v="7.3"/>
    <n v="12"/>
    <n v="0.1"/>
    <x v="405"/>
    <x v="1"/>
    <x v="7"/>
    <x v="5"/>
    <x v="1"/>
    <s v="Michael Suyama"/>
  </r>
  <r>
    <n v="10446"/>
    <n v="24"/>
    <n v="3.6"/>
    <n v="20"/>
    <n v="0.1"/>
    <x v="406"/>
    <x v="1"/>
    <x v="7"/>
    <x v="6"/>
    <x v="1"/>
    <s v="Michael Suyama"/>
  </r>
  <r>
    <n v="10446"/>
    <n v="31"/>
    <n v="10"/>
    <n v="3"/>
    <n v="0.1"/>
    <x v="105"/>
    <x v="1"/>
    <x v="7"/>
    <x v="0"/>
    <x v="1"/>
    <s v="Michael Suyama"/>
  </r>
  <r>
    <n v="10446"/>
    <n v="52"/>
    <n v="5.6"/>
    <n v="15"/>
    <n v="0.1"/>
    <x v="407"/>
    <x v="1"/>
    <x v="7"/>
    <x v="1"/>
    <x v="1"/>
    <s v="Michael Suyama"/>
  </r>
  <r>
    <n v="10447"/>
    <n v="19"/>
    <n v="7.3"/>
    <n v="40"/>
    <n v="0"/>
    <x v="408"/>
    <x v="1"/>
    <x v="7"/>
    <x v="5"/>
    <x v="2"/>
    <s v="Margaret Peacock"/>
  </r>
  <r>
    <n v="10447"/>
    <n v="65"/>
    <n v="16.8"/>
    <n v="35"/>
    <n v="0"/>
    <x v="409"/>
    <x v="1"/>
    <x v="7"/>
    <x v="4"/>
    <x v="2"/>
    <s v="Margaret Peacock"/>
  </r>
  <r>
    <n v="10447"/>
    <n v="71"/>
    <n v="17.2"/>
    <n v="2"/>
    <n v="0"/>
    <x v="138"/>
    <x v="1"/>
    <x v="7"/>
    <x v="0"/>
    <x v="2"/>
    <s v="Margaret Peacock"/>
  </r>
  <r>
    <n v="10448"/>
    <n v="26"/>
    <n v="24.9"/>
    <n v="6"/>
    <n v="0"/>
    <x v="410"/>
    <x v="1"/>
    <x v="7"/>
    <x v="5"/>
    <x v="20"/>
    <s v="Margaret Peacock"/>
  </r>
  <r>
    <n v="10448"/>
    <n v="40"/>
    <n v="14.7"/>
    <n v="20"/>
    <n v="0"/>
    <x v="411"/>
    <x v="1"/>
    <x v="7"/>
    <x v="3"/>
    <x v="20"/>
    <s v="Margaret Peacock"/>
  </r>
  <r>
    <n v="10449"/>
    <n v="10"/>
    <n v="24.8"/>
    <n v="14"/>
    <n v="0"/>
    <x v="412"/>
    <x v="1"/>
    <x v="7"/>
    <x v="3"/>
    <x v="0"/>
    <s v="Janet Leverling"/>
  </r>
  <r>
    <n v="10449"/>
    <n v="52"/>
    <n v="5.6"/>
    <n v="20"/>
    <n v="0"/>
    <x v="172"/>
    <x v="1"/>
    <x v="7"/>
    <x v="1"/>
    <x v="0"/>
    <s v="Janet Leverling"/>
  </r>
  <r>
    <n v="10449"/>
    <n v="62"/>
    <n v="39.4"/>
    <n v="35"/>
    <n v="0"/>
    <x v="339"/>
    <x v="1"/>
    <x v="7"/>
    <x v="5"/>
    <x v="0"/>
    <s v="Janet Leverling"/>
  </r>
  <r>
    <n v="10450"/>
    <n v="10"/>
    <n v="24.8"/>
    <n v="20"/>
    <n v="0.2"/>
    <x v="309"/>
    <x v="1"/>
    <x v="7"/>
    <x v="3"/>
    <x v="0"/>
    <s v="Laura Callahan"/>
  </r>
  <r>
    <n v="10450"/>
    <n v="54"/>
    <n v="5.9"/>
    <n v="6"/>
    <n v="0.2"/>
    <x v="413"/>
    <x v="1"/>
    <x v="7"/>
    <x v="7"/>
    <x v="0"/>
    <s v="Laura Callahan"/>
  </r>
  <r>
    <n v="10451"/>
    <n v="55"/>
    <n v="19.2"/>
    <n v="120"/>
    <n v="0.1"/>
    <x v="325"/>
    <x v="1"/>
    <x v="7"/>
    <x v="7"/>
    <x v="1"/>
    <s v="Margaret Peacock"/>
  </r>
  <r>
    <n v="10451"/>
    <n v="64"/>
    <n v="26.6"/>
    <n v="35"/>
    <n v="0.1"/>
    <x v="67"/>
    <x v="1"/>
    <x v="7"/>
    <x v="1"/>
    <x v="1"/>
    <s v="Margaret Peacock"/>
  </r>
  <r>
    <n v="10451"/>
    <n v="65"/>
    <n v="16.8"/>
    <n v="28"/>
    <n v="0.1"/>
    <x v="414"/>
    <x v="1"/>
    <x v="7"/>
    <x v="4"/>
    <x v="1"/>
    <s v="Margaret Peacock"/>
  </r>
  <r>
    <n v="10451"/>
    <n v="77"/>
    <n v="10.4"/>
    <n v="55"/>
    <n v="0.1"/>
    <x v="415"/>
    <x v="1"/>
    <x v="7"/>
    <x v="4"/>
    <x v="1"/>
    <s v="Margaret Peacock"/>
  </r>
  <r>
    <n v="10452"/>
    <n v="28"/>
    <n v="36.4"/>
    <n v="15"/>
    <n v="0"/>
    <x v="416"/>
    <x v="1"/>
    <x v="7"/>
    <x v="2"/>
    <x v="8"/>
    <s v="Laura Callahan"/>
  </r>
  <r>
    <n v="10452"/>
    <n v="44"/>
    <n v="15.5"/>
    <n v="100"/>
    <n v="0.05"/>
    <x v="417"/>
    <x v="1"/>
    <x v="7"/>
    <x v="4"/>
    <x v="8"/>
    <s v="Laura Callahan"/>
  </r>
  <r>
    <n v="10453"/>
    <n v="48"/>
    <n v="10.199999999999999"/>
    <n v="15"/>
    <n v="0.1"/>
    <x v="418"/>
    <x v="1"/>
    <x v="7"/>
    <x v="5"/>
    <x v="13"/>
    <s v="Nancy Davolio"/>
  </r>
  <r>
    <n v="10453"/>
    <n v="70"/>
    <n v="12"/>
    <n v="25"/>
    <n v="0.1"/>
    <x v="351"/>
    <x v="1"/>
    <x v="7"/>
    <x v="6"/>
    <x v="13"/>
    <s v="Nancy Davolio"/>
  </r>
  <r>
    <n v="10454"/>
    <n v="16"/>
    <n v="13.9"/>
    <n v="20"/>
    <n v="0.2"/>
    <x v="391"/>
    <x v="1"/>
    <x v="7"/>
    <x v="5"/>
    <x v="0"/>
    <s v="Margaret Peacock"/>
  </r>
  <r>
    <n v="10454"/>
    <n v="33"/>
    <n v="2"/>
    <n v="20"/>
    <n v="0.2"/>
    <x v="419"/>
    <x v="1"/>
    <x v="7"/>
    <x v="0"/>
    <x v="0"/>
    <s v="Margaret Peacock"/>
  </r>
  <r>
    <n v="10454"/>
    <n v="46"/>
    <n v="9.6"/>
    <n v="10"/>
    <n v="0.2"/>
    <x v="420"/>
    <x v="1"/>
    <x v="7"/>
    <x v="3"/>
    <x v="0"/>
    <s v="Margaret Peacock"/>
  </r>
  <r>
    <n v="10455"/>
    <n v="39"/>
    <n v="14.4"/>
    <n v="20"/>
    <n v="0"/>
    <x v="38"/>
    <x v="1"/>
    <x v="7"/>
    <x v="6"/>
    <x v="10"/>
    <s v="Laura Callahan"/>
  </r>
  <r>
    <n v="10455"/>
    <n v="53"/>
    <n v="26.2"/>
    <n v="50"/>
    <n v="0"/>
    <x v="421"/>
    <x v="1"/>
    <x v="7"/>
    <x v="7"/>
    <x v="10"/>
    <s v="Laura Callahan"/>
  </r>
  <r>
    <n v="10455"/>
    <n v="61"/>
    <n v="22.8"/>
    <n v="25"/>
    <n v="0"/>
    <x v="422"/>
    <x v="1"/>
    <x v="7"/>
    <x v="4"/>
    <x v="10"/>
    <s v="Laura Callahan"/>
  </r>
  <r>
    <n v="10455"/>
    <n v="71"/>
    <n v="17.2"/>
    <n v="30"/>
    <n v="0"/>
    <x v="170"/>
    <x v="1"/>
    <x v="7"/>
    <x v="0"/>
    <x v="10"/>
    <s v="Laura Callahan"/>
  </r>
  <r>
    <n v="10456"/>
    <n v="21"/>
    <n v="8"/>
    <n v="40"/>
    <n v="0.15"/>
    <x v="423"/>
    <x v="1"/>
    <x v="7"/>
    <x v="5"/>
    <x v="1"/>
    <s v="Laura Callahan"/>
  </r>
  <r>
    <n v="10456"/>
    <n v="49"/>
    <n v="16"/>
    <n v="21"/>
    <n v="0.15"/>
    <x v="424"/>
    <x v="1"/>
    <x v="7"/>
    <x v="5"/>
    <x v="1"/>
    <s v="Laura Callahan"/>
  </r>
  <r>
    <n v="10457"/>
    <n v="59"/>
    <n v="44"/>
    <n v="36"/>
    <n v="0"/>
    <x v="425"/>
    <x v="1"/>
    <x v="7"/>
    <x v="0"/>
    <x v="1"/>
    <s v="Andrew Fuller"/>
  </r>
  <r>
    <n v="10458"/>
    <n v="26"/>
    <n v="24.9"/>
    <n v="30"/>
    <n v="0"/>
    <x v="361"/>
    <x v="1"/>
    <x v="7"/>
    <x v="5"/>
    <x v="3"/>
    <s v="Robert King"/>
  </r>
  <r>
    <n v="10458"/>
    <n v="28"/>
    <n v="36.4"/>
    <n v="30"/>
    <n v="0"/>
    <x v="252"/>
    <x v="1"/>
    <x v="7"/>
    <x v="2"/>
    <x v="3"/>
    <s v="Robert King"/>
  </r>
  <r>
    <n v="10458"/>
    <n v="43"/>
    <n v="36.799999999999997"/>
    <n v="20"/>
    <n v="0"/>
    <x v="151"/>
    <x v="1"/>
    <x v="7"/>
    <x v="6"/>
    <x v="3"/>
    <s v="Robert King"/>
  </r>
  <r>
    <n v="10458"/>
    <n v="56"/>
    <n v="30.4"/>
    <n v="15"/>
    <n v="0"/>
    <x v="58"/>
    <x v="1"/>
    <x v="7"/>
    <x v="1"/>
    <x v="3"/>
    <s v="Robert King"/>
  </r>
  <r>
    <n v="10458"/>
    <n v="71"/>
    <n v="17.2"/>
    <n v="50"/>
    <n v="0"/>
    <x v="426"/>
    <x v="1"/>
    <x v="7"/>
    <x v="0"/>
    <x v="3"/>
    <s v="Robert King"/>
  </r>
  <r>
    <n v="10459"/>
    <n v="7"/>
    <n v="24"/>
    <n v="16"/>
    <n v="0.05"/>
    <x v="427"/>
    <x v="1"/>
    <x v="7"/>
    <x v="2"/>
    <x v="0"/>
    <s v="Margaret Peacock"/>
  </r>
  <r>
    <n v="10459"/>
    <n v="46"/>
    <n v="9.6"/>
    <n v="20"/>
    <n v="0.05"/>
    <x v="161"/>
    <x v="1"/>
    <x v="7"/>
    <x v="3"/>
    <x v="0"/>
    <s v="Margaret Peacock"/>
  </r>
  <r>
    <n v="10459"/>
    <n v="72"/>
    <n v="27.8"/>
    <n v="40"/>
    <n v="0"/>
    <x v="180"/>
    <x v="1"/>
    <x v="7"/>
    <x v="0"/>
    <x v="0"/>
    <s v="Margaret Peacock"/>
  </r>
  <r>
    <n v="10460"/>
    <n v="68"/>
    <n v="10"/>
    <n v="21"/>
    <n v="0.25"/>
    <x v="428"/>
    <x v="1"/>
    <x v="7"/>
    <x v="5"/>
    <x v="9"/>
    <s v="Laura Callahan"/>
  </r>
  <r>
    <n v="10460"/>
    <n v="75"/>
    <n v="6.2"/>
    <n v="4"/>
    <n v="0.25"/>
    <x v="429"/>
    <x v="1"/>
    <x v="7"/>
    <x v="6"/>
    <x v="9"/>
    <s v="Laura Callahan"/>
  </r>
  <r>
    <n v="10461"/>
    <n v="21"/>
    <n v="8"/>
    <n v="40"/>
    <n v="0.25"/>
    <x v="49"/>
    <x v="1"/>
    <x v="7"/>
    <x v="5"/>
    <x v="5"/>
    <s v="Nancy Davolio"/>
  </r>
  <r>
    <n v="10461"/>
    <n v="30"/>
    <n v="20.7"/>
    <n v="28"/>
    <n v="0.25"/>
    <x v="430"/>
    <x v="1"/>
    <x v="7"/>
    <x v="3"/>
    <x v="5"/>
    <s v="Nancy Davolio"/>
  </r>
  <r>
    <n v="10461"/>
    <n v="55"/>
    <n v="19.2"/>
    <n v="60"/>
    <n v="0.25"/>
    <x v="125"/>
    <x v="1"/>
    <x v="7"/>
    <x v="7"/>
    <x v="5"/>
    <s v="Nancy Davolio"/>
  </r>
  <r>
    <n v="10462"/>
    <n v="13"/>
    <n v="4.8"/>
    <n v="1"/>
    <n v="0"/>
    <x v="431"/>
    <x v="1"/>
    <x v="8"/>
    <x v="3"/>
    <x v="13"/>
    <s v="Andrew Fuller"/>
  </r>
  <r>
    <n v="10462"/>
    <n v="23"/>
    <n v="7.2"/>
    <n v="21"/>
    <n v="0"/>
    <x v="432"/>
    <x v="1"/>
    <x v="8"/>
    <x v="1"/>
    <x v="13"/>
    <s v="Andrew Fuller"/>
  </r>
  <r>
    <n v="10463"/>
    <n v="19"/>
    <n v="7.3"/>
    <n v="21"/>
    <n v="0"/>
    <x v="433"/>
    <x v="1"/>
    <x v="8"/>
    <x v="5"/>
    <x v="3"/>
    <s v="Steven Buchanan"/>
  </r>
  <r>
    <n v="10463"/>
    <n v="42"/>
    <n v="11.2"/>
    <n v="50"/>
    <n v="0"/>
    <x v="255"/>
    <x v="1"/>
    <x v="8"/>
    <x v="1"/>
    <x v="3"/>
    <s v="Steven Buchanan"/>
  </r>
  <r>
    <n v="10464"/>
    <n v="4"/>
    <n v="17.600000000000001"/>
    <n v="16"/>
    <n v="0.2"/>
    <x v="434"/>
    <x v="1"/>
    <x v="8"/>
    <x v="4"/>
    <x v="15"/>
    <s v="Margaret Peacock"/>
  </r>
  <r>
    <n v="10464"/>
    <n v="43"/>
    <n v="36.799999999999997"/>
    <n v="3"/>
    <n v="0"/>
    <x v="435"/>
    <x v="1"/>
    <x v="8"/>
    <x v="6"/>
    <x v="15"/>
    <s v="Margaret Peacock"/>
  </r>
  <r>
    <n v="10464"/>
    <n v="56"/>
    <n v="30.4"/>
    <n v="30"/>
    <n v="0.2"/>
    <x v="436"/>
    <x v="1"/>
    <x v="8"/>
    <x v="1"/>
    <x v="15"/>
    <s v="Margaret Peacock"/>
  </r>
  <r>
    <n v="10464"/>
    <n v="60"/>
    <n v="27.2"/>
    <n v="20"/>
    <n v="0"/>
    <x v="294"/>
    <x v="1"/>
    <x v="8"/>
    <x v="0"/>
    <x v="15"/>
    <s v="Margaret Peacock"/>
  </r>
  <r>
    <n v="10465"/>
    <n v="24"/>
    <n v="3.6"/>
    <n v="25"/>
    <n v="0"/>
    <x v="239"/>
    <x v="1"/>
    <x v="8"/>
    <x v="6"/>
    <x v="17"/>
    <s v="Nancy Davolio"/>
  </r>
  <r>
    <n v="10465"/>
    <n v="29"/>
    <n v="99"/>
    <n v="18"/>
    <n v="0.1"/>
    <x v="437"/>
    <x v="1"/>
    <x v="8"/>
    <x v="7"/>
    <x v="17"/>
    <s v="Nancy Davolio"/>
  </r>
  <r>
    <n v="10465"/>
    <n v="40"/>
    <n v="14.7"/>
    <n v="20"/>
    <n v="0"/>
    <x v="411"/>
    <x v="1"/>
    <x v="8"/>
    <x v="3"/>
    <x v="17"/>
    <s v="Nancy Davolio"/>
  </r>
  <r>
    <n v="10465"/>
    <n v="45"/>
    <n v="7.6"/>
    <n v="30"/>
    <n v="0.1"/>
    <x v="438"/>
    <x v="1"/>
    <x v="8"/>
    <x v="3"/>
    <x v="17"/>
    <s v="Nancy Davolio"/>
  </r>
  <r>
    <n v="10465"/>
    <n v="50"/>
    <n v="13"/>
    <n v="25"/>
    <n v="0"/>
    <x v="439"/>
    <x v="1"/>
    <x v="8"/>
    <x v="5"/>
    <x v="17"/>
    <s v="Nancy Davolio"/>
  </r>
  <r>
    <n v="10466"/>
    <n v="11"/>
    <n v="16.8"/>
    <n v="10"/>
    <n v="0"/>
    <x v="0"/>
    <x v="1"/>
    <x v="8"/>
    <x v="0"/>
    <x v="2"/>
    <s v="Margaret Peacock"/>
  </r>
  <r>
    <n v="10466"/>
    <n v="46"/>
    <n v="9.6"/>
    <n v="5"/>
    <n v="0"/>
    <x v="60"/>
    <x v="1"/>
    <x v="8"/>
    <x v="3"/>
    <x v="2"/>
    <s v="Margaret Peacock"/>
  </r>
  <r>
    <n v="10467"/>
    <n v="24"/>
    <n v="3.6"/>
    <n v="28"/>
    <n v="0"/>
    <x v="43"/>
    <x v="1"/>
    <x v="8"/>
    <x v="6"/>
    <x v="11"/>
    <s v="Laura Callahan"/>
  </r>
  <r>
    <n v="10467"/>
    <n v="25"/>
    <n v="11.2"/>
    <n v="12"/>
    <n v="0"/>
    <x v="440"/>
    <x v="1"/>
    <x v="8"/>
    <x v="5"/>
    <x v="11"/>
    <s v="Laura Callahan"/>
  </r>
  <r>
    <n v="10468"/>
    <n v="30"/>
    <n v="20.7"/>
    <n v="8"/>
    <n v="0"/>
    <x v="441"/>
    <x v="1"/>
    <x v="8"/>
    <x v="3"/>
    <x v="1"/>
    <s v="Janet Leverling"/>
  </r>
  <r>
    <n v="10468"/>
    <n v="43"/>
    <n v="36.799999999999997"/>
    <n v="15"/>
    <n v="0"/>
    <x v="119"/>
    <x v="1"/>
    <x v="8"/>
    <x v="6"/>
    <x v="1"/>
    <s v="Janet Leverling"/>
  </r>
  <r>
    <n v="10469"/>
    <n v="2"/>
    <n v="15.2"/>
    <n v="40"/>
    <n v="0.15"/>
    <x v="442"/>
    <x v="1"/>
    <x v="8"/>
    <x v="6"/>
    <x v="8"/>
    <s v="Nancy Davolio"/>
  </r>
  <r>
    <n v="10469"/>
    <n v="16"/>
    <n v="13.9"/>
    <n v="35"/>
    <n v="0.15"/>
    <x v="443"/>
    <x v="1"/>
    <x v="8"/>
    <x v="5"/>
    <x v="8"/>
    <s v="Nancy Davolio"/>
  </r>
  <r>
    <n v="10469"/>
    <n v="44"/>
    <n v="15.5"/>
    <n v="2"/>
    <n v="0.15"/>
    <x v="444"/>
    <x v="1"/>
    <x v="8"/>
    <x v="4"/>
    <x v="8"/>
    <s v="Nancy Davolio"/>
  </r>
  <r>
    <n v="10470"/>
    <n v="18"/>
    <n v="50"/>
    <n v="30"/>
    <n v="0"/>
    <x v="445"/>
    <x v="1"/>
    <x v="8"/>
    <x v="3"/>
    <x v="0"/>
    <s v="Margaret Peacock"/>
  </r>
  <r>
    <n v="10470"/>
    <n v="23"/>
    <n v="7.2"/>
    <n v="15"/>
    <n v="0"/>
    <x v="446"/>
    <x v="1"/>
    <x v="8"/>
    <x v="1"/>
    <x v="0"/>
    <s v="Margaret Peacock"/>
  </r>
  <r>
    <n v="10470"/>
    <n v="64"/>
    <n v="26.6"/>
    <n v="8"/>
    <n v="0"/>
    <x v="447"/>
    <x v="1"/>
    <x v="8"/>
    <x v="1"/>
    <x v="0"/>
    <s v="Margaret Peacock"/>
  </r>
  <r>
    <n v="10471"/>
    <n v="7"/>
    <n v="24"/>
    <n v="30"/>
    <n v="0"/>
    <x v="448"/>
    <x v="1"/>
    <x v="8"/>
    <x v="2"/>
    <x v="13"/>
    <s v="Andrew Fuller"/>
  </r>
  <r>
    <n v="10471"/>
    <n v="56"/>
    <n v="30.4"/>
    <n v="20"/>
    <n v="0"/>
    <x v="28"/>
    <x v="1"/>
    <x v="8"/>
    <x v="1"/>
    <x v="13"/>
    <s v="Andrew Fuller"/>
  </r>
  <r>
    <n v="10472"/>
    <n v="24"/>
    <n v="3.6"/>
    <n v="80"/>
    <n v="0.05"/>
    <x v="449"/>
    <x v="1"/>
    <x v="8"/>
    <x v="6"/>
    <x v="13"/>
    <s v="Laura Callahan"/>
  </r>
  <r>
    <n v="10472"/>
    <n v="51"/>
    <n v="42.4"/>
    <n v="18"/>
    <n v="0"/>
    <x v="450"/>
    <x v="1"/>
    <x v="8"/>
    <x v="2"/>
    <x v="13"/>
    <s v="Laura Callahan"/>
  </r>
  <r>
    <n v="10473"/>
    <n v="33"/>
    <n v="2"/>
    <n v="12"/>
    <n v="0"/>
    <x v="451"/>
    <x v="1"/>
    <x v="8"/>
    <x v="0"/>
    <x v="13"/>
    <s v="Nancy Davolio"/>
  </r>
  <r>
    <n v="10473"/>
    <n v="71"/>
    <n v="17.2"/>
    <n v="12"/>
    <n v="0"/>
    <x v="452"/>
    <x v="1"/>
    <x v="8"/>
    <x v="0"/>
    <x v="13"/>
    <s v="Nancy Davolio"/>
  </r>
  <r>
    <n v="10474"/>
    <n v="14"/>
    <n v="18.600000000000001"/>
    <n v="12"/>
    <n v="0"/>
    <x v="340"/>
    <x v="1"/>
    <x v="8"/>
    <x v="2"/>
    <x v="7"/>
    <s v="Steven Buchanan"/>
  </r>
  <r>
    <n v="10474"/>
    <n v="28"/>
    <n v="36.4"/>
    <n v="18"/>
    <n v="0"/>
    <x v="453"/>
    <x v="1"/>
    <x v="8"/>
    <x v="2"/>
    <x v="7"/>
    <s v="Steven Buchanan"/>
  </r>
  <r>
    <n v="10474"/>
    <n v="40"/>
    <n v="14.7"/>
    <n v="21"/>
    <n v="0"/>
    <x v="454"/>
    <x v="1"/>
    <x v="8"/>
    <x v="3"/>
    <x v="7"/>
    <s v="Steven Buchanan"/>
  </r>
  <r>
    <n v="10474"/>
    <n v="75"/>
    <n v="6.2"/>
    <n v="10"/>
    <n v="0"/>
    <x v="160"/>
    <x v="1"/>
    <x v="8"/>
    <x v="6"/>
    <x v="7"/>
    <s v="Steven Buchanan"/>
  </r>
  <r>
    <n v="10475"/>
    <n v="31"/>
    <n v="10"/>
    <n v="35"/>
    <n v="0.15"/>
    <x v="455"/>
    <x v="1"/>
    <x v="8"/>
    <x v="0"/>
    <x v="3"/>
    <s v="Anne Dodsworth"/>
  </r>
  <r>
    <n v="10475"/>
    <n v="66"/>
    <n v="13.6"/>
    <n v="60"/>
    <n v="0.15"/>
    <x v="456"/>
    <x v="1"/>
    <x v="8"/>
    <x v="4"/>
    <x v="3"/>
    <s v="Anne Dodsworth"/>
  </r>
  <r>
    <n v="10475"/>
    <n v="76"/>
    <n v="14.4"/>
    <n v="42"/>
    <n v="0.15"/>
    <x v="457"/>
    <x v="1"/>
    <x v="8"/>
    <x v="6"/>
    <x v="3"/>
    <s v="Anne Dodsworth"/>
  </r>
  <r>
    <n v="10476"/>
    <n v="55"/>
    <n v="19.2"/>
    <n v="2"/>
    <n v="0.05"/>
    <x v="458"/>
    <x v="1"/>
    <x v="8"/>
    <x v="7"/>
    <x v="5"/>
    <s v="Laura Callahan"/>
  </r>
  <r>
    <n v="10476"/>
    <n v="70"/>
    <n v="12"/>
    <n v="12"/>
    <n v="0"/>
    <x v="171"/>
    <x v="1"/>
    <x v="8"/>
    <x v="6"/>
    <x v="5"/>
    <s v="Laura Callahan"/>
  </r>
  <r>
    <n v="10477"/>
    <n v="1"/>
    <n v="14.4"/>
    <n v="15"/>
    <n v="0"/>
    <x v="45"/>
    <x v="1"/>
    <x v="8"/>
    <x v="6"/>
    <x v="15"/>
    <s v="Steven Buchanan"/>
  </r>
  <r>
    <n v="10477"/>
    <n v="21"/>
    <n v="8"/>
    <n v="21"/>
    <n v="0.25"/>
    <x v="459"/>
    <x v="1"/>
    <x v="8"/>
    <x v="5"/>
    <x v="15"/>
    <s v="Steven Buchanan"/>
  </r>
  <r>
    <n v="10477"/>
    <n v="39"/>
    <n v="14.4"/>
    <n v="20"/>
    <n v="0.25"/>
    <x v="45"/>
    <x v="1"/>
    <x v="8"/>
    <x v="6"/>
    <x v="15"/>
    <s v="Steven Buchanan"/>
  </r>
  <r>
    <n v="10478"/>
    <n v="10"/>
    <n v="24.8"/>
    <n v="20"/>
    <n v="0.05"/>
    <x v="460"/>
    <x v="1"/>
    <x v="8"/>
    <x v="3"/>
    <x v="0"/>
    <s v="Andrew Fuller"/>
  </r>
  <r>
    <n v="10479"/>
    <n v="38"/>
    <n v="210.8"/>
    <n v="30"/>
    <n v="0"/>
    <x v="276"/>
    <x v="1"/>
    <x v="8"/>
    <x v="6"/>
    <x v="8"/>
    <s v="Janet Leverling"/>
  </r>
  <r>
    <n v="10479"/>
    <n v="53"/>
    <n v="26.2"/>
    <n v="28"/>
    <n v="0"/>
    <x v="461"/>
    <x v="1"/>
    <x v="8"/>
    <x v="7"/>
    <x v="8"/>
    <s v="Janet Leverling"/>
  </r>
  <r>
    <n v="10479"/>
    <n v="59"/>
    <n v="44"/>
    <n v="60"/>
    <n v="0"/>
    <x v="462"/>
    <x v="1"/>
    <x v="8"/>
    <x v="0"/>
    <x v="8"/>
    <s v="Janet Leverling"/>
  </r>
  <r>
    <n v="10479"/>
    <n v="64"/>
    <n v="26.6"/>
    <n v="30"/>
    <n v="0"/>
    <x v="272"/>
    <x v="1"/>
    <x v="8"/>
    <x v="1"/>
    <x v="8"/>
    <s v="Janet Leverling"/>
  </r>
  <r>
    <n v="10480"/>
    <n v="47"/>
    <n v="7.6"/>
    <n v="30"/>
    <n v="0"/>
    <x v="463"/>
    <x v="1"/>
    <x v="8"/>
    <x v="5"/>
    <x v="0"/>
    <s v="Michael Suyama"/>
  </r>
  <r>
    <n v="10480"/>
    <n v="59"/>
    <n v="44"/>
    <n v="12"/>
    <n v="0"/>
    <x v="305"/>
    <x v="1"/>
    <x v="8"/>
    <x v="0"/>
    <x v="0"/>
    <s v="Michael Suyama"/>
  </r>
  <r>
    <n v="10481"/>
    <n v="49"/>
    <n v="16"/>
    <n v="24"/>
    <n v="0"/>
    <x v="82"/>
    <x v="1"/>
    <x v="8"/>
    <x v="5"/>
    <x v="2"/>
    <s v="Laura Callahan"/>
  </r>
  <r>
    <n v="10481"/>
    <n v="60"/>
    <n v="27.2"/>
    <n v="40"/>
    <n v="0"/>
    <x v="13"/>
    <x v="1"/>
    <x v="8"/>
    <x v="0"/>
    <x v="2"/>
    <s v="Laura Callahan"/>
  </r>
  <r>
    <n v="10482"/>
    <n v="40"/>
    <n v="14.7"/>
    <n v="10"/>
    <n v="0"/>
    <x v="129"/>
    <x v="1"/>
    <x v="8"/>
    <x v="3"/>
    <x v="8"/>
    <s v="Nancy Davolio"/>
  </r>
  <r>
    <n v="10483"/>
    <n v="34"/>
    <n v="11.2"/>
    <n v="35"/>
    <n v="0.05"/>
    <x v="464"/>
    <x v="1"/>
    <x v="8"/>
    <x v="6"/>
    <x v="8"/>
    <s v="Robert King"/>
  </r>
  <r>
    <n v="10483"/>
    <n v="77"/>
    <n v="10.4"/>
    <n v="30"/>
    <n v="0.05"/>
    <x v="465"/>
    <x v="1"/>
    <x v="8"/>
    <x v="4"/>
    <x v="8"/>
    <s v="Robert King"/>
  </r>
  <r>
    <n v="10484"/>
    <n v="21"/>
    <n v="8"/>
    <n v="14"/>
    <n v="0"/>
    <x v="172"/>
    <x v="1"/>
    <x v="8"/>
    <x v="5"/>
    <x v="13"/>
    <s v="Janet Leverling"/>
  </r>
  <r>
    <n v="10484"/>
    <n v="40"/>
    <n v="14.7"/>
    <n v="10"/>
    <n v="0"/>
    <x v="129"/>
    <x v="1"/>
    <x v="8"/>
    <x v="3"/>
    <x v="13"/>
    <s v="Janet Leverling"/>
  </r>
  <r>
    <n v="10484"/>
    <n v="51"/>
    <n v="42.4"/>
    <n v="3"/>
    <n v="0"/>
    <x v="466"/>
    <x v="1"/>
    <x v="8"/>
    <x v="2"/>
    <x v="13"/>
    <s v="Janet Leverling"/>
  </r>
  <r>
    <n v="10485"/>
    <n v="2"/>
    <n v="15.2"/>
    <n v="20"/>
    <n v="0.1"/>
    <x v="467"/>
    <x v="1"/>
    <x v="8"/>
    <x v="6"/>
    <x v="5"/>
    <s v="Margaret Peacock"/>
  </r>
  <r>
    <n v="10485"/>
    <n v="3"/>
    <n v="8"/>
    <n v="20"/>
    <n v="0.1"/>
    <x v="171"/>
    <x v="1"/>
    <x v="8"/>
    <x v="4"/>
    <x v="5"/>
    <s v="Margaret Peacock"/>
  </r>
  <r>
    <n v="10485"/>
    <n v="55"/>
    <n v="19.2"/>
    <n v="30"/>
    <n v="0.1"/>
    <x v="96"/>
    <x v="1"/>
    <x v="8"/>
    <x v="7"/>
    <x v="5"/>
    <s v="Margaret Peacock"/>
  </r>
  <r>
    <n v="10485"/>
    <n v="70"/>
    <n v="12"/>
    <n v="60"/>
    <n v="0.1"/>
    <x v="468"/>
    <x v="1"/>
    <x v="8"/>
    <x v="6"/>
    <x v="5"/>
    <s v="Margaret Peacock"/>
  </r>
  <r>
    <n v="10486"/>
    <n v="11"/>
    <n v="16.8"/>
    <n v="5"/>
    <n v="0"/>
    <x v="263"/>
    <x v="1"/>
    <x v="8"/>
    <x v="0"/>
    <x v="5"/>
    <s v="Nancy Davolio"/>
  </r>
  <r>
    <n v="10486"/>
    <n v="51"/>
    <n v="42.4"/>
    <n v="25"/>
    <n v="0"/>
    <x v="469"/>
    <x v="1"/>
    <x v="8"/>
    <x v="2"/>
    <x v="5"/>
    <s v="Nancy Davolio"/>
  </r>
  <r>
    <n v="10486"/>
    <n v="74"/>
    <n v="8"/>
    <n v="16"/>
    <n v="0"/>
    <x v="470"/>
    <x v="1"/>
    <x v="8"/>
    <x v="2"/>
    <x v="5"/>
    <s v="Nancy Davolio"/>
  </r>
  <r>
    <n v="10487"/>
    <n v="19"/>
    <n v="7.3"/>
    <n v="5"/>
    <n v="0"/>
    <x v="471"/>
    <x v="1"/>
    <x v="8"/>
    <x v="5"/>
    <x v="2"/>
    <s v="Andrew Fuller"/>
  </r>
  <r>
    <n v="10487"/>
    <n v="26"/>
    <n v="24.9"/>
    <n v="30"/>
    <n v="0"/>
    <x v="361"/>
    <x v="1"/>
    <x v="8"/>
    <x v="5"/>
    <x v="2"/>
    <s v="Andrew Fuller"/>
  </r>
  <r>
    <n v="10487"/>
    <n v="54"/>
    <n v="5.9"/>
    <n v="24"/>
    <n v="0.25"/>
    <x v="472"/>
    <x v="1"/>
    <x v="8"/>
    <x v="7"/>
    <x v="2"/>
    <s v="Andrew Fuller"/>
  </r>
  <r>
    <n v="10488"/>
    <n v="59"/>
    <n v="44"/>
    <n v="30"/>
    <n v="0"/>
    <x v="22"/>
    <x v="1"/>
    <x v="8"/>
    <x v="0"/>
    <x v="1"/>
    <s v="Laura Callahan"/>
  </r>
  <r>
    <n v="10488"/>
    <n v="73"/>
    <n v="12"/>
    <n v="20"/>
    <n v="0.2"/>
    <x v="300"/>
    <x v="1"/>
    <x v="8"/>
    <x v="3"/>
    <x v="1"/>
    <s v="Laura Callahan"/>
  </r>
  <r>
    <n v="10489"/>
    <n v="11"/>
    <n v="16.8"/>
    <n v="15"/>
    <n v="0.25"/>
    <x v="36"/>
    <x v="1"/>
    <x v="8"/>
    <x v="0"/>
    <x v="6"/>
    <s v="Michael Suyama"/>
  </r>
  <r>
    <n v="10489"/>
    <n v="16"/>
    <n v="13.9"/>
    <n v="18"/>
    <n v="0"/>
    <x v="473"/>
    <x v="1"/>
    <x v="8"/>
    <x v="5"/>
    <x v="6"/>
    <s v="Michael Suyama"/>
  </r>
  <r>
    <n v="10490"/>
    <n v="59"/>
    <n v="44"/>
    <n v="60"/>
    <n v="0"/>
    <x v="462"/>
    <x v="1"/>
    <x v="8"/>
    <x v="0"/>
    <x v="5"/>
    <s v="Robert King"/>
  </r>
  <r>
    <n v="10490"/>
    <n v="68"/>
    <n v="10"/>
    <n v="30"/>
    <n v="0"/>
    <x v="79"/>
    <x v="1"/>
    <x v="8"/>
    <x v="5"/>
    <x v="5"/>
    <s v="Robert King"/>
  </r>
  <r>
    <n v="10490"/>
    <n v="75"/>
    <n v="6.2"/>
    <n v="36"/>
    <n v="0"/>
    <x v="340"/>
    <x v="1"/>
    <x v="8"/>
    <x v="6"/>
    <x v="5"/>
    <s v="Robert King"/>
  </r>
  <r>
    <n v="10491"/>
    <n v="44"/>
    <n v="15.5"/>
    <n v="15"/>
    <n v="0.15"/>
    <x v="474"/>
    <x v="1"/>
    <x v="8"/>
    <x v="4"/>
    <x v="15"/>
    <s v="Laura Callahan"/>
  </r>
  <r>
    <n v="10491"/>
    <n v="77"/>
    <n v="10.4"/>
    <n v="7"/>
    <n v="0.15"/>
    <x v="475"/>
    <x v="1"/>
    <x v="8"/>
    <x v="4"/>
    <x v="15"/>
    <s v="Laura Callahan"/>
  </r>
  <r>
    <n v="10492"/>
    <n v="25"/>
    <n v="11.2"/>
    <n v="60"/>
    <n v="0.05"/>
    <x v="476"/>
    <x v="1"/>
    <x v="9"/>
    <x v="5"/>
    <x v="16"/>
    <s v="Janet Leverling"/>
  </r>
  <r>
    <n v="10492"/>
    <n v="42"/>
    <n v="11.2"/>
    <n v="20"/>
    <n v="0.05"/>
    <x v="477"/>
    <x v="1"/>
    <x v="9"/>
    <x v="1"/>
    <x v="16"/>
    <s v="Janet Leverling"/>
  </r>
  <r>
    <n v="10493"/>
    <n v="65"/>
    <n v="16.8"/>
    <n v="15"/>
    <n v="0.1"/>
    <x v="478"/>
    <x v="1"/>
    <x v="9"/>
    <x v="4"/>
    <x v="0"/>
    <s v="Margaret Peacock"/>
  </r>
  <r>
    <n v="10493"/>
    <n v="66"/>
    <n v="13.6"/>
    <n v="10"/>
    <n v="0.1"/>
    <x v="479"/>
    <x v="1"/>
    <x v="9"/>
    <x v="4"/>
    <x v="0"/>
    <s v="Margaret Peacock"/>
  </r>
  <r>
    <n v="10493"/>
    <n v="69"/>
    <n v="28.8"/>
    <n v="10"/>
    <n v="0.1"/>
    <x v="117"/>
    <x v="1"/>
    <x v="9"/>
    <x v="0"/>
    <x v="0"/>
    <s v="Margaret Peacock"/>
  </r>
  <r>
    <n v="10494"/>
    <n v="56"/>
    <n v="30.4"/>
    <n v="30"/>
    <n v="0"/>
    <x v="353"/>
    <x v="1"/>
    <x v="9"/>
    <x v="1"/>
    <x v="2"/>
    <s v="Margaret Peacock"/>
  </r>
  <r>
    <n v="10495"/>
    <n v="23"/>
    <n v="7.2"/>
    <n v="10"/>
    <n v="0"/>
    <x v="197"/>
    <x v="1"/>
    <x v="9"/>
    <x v="1"/>
    <x v="16"/>
    <s v="Janet Leverling"/>
  </r>
  <r>
    <n v="10495"/>
    <n v="41"/>
    <n v="7.7"/>
    <n v="20"/>
    <n v="0"/>
    <x v="167"/>
    <x v="1"/>
    <x v="9"/>
    <x v="3"/>
    <x v="16"/>
    <s v="Janet Leverling"/>
  </r>
  <r>
    <n v="10495"/>
    <n v="77"/>
    <n v="10.4"/>
    <n v="5"/>
    <n v="0"/>
    <x v="264"/>
    <x v="1"/>
    <x v="9"/>
    <x v="4"/>
    <x v="16"/>
    <s v="Janet Leverling"/>
  </r>
  <r>
    <n v="10496"/>
    <n v="31"/>
    <n v="10"/>
    <n v="20"/>
    <n v="0.05"/>
    <x v="480"/>
    <x v="1"/>
    <x v="9"/>
    <x v="0"/>
    <x v="2"/>
    <s v="Robert King"/>
  </r>
  <r>
    <n v="10497"/>
    <n v="56"/>
    <n v="30.4"/>
    <n v="14"/>
    <n v="0"/>
    <x v="333"/>
    <x v="1"/>
    <x v="9"/>
    <x v="1"/>
    <x v="1"/>
    <s v="Robert King"/>
  </r>
  <r>
    <n v="10497"/>
    <n v="72"/>
    <n v="27.8"/>
    <n v="25"/>
    <n v="0"/>
    <x v="204"/>
    <x v="1"/>
    <x v="9"/>
    <x v="0"/>
    <x v="1"/>
    <s v="Robert King"/>
  </r>
  <r>
    <n v="10497"/>
    <n v="77"/>
    <n v="10.4"/>
    <n v="25"/>
    <n v="0"/>
    <x v="481"/>
    <x v="1"/>
    <x v="9"/>
    <x v="4"/>
    <x v="1"/>
    <s v="Robert King"/>
  </r>
  <r>
    <n v="10498"/>
    <n v="24"/>
    <n v="4.5"/>
    <n v="14"/>
    <n v="0"/>
    <x v="482"/>
    <x v="1"/>
    <x v="9"/>
    <x v="6"/>
    <x v="5"/>
    <s v="Laura Callahan"/>
  </r>
  <r>
    <n v="10498"/>
    <n v="40"/>
    <n v="18.399999999999999"/>
    <n v="5"/>
    <n v="0"/>
    <x v="483"/>
    <x v="1"/>
    <x v="9"/>
    <x v="3"/>
    <x v="5"/>
    <s v="Laura Callahan"/>
  </r>
  <r>
    <n v="10498"/>
    <n v="42"/>
    <n v="14"/>
    <n v="30"/>
    <n v="0"/>
    <x v="484"/>
    <x v="1"/>
    <x v="9"/>
    <x v="1"/>
    <x v="5"/>
    <s v="Laura Callahan"/>
  </r>
  <r>
    <n v="10499"/>
    <n v="28"/>
    <n v="45.6"/>
    <n v="20"/>
    <n v="0"/>
    <x v="353"/>
    <x v="1"/>
    <x v="9"/>
    <x v="2"/>
    <x v="5"/>
    <s v="Margaret Peacock"/>
  </r>
  <r>
    <n v="10499"/>
    <n v="49"/>
    <n v="20"/>
    <n v="25"/>
    <n v="0"/>
    <x v="485"/>
    <x v="1"/>
    <x v="9"/>
    <x v="5"/>
    <x v="5"/>
    <s v="Margaret Peacock"/>
  </r>
  <r>
    <n v="10500"/>
    <n v="15"/>
    <n v="15.5"/>
    <n v="12"/>
    <n v="0.05"/>
    <x v="486"/>
    <x v="1"/>
    <x v="9"/>
    <x v="4"/>
    <x v="0"/>
    <s v="Michael Suyama"/>
  </r>
  <r>
    <n v="10500"/>
    <n v="28"/>
    <n v="45.6"/>
    <n v="8"/>
    <n v="0.05"/>
    <x v="487"/>
    <x v="1"/>
    <x v="9"/>
    <x v="2"/>
    <x v="0"/>
    <s v="Michael Suyama"/>
  </r>
  <r>
    <n v="10501"/>
    <n v="54"/>
    <n v="7.45"/>
    <n v="20"/>
    <n v="0"/>
    <x v="488"/>
    <x v="1"/>
    <x v="9"/>
    <x v="7"/>
    <x v="1"/>
    <s v="Anne Dodsworth"/>
  </r>
  <r>
    <n v="10502"/>
    <n v="45"/>
    <n v="9.5"/>
    <n v="21"/>
    <n v="0"/>
    <x v="489"/>
    <x v="1"/>
    <x v="9"/>
    <x v="3"/>
    <x v="7"/>
    <s v="Andrew Fuller"/>
  </r>
  <r>
    <n v="10502"/>
    <n v="53"/>
    <n v="32.799999999999997"/>
    <n v="6"/>
    <n v="0"/>
    <x v="490"/>
    <x v="1"/>
    <x v="9"/>
    <x v="7"/>
    <x v="7"/>
    <s v="Andrew Fuller"/>
  </r>
  <r>
    <n v="10502"/>
    <n v="67"/>
    <n v="14"/>
    <n v="30"/>
    <n v="0"/>
    <x v="484"/>
    <x v="1"/>
    <x v="9"/>
    <x v="6"/>
    <x v="7"/>
    <s v="Andrew Fuller"/>
  </r>
  <r>
    <n v="10503"/>
    <n v="14"/>
    <n v="23.25"/>
    <n v="70"/>
    <n v="0"/>
    <x v="491"/>
    <x v="1"/>
    <x v="9"/>
    <x v="2"/>
    <x v="14"/>
    <s v="Michael Suyama"/>
  </r>
  <r>
    <n v="10503"/>
    <n v="65"/>
    <n v="21.05"/>
    <n v="20"/>
    <n v="0"/>
    <x v="492"/>
    <x v="1"/>
    <x v="9"/>
    <x v="4"/>
    <x v="14"/>
    <s v="Michael Suyama"/>
  </r>
  <r>
    <n v="10504"/>
    <n v="2"/>
    <n v="19"/>
    <n v="12"/>
    <n v="0"/>
    <x v="463"/>
    <x v="1"/>
    <x v="9"/>
    <x v="6"/>
    <x v="8"/>
    <s v="Margaret Peacock"/>
  </r>
  <r>
    <n v="10504"/>
    <n v="21"/>
    <n v="10"/>
    <n v="12"/>
    <n v="0"/>
    <x v="178"/>
    <x v="1"/>
    <x v="9"/>
    <x v="5"/>
    <x v="8"/>
    <s v="Margaret Peacock"/>
  </r>
  <r>
    <n v="10504"/>
    <n v="53"/>
    <n v="32.799999999999997"/>
    <n v="10"/>
    <n v="0"/>
    <x v="493"/>
    <x v="1"/>
    <x v="9"/>
    <x v="7"/>
    <x v="8"/>
    <s v="Margaret Peacock"/>
  </r>
  <r>
    <n v="10504"/>
    <n v="61"/>
    <n v="28.5"/>
    <n v="25"/>
    <n v="0"/>
    <x v="494"/>
    <x v="1"/>
    <x v="9"/>
    <x v="4"/>
    <x v="8"/>
    <s v="Margaret Peacock"/>
  </r>
  <r>
    <n v="10505"/>
    <n v="62"/>
    <n v="49.3"/>
    <n v="3"/>
    <n v="0"/>
    <x v="495"/>
    <x v="1"/>
    <x v="9"/>
    <x v="5"/>
    <x v="16"/>
    <s v="Janet Leverling"/>
  </r>
  <r>
    <n v="10506"/>
    <n v="25"/>
    <n v="14"/>
    <n v="18"/>
    <n v="0.1"/>
    <x v="478"/>
    <x v="1"/>
    <x v="9"/>
    <x v="5"/>
    <x v="1"/>
    <s v="Anne Dodsworth"/>
  </r>
  <r>
    <n v="10506"/>
    <n v="70"/>
    <n v="15"/>
    <n v="14"/>
    <n v="0.1"/>
    <x v="36"/>
    <x v="1"/>
    <x v="9"/>
    <x v="6"/>
    <x v="1"/>
    <s v="Anne Dodsworth"/>
  </r>
  <r>
    <n v="10507"/>
    <n v="43"/>
    <n v="46"/>
    <n v="15"/>
    <n v="0.15"/>
    <x v="496"/>
    <x v="1"/>
    <x v="9"/>
    <x v="6"/>
    <x v="7"/>
    <s v="Robert King"/>
  </r>
  <r>
    <n v="10507"/>
    <n v="48"/>
    <n v="12.75"/>
    <n v="15"/>
    <n v="0.15"/>
    <x v="497"/>
    <x v="1"/>
    <x v="9"/>
    <x v="5"/>
    <x v="7"/>
    <s v="Robert King"/>
  </r>
  <r>
    <n v="10508"/>
    <n v="13"/>
    <n v="6"/>
    <n v="10"/>
    <n v="0"/>
    <x v="148"/>
    <x v="1"/>
    <x v="9"/>
    <x v="3"/>
    <x v="1"/>
    <s v="Nancy Davolio"/>
  </r>
  <r>
    <n v="10508"/>
    <n v="39"/>
    <n v="18"/>
    <n v="10"/>
    <n v="0"/>
    <x v="229"/>
    <x v="1"/>
    <x v="9"/>
    <x v="6"/>
    <x v="1"/>
    <s v="Nancy Davolio"/>
  </r>
  <r>
    <n v="10509"/>
    <n v="28"/>
    <n v="45.6"/>
    <n v="3"/>
    <n v="0"/>
    <x v="498"/>
    <x v="1"/>
    <x v="9"/>
    <x v="2"/>
    <x v="1"/>
    <s v="Margaret Peacock"/>
  </r>
  <r>
    <n v="10510"/>
    <n v="29"/>
    <n v="123.79"/>
    <n v="36"/>
    <n v="0"/>
    <x v="499"/>
    <x v="1"/>
    <x v="9"/>
    <x v="7"/>
    <x v="8"/>
    <s v="Michael Suyama"/>
  </r>
  <r>
    <n v="10510"/>
    <n v="75"/>
    <n v="7.75"/>
    <n v="36"/>
    <n v="0.1"/>
    <x v="500"/>
    <x v="1"/>
    <x v="9"/>
    <x v="6"/>
    <x v="8"/>
    <s v="Michael Suyama"/>
  </r>
  <r>
    <n v="10511"/>
    <n v="4"/>
    <n v="22"/>
    <n v="50"/>
    <n v="0.15"/>
    <x v="501"/>
    <x v="1"/>
    <x v="9"/>
    <x v="4"/>
    <x v="0"/>
    <s v="Margaret Peacock"/>
  </r>
  <r>
    <n v="10511"/>
    <n v="7"/>
    <n v="30"/>
    <n v="50"/>
    <n v="0.15"/>
    <x v="502"/>
    <x v="1"/>
    <x v="9"/>
    <x v="2"/>
    <x v="0"/>
    <s v="Margaret Peacock"/>
  </r>
  <r>
    <n v="10511"/>
    <n v="8"/>
    <n v="40"/>
    <n v="10"/>
    <n v="0.15"/>
    <x v="107"/>
    <x v="1"/>
    <x v="9"/>
    <x v="4"/>
    <x v="0"/>
    <s v="Margaret Peacock"/>
  </r>
  <r>
    <n v="10512"/>
    <n v="24"/>
    <n v="4.5"/>
    <n v="10"/>
    <n v="0.15"/>
    <x v="503"/>
    <x v="1"/>
    <x v="9"/>
    <x v="6"/>
    <x v="2"/>
    <s v="Robert King"/>
  </r>
  <r>
    <n v="10512"/>
    <n v="46"/>
    <n v="12"/>
    <n v="9"/>
    <n v="0.15"/>
    <x v="504"/>
    <x v="1"/>
    <x v="9"/>
    <x v="3"/>
    <x v="2"/>
    <s v="Robert King"/>
  </r>
  <r>
    <n v="10512"/>
    <n v="47"/>
    <n v="9.5"/>
    <n v="6"/>
    <n v="0.15"/>
    <x v="505"/>
    <x v="1"/>
    <x v="9"/>
    <x v="5"/>
    <x v="2"/>
    <s v="Robert King"/>
  </r>
  <r>
    <n v="10512"/>
    <n v="60"/>
    <n v="34"/>
    <n v="12"/>
    <n v="0.15"/>
    <x v="506"/>
    <x v="1"/>
    <x v="9"/>
    <x v="0"/>
    <x v="2"/>
    <s v="Robert King"/>
  </r>
  <r>
    <n v="10513"/>
    <n v="21"/>
    <n v="10"/>
    <n v="40"/>
    <n v="0.2"/>
    <x v="317"/>
    <x v="1"/>
    <x v="9"/>
    <x v="5"/>
    <x v="1"/>
    <s v="Robert King"/>
  </r>
  <r>
    <n v="10513"/>
    <n v="32"/>
    <n v="32"/>
    <n v="50"/>
    <n v="0.2"/>
    <x v="507"/>
    <x v="1"/>
    <x v="9"/>
    <x v="0"/>
    <x v="1"/>
    <s v="Robert King"/>
  </r>
  <r>
    <n v="10513"/>
    <n v="61"/>
    <n v="28.5"/>
    <n v="15"/>
    <n v="0.2"/>
    <x v="508"/>
    <x v="1"/>
    <x v="9"/>
    <x v="4"/>
    <x v="1"/>
    <s v="Robert King"/>
  </r>
  <r>
    <n v="10514"/>
    <n v="20"/>
    <n v="81"/>
    <n v="39"/>
    <n v="0"/>
    <x v="509"/>
    <x v="1"/>
    <x v="9"/>
    <x v="5"/>
    <x v="6"/>
    <s v="Janet Leverling"/>
  </r>
  <r>
    <n v="10514"/>
    <n v="28"/>
    <n v="45.6"/>
    <n v="35"/>
    <n v="0"/>
    <x v="510"/>
    <x v="1"/>
    <x v="9"/>
    <x v="2"/>
    <x v="6"/>
    <s v="Janet Leverling"/>
  </r>
  <r>
    <n v="10514"/>
    <n v="56"/>
    <n v="38"/>
    <n v="70"/>
    <n v="0"/>
    <x v="511"/>
    <x v="1"/>
    <x v="9"/>
    <x v="1"/>
    <x v="6"/>
    <s v="Janet Leverling"/>
  </r>
  <r>
    <n v="10514"/>
    <n v="65"/>
    <n v="21.05"/>
    <n v="39"/>
    <n v="0"/>
    <x v="512"/>
    <x v="1"/>
    <x v="9"/>
    <x v="4"/>
    <x v="6"/>
    <s v="Janet Leverling"/>
  </r>
  <r>
    <n v="10514"/>
    <n v="75"/>
    <n v="7.75"/>
    <n v="50"/>
    <n v="0"/>
    <x v="513"/>
    <x v="1"/>
    <x v="9"/>
    <x v="6"/>
    <x v="6"/>
    <s v="Janet Leverling"/>
  </r>
  <r>
    <n v="10515"/>
    <n v="9"/>
    <n v="97"/>
    <n v="16"/>
    <n v="0.15"/>
    <x v="514"/>
    <x v="1"/>
    <x v="9"/>
    <x v="7"/>
    <x v="1"/>
    <s v="Andrew Fuller"/>
  </r>
  <r>
    <n v="10515"/>
    <n v="16"/>
    <n v="17.45"/>
    <n v="50"/>
    <n v="0"/>
    <x v="515"/>
    <x v="1"/>
    <x v="9"/>
    <x v="5"/>
    <x v="1"/>
    <s v="Andrew Fuller"/>
  </r>
  <r>
    <n v="10515"/>
    <n v="27"/>
    <n v="43.9"/>
    <n v="120"/>
    <n v="0"/>
    <x v="516"/>
    <x v="1"/>
    <x v="9"/>
    <x v="5"/>
    <x v="1"/>
    <s v="Andrew Fuller"/>
  </r>
  <r>
    <n v="10515"/>
    <n v="33"/>
    <n v="2.5"/>
    <n v="16"/>
    <n v="0.15"/>
    <x v="517"/>
    <x v="1"/>
    <x v="9"/>
    <x v="0"/>
    <x v="1"/>
    <s v="Andrew Fuller"/>
  </r>
  <r>
    <n v="10515"/>
    <n v="60"/>
    <n v="34"/>
    <n v="84"/>
    <n v="0.15"/>
    <x v="518"/>
    <x v="1"/>
    <x v="9"/>
    <x v="0"/>
    <x v="1"/>
    <s v="Andrew Fuller"/>
  </r>
  <r>
    <n v="10516"/>
    <n v="18"/>
    <n v="62.5"/>
    <n v="25"/>
    <n v="0.1"/>
    <x v="519"/>
    <x v="1"/>
    <x v="9"/>
    <x v="3"/>
    <x v="14"/>
    <s v="Andrew Fuller"/>
  </r>
  <r>
    <n v="10516"/>
    <n v="41"/>
    <n v="9.65"/>
    <n v="80"/>
    <n v="0.1"/>
    <x v="520"/>
    <x v="1"/>
    <x v="9"/>
    <x v="3"/>
    <x v="14"/>
    <s v="Andrew Fuller"/>
  </r>
  <r>
    <n v="10516"/>
    <n v="42"/>
    <n v="14"/>
    <n v="20"/>
    <n v="0"/>
    <x v="521"/>
    <x v="1"/>
    <x v="9"/>
    <x v="1"/>
    <x v="14"/>
    <s v="Andrew Fuller"/>
  </r>
  <r>
    <n v="10517"/>
    <n v="52"/>
    <n v="7"/>
    <n v="6"/>
    <n v="0"/>
    <x v="95"/>
    <x v="1"/>
    <x v="9"/>
    <x v="1"/>
    <x v="13"/>
    <s v="Janet Leverling"/>
  </r>
  <r>
    <n v="10517"/>
    <n v="59"/>
    <n v="55"/>
    <n v="4"/>
    <n v="0"/>
    <x v="522"/>
    <x v="1"/>
    <x v="9"/>
    <x v="0"/>
    <x v="13"/>
    <s v="Janet Leverling"/>
  </r>
  <r>
    <n v="10517"/>
    <n v="70"/>
    <n v="15"/>
    <n v="6"/>
    <n v="0"/>
    <x v="239"/>
    <x v="1"/>
    <x v="9"/>
    <x v="6"/>
    <x v="13"/>
    <s v="Janet Leverling"/>
  </r>
  <r>
    <n v="10518"/>
    <n v="24"/>
    <n v="4.5"/>
    <n v="5"/>
    <n v="0"/>
    <x v="523"/>
    <x v="1"/>
    <x v="9"/>
    <x v="6"/>
    <x v="7"/>
    <s v="Margaret Peacock"/>
  </r>
  <r>
    <n v="10518"/>
    <n v="38"/>
    <n v="263.5"/>
    <n v="15"/>
    <n v="0"/>
    <x v="524"/>
    <x v="1"/>
    <x v="9"/>
    <x v="6"/>
    <x v="7"/>
    <s v="Margaret Peacock"/>
  </r>
  <r>
    <n v="10518"/>
    <n v="44"/>
    <n v="19.45"/>
    <n v="9"/>
    <n v="0"/>
    <x v="525"/>
    <x v="1"/>
    <x v="9"/>
    <x v="4"/>
    <x v="7"/>
    <s v="Margaret Peacock"/>
  </r>
  <r>
    <n v="10519"/>
    <n v="10"/>
    <n v="31"/>
    <n v="16"/>
    <n v="0.05"/>
    <x v="460"/>
    <x v="1"/>
    <x v="9"/>
    <x v="3"/>
    <x v="4"/>
    <s v="Michael Suyama"/>
  </r>
  <r>
    <n v="10519"/>
    <n v="56"/>
    <n v="38"/>
    <n v="40"/>
    <n v="0"/>
    <x v="526"/>
    <x v="1"/>
    <x v="9"/>
    <x v="1"/>
    <x v="4"/>
    <s v="Michael Suyama"/>
  </r>
  <r>
    <n v="10519"/>
    <n v="60"/>
    <n v="34"/>
    <n v="10"/>
    <n v="0.05"/>
    <x v="527"/>
    <x v="1"/>
    <x v="9"/>
    <x v="0"/>
    <x v="4"/>
    <s v="Michael Suyama"/>
  </r>
  <r>
    <n v="10520"/>
    <n v="24"/>
    <n v="4.5"/>
    <n v="8"/>
    <n v="0"/>
    <x v="114"/>
    <x v="1"/>
    <x v="9"/>
    <x v="6"/>
    <x v="19"/>
    <s v="Robert King"/>
  </r>
  <r>
    <n v="10520"/>
    <n v="53"/>
    <n v="32.799999999999997"/>
    <n v="5"/>
    <n v="0"/>
    <x v="528"/>
    <x v="1"/>
    <x v="9"/>
    <x v="7"/>
    <x v="19"/>
    <s v="Robert King"/>
  </r>
  <r>
    <n v="10521"/>
    <n v="35"/>
    <n v="18"/>
    <n v="3"/>
    <n v="0"/>
    <x v="303"/>
    <x v="1"/>
    <x v="9"/>
    <x v="6"/>
    <x v="20"/>
    <s v="Laura Callahan"/>
  </r>
  <r>
    <n v="10521"/>
    <n v="41"/>
    <n v="9.65"/>
    <n v="10"/>
    <n v="0"/>
    <x v="529"/>
    <x v="1"/>
    <x v="9"/>
    <x v="3"/>
    <x v="20"/>
    <s v="Laura Callahan"/>
  </r>
  <r>
    <n v="10521"/>
    <n v="68"/>
    <n v="12.5"/>
    <n v="6"/>
    <n v="0"/>
    <x v="530"/>
    <x v="1"/>
    <x v="9"/>
    <x v="5"/>
    <x v="20"/>
    <s v="Laura Callahan"/>
  </r>
  <r>
    <n v="10522"/>
    <n v="1"/>
    <n v="18"/>
    <n v="40"/>
    <n v="0.2"/>
    <x v="242"/>
    <x v="1"/>
    <x v="9"/>
    <x v="6"/>
    <x v="1"/>
    <s v="Margaret Peacock"/>
  </r>
  <r>
    <n v="10522"/>
    <n v="8"/>
    <n v="40"/>
    <n v="24"/>
    <n v="0"/>
    <x v="531"/>
    <x v="1"/>
    <x v="9"/>
    <x v="4"/>
    <x v="1"/>
    <s v="Margaret Peacock"/>
  </r>
  <r>
    <n v="10522"/>
    <n v="30"/>
    <n v="25.89"/>
    <n v="20"/>
    <n v="0.2"/>
    <x v="532"/>
    <x v="1"/>
    <x v="9"/>
    <x v="3"/>
    <x v="1"/>
    <s v="Margaret Peacock"/>
  </r>
  <r>
    <n v="10522"/>
    <n v="40"/>
    <n v="18.399999999999999"/>
    <n v="25"/>
    <n v="0.2"/>
    <x v="533"/>
    <x v="1"/>
    <x v="9"/>
    <x v="3"/>
    <x v="1"/>
    <s v="Margaret Peacock"/>
  </r>
  <r>
    <n v="10523"/>
    <n v="17"/>
    <n v="39"/>
    <n v="25"/>
    <n v="0.1"/>
    <x v="25"/>
    <x v="1"/>
    <x v="10"/>
    <x v="7"/>
    <x v="13"/>
    <s v="Robert King"/>
  </r>
  <r>
    <n v="10523"/>
    <n v="20"/>
    <n v="81"/>
    <n v="15"/>
    <n v="0.1"/>
    <x v="534"/>
    <x v="1"/>
    <x v="10"/>
    <x v="5"/>
    <x v="13"/>
    <s v="Robert King"/>
  </r>
  <r>
    <n v="10523"/>
    <n v="37"/>
    <n v="26"/>
    <n v="18"/>
    <n v="0.1"/>
    <x v="535"/>
    <x v="1"/>
    <x v="10"/>
    <x v="3"/>
    <x v="13"/>
    <s v="Robert King"/>
  </r>
  <r>
    <n v="10523"/>
    <n v="41"/>
    <n v="9.65"/>
    <n v="6"/>
    <n v="0.1"/>
    <x v="536"/>
    <x v="1"/>
    <x v="10"/>
    <x v="3"/>
    <x v="13"/>
    <s v="Robert King"/>
  </r>
  <r>
    <n v="10524"/>
    <n v="10"/>
    <n v="31"/>
    <n v="2"/>
    <n v="0"/>
    <x v="160"/>
    <x v="1"/>
    <x v="10"/>
    <x v="3"/>
    <x v="9"/>
    <s v="Nancy Davolio"/>
  </r>
  <r>
    <n v="10524"/>
    <n v="30"/>
    <n v="25.89"/>
    <n v="10"/>
    <n v="0"/>
    <x v="537"/>
    <x v="1"/>
    <x v="10"/>
    <x v="3"/>
    <x v="9"/>
    <s v="Nancy Davolio"/>
  </r>
  <r>
    <n v="10524"/>
    <n v="43"/>
    <n v="46"/>
    <n v="60"/>
    <n v="0"/>
    <x v="538"/>
    <x v="1"/>
    <x v="10"/>
    <x v="6"/>
    <x v="9"/>
    <s v="Nancy Davolio"/>
  </r>
  <r>
    <n v="10524"/>
    <n v="54"/>
    <n v="7.45"/>
    <n v="15"/>
    <n v="0"/>
    <x v="539"/>
    <x v="1"/>
    <x v="10"/>
    <x v="7"/>
    <x v="9"/>
    <s v="Nancy Davolio"/>
  </r>
  <r>
    <n v="10525"/>
    <n v="36"/>
    <n v="19"/>
    <n v="30"/>
    <n v="0"/>
    <x v="422"/>
    <x v="1"/>
    <x v="10"/>
    <x v="3"/>
    <x v="0"/>
    <s v="Nancy Davolio"/>
  </r>
  <r>
    <n v="10525"/>
    <n v="40"/>
    <n v="18.399999999999999"/>
    <n v="15"/>
    <n v="0.1"/>
    <x v="540"/>
    <x v="1"/>
    <x v="10"/>
    <x v="3"/>
    <x v="0"/>
    <s v="Nancy Davolio"/>
  </r>
  <r>
    <n v="10526"/>
    <n v="1"/>
    <n v="18"/>
    <n v="8"/>
    <n v="0.15"/>
    <x v="103"/>
    <x v="1"/>
    <x v="10"/>
    <x v="6"/>
    <x v="10"/>
    <s v="Margaret Peacock"/>
  </r>
  <r>
    <n v="10526"/>
    <n v="13"/>
    <n v="6"/>
    <n v="10"/>
    <n v="0"/>
    <x v="148"/>
    <x v="1"/>
    <x v="10"/>
    <x v="3"/>
    <x v="10"/>
    <s v="Margaret Peacock"/>
  </r>
  <r>
    <n v="10526"/>
    <n v="56"/>
    <n v="38"/>
    <n v="30"/>
    <n v="0.15"/>
    <x v="541"/>
    <x v="1"/>
    <x v="10"/>
    <x v="1"/>
    <x v="10"/>
    <s v="Margaret Peacock"/>
  </r>
  <r>
    <n v="10527"/>
    <n v="4"/>
    <n v="22"/>
    <n v="50"/>
    <n v="0.1"/>
    <x v="54"/>
    <x v="1"/>
    <x v="10"/>
    <x v="4"/>
    <x v="1"/>
    <s v="Robert King"/>
  </r>
  <r>
    <n v="10527"/>
    <n v="36"/>
    <n v="19"/>
    <n v="30"/>
    <n v="0.1"/>
    <x v="542"/>
    <x v="1"/>
    <x v="10"/>
    <x v="3"/>
    <x v="1"/>
    <s v="Robert King"/>
  </r>
  <r>
    <n v="10528"/>
    <n v="11"/>
    <n v="21"/>
    <n v="3"/>
    <n v="0"/>
    <x v="482"/>
    <x v="1"/>
    <x v="10"/>
    <x v="0"/>
    <x v="8"/>
    <s v="Michael Suyama"/>
  </r>
  <r>
    <n v="10528"/>
    <n v="33"/>
    <n v="2.5"/>
    <n v="8"/>
    <n v="0.2"/>
    <x v="213"/>
    <x v="1"/>
    <x v="10"/>
    <x v="0"/>
    <x v="8"/>
    <s v="Michael Suyama"/>
  </r>
  <r>
    <n v="10528"/>
    <n v="72"/>
    <n v="34.799999999999997"/>
    <n v="9"/>
    <n v="0"/>
    <x v="543"/>
    <x v="1"/>
    <x v="10"/>
    <x v="0"/>
    <x v="8"/>
    <s v="Michael Suyama"/>
  </r>
  <r>
    <n v="10529"/>
    <n v="55"/>
    <n v="24"/>
    <n v="14"/>
    <n v="0"/>
    <x v="10"/>
    <x v="1"/>
    <x v="10"/>
    <x v="7"/>
    <x v="3"/>
    <s v="Steven Buchanan"/>
  </r>
  <r>
    <n v="10529"/>
    <n v="68"/>
    <n v="12.5"/>
    <n v="20"/>
    <n v="0"/>
    <x v="544"/>
    <x v="1"/>
    <x v="10"/>
    <x v="5"/>
    <x v="3"/>
    <s v="Steven Buchanan"/>
  </r>
  <r>
    <n v="10529"/>
    <n v="69"/>
    <n v="36"/>
    <n v="10"/>
    <n v="0"/>
    <x v="40"/>
    <x v="1"/>
    <x v="10"/>
    <x v="0"/>
    <x v="3"/>
    <s v="Steven Buchanan"/>
  </r>
  <r>
    <n v="10530"/>
    <n v="17"/>
    <n v="39"/>
    <n v="40"/>
    <n v="0"/>
    <x v="545"/>
    <x v="1"/>
    <x v="10"/>
    <x v="7"/>
    <x v="6"/>
    <s v="Janet Leverling"/>
  </r>
  <r>
    <n v="10530"/>
    <n v="43"/>
    <n v="46"/>
    <n v="25"/>
    <n v="0"/>
    <x v="546"/>
    <x v="1"/>
    <x v="10"/>
    <x v="6"/>
    <x v="6"/>
    <s v="Janet Leverling"/>
  </r>
  <r>
    <n v="10530"/>
    <n v="61"/>
    <n v="28.5"/>
    <n v="20"/>
    <n v="0"/>
    <x v="422"/>
    <x v="1"/>
    <x v="10"/>
    <x v="4"/>
    <x v="6"/>
    <s v="Janet Leverling"/>
  </r>
  <r>
    <n v="10530"/>
    <n v="76"/>
    <n v="18"/>
    <n v="50"/>
    <n v="0"/>
    <x v="547"/>
    <x v="1"/>
    <x v="10"/>
    <x v="6"/>
    <x v="6"/>
    <s v="Janet Leverling"/>
  </r>
  <r>
    <n v="10531"/>
    <n v="59"/>
    <n v="55"/>
    <n v="2"/>
    <n v="0"/>
    <x v="548"/>
    <x v="1"/>
    <x v="10"/>
    <x v="0"/>
    <x v="20"/>
    <s v="Robert King"/>
  </r>
  <r>
    <n v="10532"/>
    <n v="30"/>
    <n v="25.89"/>
    <n v="15"/>
    <n v="0"/>
    <x v="549"/>
    <x v="1"/>
    <x v="10"/>
    <x v="3"/>
    <x v="13"/>
    <s v="Robert King"/>
  </r>
  <r>
    <n v="10532"/>
    <n v="66"/>
    <n v="17"/>
    <n v="24"/>
    <n v="0"/>
    <x v="94"/>
    <x v="1"/>
    <x v="10"/>
    <x v="4"/>
    <x v="13"/>
    <s v="Robert King"/>
  </r>
  <r>
    <n v="10533"/>
    <n v="4"/>
    <n v="22"/>
    <n v="50"/>
    <n v="0.05"/>
    <x v="550"/>
    <x v="1"/>
    <x v="10"/>
    <x v="4"/>
    <x v="9"/>
    <s v="Laura Callahan"/>
  </r>
  <r>
    <n v="10533"/>
    <n v="72"/>
    <n v="34.799999999999997"/>
    <n v="24"/>
    <n v="0"/>
    <x v="551"/>
    <x v="1"/>
    <x v="10"/>
    <x v="0"/>
    <x v="9"/>
    <s v="Laura Callahan"/>
  </r>
  <r>
    <n v="10533"/>
    <n v="73"/>
    <n v="15"/>
    <n v="24"/>
    <n v="0.05"/>
    <x v="508"/>
    <x v="1"/>
    <x v="10"/>
    <x v="3"/>
    <x v="9"/>
    <s v="Laura Callahan"/>
  </r>
  <r>
    <n v="10534"/>
    <n v="30"/>
    <n v="25.89"/>
    <n v="10"/>
    <n v="0"/>
    <x v="537"/>
    <x v="1"/>
    <x v="10"/>
    <x v="3"/>
    <x v="1"/>
    <s v="Laura Callahan"/>
  </r>
  <r>
    <n v="10534"/>
    <n v="40"/>
    <n v="18.399999999999999"/>
    <n v="10"/>
    <n v="0.2"/>
    <x v="552"/>
    <x v="1"/>
    <x v="10"/>
    <x v="3"/>
    <x v="1"/>
    <s v="Laura Callahan"/>
  </r>
  <r>
    <n v="10534"/>
    <n v="54"/>
    <n v="7.45"/>
    <n v="10"/>
    <n v="0.2"/>
    <x v="553"/>
    <x v="1"/>
    <x v="10"/>
    <x v="7"/>
    <x v="1"/>
    <s v="Laura Callahan"/>
  </r>
  <r>
    <n v="10535"/>
    <n v="11"/>
    <n v="21"/>
    <n v="50"/>
    <n v="0.1"/>
    <x v="554"/>
    <x v="1"/>
    <x v="10"/>
    <x v="0"/>
    <x v="7"/>
    <s v="Margaret Peacock"/>
  </r>
  <r>
    <n v="10535"/>
    <n v="40"/>
    <n v="18.399999999999999"/>
    <n v="10"/>
    <n v="0.1"/>
    <x v="441"/>
    <x v="1"/>
    <x v="10"/>
    <x v="3"/>
    <x v="7"/>
    <s v="Margaret Peacock"/>
  </r>
  <r>
    <n v="10535"/>
    <n v="57"/>
    <n v="19.5"/>
    <n v="5"/>
    <n v="0.1"/>
    <x v="555"/>
    <x v="1"/>
    <x v="10"/>
    <x v="1"/>
    <x v="7"/>
    <s v="Margaret Peacock"/>
  </r>
  <r>
    <n v="10535"/>
    <n v="59"/>
    <n v="55"/>
    <n v="15"/>
    <n v="0.1"/>
    <x v="556"/>
    <x v="1"/>
    <x v="10"/>
    <x v="0"/>
    <x v="7"/>
    <s v="Margaret Peacock"/>
  </r>
  <r>
    <n v="10536"/>
    <n v="12"/>
    <n v="38"/>
    <n v="15"/>
    <n v="0.25"/>
    <x v="557"/>
    <x v="1"/>
    <x v="10"/>
    <x v="0"/>
    <x v="1"/>
    <s v="Janet Leverling"/>
  </r>
  <r>
    <n v="10536"/>
    <n v="31"/>
    <n v="12.5"/>
    <n v="20"/>
    <n v="0"/>
    <x v="544"/>
    <x v="1"/>
    <x v="10"/>
    <x v="0"/>
    <x v="1"/>
    <s v="Janet Leverling"/>
  </r>
  <r>
    <n v="10536"/>
    <n v="33"/>
    <n v="2.5"/>
    <n v="30"/>
    <n v="0"/>
    <x v="530"/>
    <x v="1"/>
    <x v="10"/>
    <x v="0"/>
    <x v="1"/>
    <s v="Janet Leverling"/>
  </r>
  <r>
    <n v="10536"/>
    <n v="60"/>
    <n v="34"/>
    <n v="35"/>
    <n v="0.25"/>
    <x v="558"/>
    <x v="1"/>
    <x v="10"/>
    <x v="0"/>
    <x v="1"/>
    <s v="Janet Leverling"/>
  </r>
  <r>
    <n v="10537"/>
    <n v="31"/>
    <n v="12.5"/>
    <n v="30"/>
    <n v="0"/>
    <x v="559"/>
    <x v="1"/>
    <x v="10"/>
    <x v="0"/>
    <x v="4"/>
    <s v="Nancy Davolio"/>
  </r>
  <r>
    <n v="10537"/>
    <n v="51"/>
    <n v="53"/>
    <n v="6"/>
    <n v="0"/>
    <x v="560"/>
    <x v="1"/>
    <x v="10"/>
    <x v="2"/>
    <x v="4"/>
    <s v="Nancy Davolio"/>
  </r>
  <r>
    <n v="10537"/>
    <n v="58"/>
    <n v="13.25"/>
    <n v="20"/>
    <n v="0"/>
    <x v="561"/>
    <x v="1"/>
    <x v="10"/>
    <x v="3"/>
    <x v="4"/>
    <s v="Nancy Davolio"/>
  </r>
  <r>
    <n v="10537"/>
    <n v="72"/>
    <n v="34.799999999999997"/>
    <n v="21"/>
    <n v="0"/>
    <x v="562"/>
    <x v="1"/>
    <x v="10"/>
    <x v="0"/>
    <x v="4"/>
    <s v="Nancy Davolio"/>
  </r>
  <r>
    <n v="10537"/>
    <n v="73"/>
    <n v="15"/>
    <n v="9"/>
    <n v="0"/>
    <x v="135"/>
    <x v="1"/>
    <x v="10"/>
    <x v="3"/>
    <x v="4"/>
    <s v="Nancy Davolio"/>
  </r>
  <r>
    <n v="10538"/>
    <n v="70"/>
    <n v="15"/>
    <n v="7"/>
    <n v="0"/>
    <x v="563"/>
    <x v="1"/>
    <x v="10"/>
    <x v="6"/>
    <x v="13"/>
    <s v="Anne Dodsworth"/>
  </r>
  <r>
    <n v="10538"/>
    <n v="72"/>
    <n v="34.799999999999997"/>
    <n v="1"/>
    <n v="0"/>
    <x v="564"/>
    <x v="1"/>
    <x v="10"/>
    <x v="0"/>
    <x v="13"/>
    <s v="Anne Dodsworth"/>
  </r>
  <r>
    <n v="10539"/>
    <n v="13"/>
    <n v="6"/>
    <n v="8"/>
    <n v="0"/>
    <x v="60"/>
    <x v="1"/>
    <x v="10"/>
    <x v="3"/>
    <x v="13"/>
    <s v="Michael Suyama"/>
  </r>
  <r>
    <n v="10539"/>
    <n v="21"/>
    <n v="10"/>
    <n v="15"/>
    <n v="0"/>
    <x v="565"/>
    <x v="1"/>
    <x v="10"/>
    <x v="5"/>
    <x v="13"/>
    <s v="Michael Suyama"/>
  </r>
  <r>
    <n v="10539"/>
    <n v="33"/>
    <n v="2.5"/>
    <n v="15"/>
    <n v="0"/>
    <x v="566"/>
    <x v="1"/>
    <x v="10"/>
    <x v="0"/>
    <x v="13"/>
    <s v="Michael Suyama"/>
  </r>
  <r>
    <n v="10539"/>
    <n v="49"/>
    <n v="20"/>
    <n v="6"/>
    <n v="0"/>
    <x v="178"/>
    <x v="1"/>
    <x v="10"/>
    <x v="5"/>
    <x v="13"/>
    <s v="Michael Suyama"/>
  </r>
  <r>
    <n v="10540"/>
    <n v="3"/>
    <n v="10"/>
    <n v="60"/>
    <n v="0"/>
    <x v="113"/>
    <x v="1"/>
    <x v="10"/>
    <x v="4"/>
    <x v="1"/>
    <s v="Janet Leverling"/>
  </r>
  <r>
    <n v="10540"/>
    <n v="26"/>
    <n v="31.23"/>
    <n v="40"/>
    <n v="0"/>
    <x v="567"/>
    <x v="1"/>
    <x v="10"/>
    <x v="5"/>
    <x v="1"/>
    <s v="Janet Leverling"/>
  </r>
  <r>
    <n v="10540"/>
    <n v="38"/>
    <n v="263.5"/>
    <n v="30"/>
    <n v="0"/>
    <x v="568"/>
    <x v="1"/>
    <x v="10"/>
    <x v="6"/>
    <x v="1"/>
    <s v="Janet Leverling"/>
  </r>
  <r>
    <n v="10540"/>
    <n v="68"/>
    <n v="12.5"/>
    <n v="35"/>
    <n v="0"/>
    <x v="569"/>
    <x v="1"/>
    <x v="10"/>
    <x v="5"/>
    <x v="1"/>
    <s v="Janet Leverling"/>
  </r>
  <r>
    <n v="10541"/>
    <n v="24"/>
    <n v="4.5"/>
    <n v="35"/>
    <n v="0.1"/>
    <x v="570"/>
    <x v="1"/>
    <x v="10"/>
    <x v="6"/>
    <x v="2"/>
    <s v="Andrew Fuller"/>
  </r>
  <r>
    <n v="10541"/>
    <n v="38"/>
    <n v="263.5"/>
    <n v="4"/>
    <n v="0.1"/>
    <x v="571"/>
    <x v="1"/>
    <x v="10"/>
    <x v="6"/>
    <x v="2"/>
    <s v="Andrew Fuller"/>
  </r>
  <r>
    <n v="10541"/>
    <n v="65"/>
    <n v="21.05"/>
    <n v="36"/>
    <n v="0.1"/>
    <x v="572"/>
    <x v="1"/>
    <x v="10"/>
    <x v="4"/>
    <x v="2"/>
    <s v="Andrew Fuller"/>
  </r>
  <r>
    <n v="10541"/>
    <n v="71"/>
    <n v="21.5"/>
    <n v="9"/>
    <n v="0.1"/>
    <x v="573"/>
    <x v="1"/>
    <x v="10"/>
    <x v="0"/>
    <x v="2"/>
    <s v="Andrew Fuller"/>
  </r>
  <r>
    <n v="10542"/>
    <n v="11"/>
    <n v="21"/>
    <n v="15"/>
    <n v="0.05"/>
    <x v="574"/>
    <x v="1"/>
    <x v="10"/>
    <x v="0"/>
    <x v="1"/>
    <s v="Nancy Davolio"/>
  </r>
  <r>
    <n v="10542"/>
    <n v="54"/>
    <n v="7.45"/>
    <n v="24"/>
    <n v="0.05"/>
    <x v="575"/>
    <x v="1"/>
    <x v="10"/>
    <x v="7"/>
    <x v="1"/>
    <s v="Nancy Davolio"/>
  </r>
  <r>
    <n v="10543"/>
    <n v="12"/>
    <n v="38"/>
    <n v="30"/>
    <n v="0.15"/>
    <x v="541"/>
    <x v="1"/>
    <x v="10"/>
    <x v="0"/>
    <x v="5"/>
    <s v="Laura Callahan"/>
  </r>
  <r>
    <n v="10543"/>
    <n v="23"/>
    <n v="9"/>
    <n v="70"/>
    <n v="0.15"/>
    <x v="576"/>
    <x v="1"/>
    <x v="10"/>
    <x v="1"/>
    <x v="5"/>
    <s v="Laura Callahan"/>
  </r>
  <r>
    <n v="10544"/>
    <n v="28"/>
    <n v="45.6"/>
    <n v="7"/>
    <n v="0"/>
    <x v="577"/>
    <x v="1"/>
    <x v="10"/>
    <x v="2"/>
    <x v="8"/>
    <s v="Margaret Peacock"/>
  </r>
  <r>
    <n v="10544"/>
    <n v="67"/>
    <n v="14"/>
    <n v="7"/>
    <n v="0"/>
    <x v="1"/>
    <x v="1"/>
    <x v="10"/>
    <x v="6"/>
    <x v="8"/>
    <s v="Margaret Peacock"/>
  </r>
  <r>
    <n v="10545"/>
    <n v="11"/>
    <n v="21"/>
    <n v="10"/>
    <n v="0"/>
    <x v="578"/>
    <x v="1"/>
    <x v="10"/>
    <x v="0"/>
    <x v="8"/>
    <s v="Laura Callahan"/>
  </r>
  <r>
    <n v="10546"/>
    <n v="7"/>
    <n v="30"/>
    <n v="10"/>
    <n v="0"/>
    <x v="79"/>
    <x v="1"/>
    <x v="10"/>
    <x v="2"/>
    <x v="0"/>
    <s v="Nancy Davolio"/>
  </r>
  <r>
    <n v="10546"/>
    <n v="35"/>
    <n v="18"/>
    <n v="30"/>
    <n v="0"/>
    <x v="311"/>
    <x v="1"/>
    <x v="10"/>
    <x v="6"/>
    <x v="0"/>
    <s v="Nancy Davolio"/>
  </r>
  <r>
    <n v="10546"/>
    <n v="62"/>
    <n v="49.3"/>
    <n v="40"/>
    <n v="0"/>
    <x v="579"/>
    <x v="1"/>
    <x v="10"/>
    <x v="5"/>
    <x v="0"/>
    <s v="Nancy Davolio"/>
  </r>
  <r>
    <n v="10547"/>
    <n v="32"/>
    <n v="32"/>
    <n v="24"/>
    <n v="0.15"/>
    <x v="580"/>
    <x v="1"/>
    <x v="10"/>
    <x v="0"/>
    <x v="13"/>
    <s v="Janet Leverling"/>
  </r>
  <r>
    <n v="10547"/>
    <n v="36"/>
    <n v="19"/>
    <n v="60"/>
    <n v="0"/>
    <x v="581"/>
    <x v="1"/>
    <x v="10"/>
    <x v="3"/>
    <x v="13"/>
    <s v="Janet Leverling"/>
  </r>
  <r>
    <n v="10548"/>
    <n v="34"/>
    <n v="14"/>
    <n v="10"/>
    <n v="0.25"/>
    <x v="563"/>
    <x v="1"/>
    <x v="10"/>
    <x v="6"/>
    <x v="1"/>
    <s v="Janet Leverling"/>
  </r>
  <r>
    <n v="10548"/>
    <n v="41"/>
    <n v="9.65"/>
    <n v="14"/>
    <n v="0"/>
    <x v="582"/>
    <x v="1"/>
    <x v="10"/>
    <x v="3"/>
    <x v="1"/>
    <s v="Janet Leverling"/>
  </r>
  <r>
    <n v="10549"/>
    <n v="31"/>
    <n v="12.5"/>
    <n v="55"/>
    <n v="0.15"/>
    <x v="583"/>
    <x v="1"/>
    <x v="10"/>
    <x v="0"/>
    <x v="1"/>
    <s v="Steven Buchanan"/>
  </r>
  <r>
    <n v="10549"/>
    <n v="45"/>
    <n v="9.5"/>
    <n v="100"/>
    <n v="0.15"/>
    <x v="584"/>
    <x v="1"/>
    <x v="10"/>
    <x v="3"/>
    <x v="1"/>
    <s v="Steven Buchanan"/>
  </r>
  <r>
    <n v="10549"/>
    <n v="51"/>
    <n v="53"/>
    <n v="48"/>
    <n v="0.15"/>
    <x v="585"/>
    <x v="1"/>
    <x v="10"/>
    <x v="2"/>
    <x v="1"/>
    <s v="Steven Buchanan"/>
  </r>
  <r>
    <n v="10550"/>
    <n v="17"/>
    <n v="39"/>
    <n v="8"/>
    <n v="0.1"/>
    <x v="78"/>
    <x v="1"/>
    <x v="10"/>
    <x v="7"/>
    <x v="12"/>
    <s v="Robert King"/>
  </r>
  <r>
    <n v="10550"/>
    <n v="19"/>
    <n v="9.1999999999999993"/>
    <n v="10"/>
    <n v="0"/>
    <x v="483"/>
    <x v="1"/>
    <x v="10"/>
    <x v="5"/>
    <x v="12"/>
    <s v="Robert King"/>
  </r>
  <r>
    <n v="10550"/>
    <n v="21"/>
    <n v="10"/>
    <n v="6"/>
    <n v="0.1"/>
    <x v="303"/>
    <x v="1"/>
    <x v="10"/>
    <x v="5"/>
    <x v="12"/>
    <s v="Robert King"/>
  </r>
  <r>
    <n v="10550"/>
    <n v="61"/>
    <n v="28.5"/>
    <n v="10"/>
    <n v="0.1"/>
    <x v="586"/>
    <x v="1"/>
    <x v="10"/>
    <x v="4"/>
    <x v="12"/>
    <s v="Robert King"/>
  </r>
  <r>
    <n v="10551"/>
    <n v="16"/>
    <n v="17.45"/>
    <n v="40"/>
    <n v="0.15"/>
    <x v="587"/>
    <x v="1"/>
    <x v="10"/>
    <x v="5"/>
    <x v="15"/>
    <s v="Margaret Peacock"/>
  </r>
  <r>
    <n v="10551"/>
    <n v="35"/>
    <n v="18"/>
    <n v="20"/>
    <n v="0.15"/>
    <x v="588"/>
    <x v="1"/>
    <x v="10"/>
    <x v="6"/>
    <x v="15"/>
    <s v="Margaret Peacock"/>
  </r>
  <r>
    <n v="10551"/>
    <n v="44"/>
    <n v="19.45"/>
    <n v="40"/>
    <n v="0"/>
    <x v="589"/>
    <x v="1"/>
    <x v="10"/>
    <x v="4"/>
    <x v="15"/>
    <s v="Margaret Peacock"/>
  </r>
  <r>
    <n v="10552"/>
    <n v="69"/>
    <n v="36"/>
    <n v="18"/>
    <n v="0"/>
    <x v="468"/>
    <x v="1"/>
    <x v="10"/>
    <x v="0"/>
    <x v="5"/>
    <s v="Andrew Fuller"/>
  </r>
  <r>
    <n v="10552"/>
    <n v="75"/>
    <n v="7.75"/>
    <n v="30"/>
    <n v="0"/>
    <x v="590"/>
    <x v="1"/>
    <x v="10"/>
    <x v="6"/>
    <x v="5"/>
    <s v="Andrew Fuller"/>
  </r>
  <r>
    <n v="10553"/>
    <n v="11"/>
    <n v="21"/>
    <n v="15"/>
    <n v="0"/>
    <x v="591"/>
    <x v="1"/>
    <x v="10"/>
    <x v="0"/>
    <x v="10"/>
    <s v="Andrew Fuller"/>
  </r>
  <r>
    <n v="10553"/>
    <n v="16"/>
    <n v="17.45"/>
    <n v="14"/>
    <n v="0"/>
    <x v="592"/>
    <x v="1"/>
    <x v="10"/>
    <x v="5"/>
    <x v="10"/>
    <s v="Andrew Fuller"/>
  </r>
  <r>
    <n v="10553"/>
    <n v="22"/>
    <n v="21"/>
    <n v="24"/>
    <n v="0"/>
    <x v="326"/>
    <x v="1"/>
    <x v="10"/>
    <x v="1"/>
    <x v="10"/>
    <s v="Andrew Fuller"/>
  </r>
  <r>
    <n v="10553"/>
    <n v="31"/>
    <n v="12.5"/>
    <n v="30"/>
    <n v="0"/>
    <x v="559"/>
    <x v="1"/>
    <x v="10"/>
    <x v="0"/>
    <x v="10"/>
    <s v="Andrew Fuller"/>
  </r>
  <r>
    <n v="10553"/>
    <n v="35"/>
    <n v="18"/>
    <n v="6"/>
    <n v="0"/>
    <x v="446"/>
    <x v="1"/>
    <x v="10"/>
    <x v="6"/>
    <x v="10"/>
    <s v="Andrew Fuller"/>
  </r>
  <r>
    <n v="10554"/>
    <n v="16"/>
    <n v="17.45"/>
    <n v="30"/>
    <n v="0.05"/>
    <x v="593"/>
    <x v="1"/>
    <x v="10"/>
    <x v="5"/>
    <x v="1"/>
    <s v="Margaret Peacock"/>
  </r>
  <r>
    <n v="10554"/>
    <n v="23"/>
    <n v="9"/>
    <n v="20"/>
    <n v="0.05"/>
    <x v="378"/>
    <x v="1"/>
    <x v="10"/>
    <x v="1"/>
    <x v="1"/>
    <s v="Margaret Peacock"/>
  </r>
  <r>
    <n v="10554"/>
    <n v="62"/>
    <n v="49.3"/>
    <n v="20"/>
    <n v="0.05"/>
    <x v="594"/>
    <x v="1"/>
    <x v="10"/>
    <x v="5"/>
    <x v="1"/>
    <s v="Margaret Peacock"/>
  </r>
  <r>
    <n v="10554"/>
    <n v="77"/>
    <n v="13"/>
    <n v="10"/>
    <n v="0.05"/>
    <x v="595"/>
    <x v="1"/>
    <x v="10"/>
    <x v="4"/>
    <x v="1"/>
    <s v="Margaret Peacock"/>
  </r>
  <r>
    <n v="10555"/>
    <n v="14"/>
    <n v="23.25"/>
    <n v="30"/>
    <n v="0.2"/>
    <x v="596"/>
    <x v="1"/>
    <x v="11"/>
    <x v="2"/>
    <x v="8"/>
    <s v="Michael Suyama"/>
  </r>
  <r>
    <n v="10555"/>
    <n v="19"/>
    <n v="9.1999999999999993"/>
    <n v="35"/>
    <n v="0.2"/>
    <x v="597"/>
    <x v="1"/>
    <x v="11"/>
    <x v="5"/>
    <x v="8"/>
    <s v="Michael Suyama"/>
  </r>
  <r>
    <n v="10555"/>
    <n v="24"/>
    <n v="4.5"/>
    <n v="18"/>
    <n v="0.2"/>
    <x v="406"/>
    <x v="1"/>
    <x v="11"/>
    <x v="6"/>
    <x v="8"/>
    <s v="Michael Suyama"/>
  </r>
  <r>
    <n v="10555"/>
    <n v="51"/>
    <n v="53"/>
    <n v="20"/>
    <n v="0.2"/>
    <x v="259"/>
    <x v="1"/>
    <x v="11"/>
    <x v="2"/>
    <x v="8"/>
    <s v="Michael Suyama"/>
  </r>
  <r>
    <n v="10555"/>
    <n v="56"/>
    <n v="38"/>
    <n v="40"/>
    <n v="0.2"/>
    <x v="598"/>
    <x v="1"/>
    <x v="11"/>
    <x v="1"/>
    <x v="8"/>
    <s v="Michael Suyama"/>
  </r>
  <r>
    <n v="10556"/>
    <n v="72"/>
    <n v="34.799999999999997"/>
    <n v="24"/>
    <n v="0"/>
    <x v="551"/>
    <x v="1"/>
    <x v="11"/>
    <x v="0"/>
    <x v="17"/>
    <s v="Andrew Fuller"/>
  </r>
  <r>
    <n v="10557"/>
    <n v="64"/>
    <n v="33.25"/>
    <n v="30"/>
    <n v="0"/>
    <x v="599"/>
    <x v="1"/>
    <x v="11"/>
    <x v="1"/>
    <x v="1"/>
    <s v="Anne Dodsworth"/>
  </r>
  <r>
    <n v="10557"/>
    <n v="75"/>
    <n v="7.75"/>
    <n v="20"/>
    <n v="0"/>
    <x v="600"/>
    <x v="1"/>
    <x v="11"/>
    <x v="6"/>
    <x v="1"/>
    <s v="Anne Dodsworth"/>
  </r>
  <r>
    <n v="10558"/>
    <n v="47"/>
    <n v="9.5"/>
    <n v="25"/>
    <n v="0"/>
    <x v="601"/>
    <x v="1"/>
    <x v="11"/>
    <x v="5"/>
    <x v="13"/>
    <s v="Nancy Davolio"/>
  </r>
  <r>
    <n v="10558"/>
    <n v="51"/>
    <n v="53"/>
    <n v="20"/>
    <n v="0"/>
    <x v="469"/>
    <x v="1"/>
    <x v="11"/>
    <x v="2"/>
    <x v="13"/>
    <s v="Nancy Davolio"/>
  </r>
  <r>
    <n v="10558"/>
    <n v="52"/>
    <n v="7"/>
    <n v="30"/>
    <n v="0"/>
    <x v="578"/>
    <x v="1"/>
    <x v="11"/>
    <x v="1"/>
    <x v="13"/>
    <s v="Nancy Davolio"/>
  </r>
  <r>
    <n v="10558"/>
    <n v="53"/>
    <n v="32.799999999999997"/>
    <n v="18"/>
    <n v="0"/>
    <x v="602"/>
    <x v="1"/>
    <x v="11"/>
    <x v="7"/>
    <x v="13"/>
    <s v="Nancy Davolio"/>
  </r>
  <r>
    <n v="10558"/>
    <n v="73"/>
    <n v="15"/>
    <n v="3"/>
    <n v="0"/>
    <x v="603"/>
    <x v="1"/>
    <x v="11"/>
    <x v="3"/>
    <x v="13"/>
    <s v="Nancy Davolio"/>
  </r>
  <r>
    <n v="10559"/>
    <n v="41"/>
    <n v="9.65"/>
    <n v="12"/>
    <n v="0.05"/>
    <x v="604"/>
    <x v="1"/>
    <x v="11"/>
    <x v="3"/>
    <x v="0"/>
    <s v="Michael Suyama"/>
  </r>
  <r>
    <n v="10559"/>
    <n v="55"/>
    <n v="24"/>
    <n v="18"/>
    <n v="0.05"/>
    <x v="271"/>
    <x v="1"/>
    <x v="11"/>
    <x v="7"/>
    <x v="0"/>
    <s v="Michael Suyama"/>
  </r>
  <r>
    <n v="10560"/>
    <n v="30"/>
    <n v="25.89"/>
    <n v="20"/>
    <n v="0"/>
    <x v="605"/>
    <x v="1"/>
    <x v="11"/>
    <x v="3"/>
    <x v="1"/>
    <s v="Laura Callahan"/>
  </r>
  <r>
    <n v="10560"/>
    <n v="62"/>
    <n v="49.3"/>
    <n v="15"/>
    <n v="0.25"/>
    <x v="606"/>
    <x v="1"/>
    <x v="11"/>
    <x v="5"/>
    <x v="1"/>
    <s v="Laura Callahan"/>
  </r>
  <r>
    <n v="10561"/>
    <n v="44"/>
    <n v="19.45"/>
    <n v="10"/>
    <n v="0"/>
    <x v="607"/>
    <x v="1"/>
    <x v="11"/>
    <x v="4"/>
    <x v="9"/>
    <s v="Andrew Fuller"/>
  </r>
  <r>
    <n v="10561"/>
    <n v="51"/>
    <n v="53"/>
    <n v="50"/>
    <n v="0"/>
    <x v="608"/>
    <x v="1"/>
    <x v="11"/>
    <x v="2"/>
    <x v="9"/>
    <s v="Andrew Fuller"/>
  </r>
  <r>
    <n v="10562"/>
    <n v="33"/>
    <n v="2.5"/>
    <n v="20"/>
    <n v="0.1"/>
    <x v="603"/>
    <x v="1"/>
    <x v="11"/>
    <x v="0"/>
    <x v="11"/>
    <s v="Nancy Davolio"/>
  </r>
  <r>
    <n v="10562"/>
    <n v="62"/>
    <n v="49.3"/>
    <n v="10"/>
    <n v="0.1"/>
    <x v="609"/>
    <x v="1"/>
    <x v="11"/>
    <x v="5"/>
    <x v="11"/>
    <s v="Nancy Davolio"/>
  </r>
  <r>
    <n v="10563"/>
    <n v="36"/>
    <n v="19"/>
    <n v="25"/>
    <n v="0"/>
    <x v="610"/>
    <x v="1"/>
    <x v="11"/>
    <x v="3"/>
    <x v="2"/>
    <s v="Andrew Fuller"/>
  </r>
  <r>
    <n v="10563"/>
    <n v="52"/>
    <n v="7"/>
    <n v="70"/>
    <n v="0"/>
    <x v="611"/>
    <x v="1"/>
    <x v="11"/>
    <x v="1"/>
    <x v="2"/>
    <s v="Andrew Fuller"/>
  </r>
  <r>
    <n v="10564"/>
    <n v="17"/>
    <n v="39"/>
    <n v="16"/>
    <n v="0.05"/>
    <x v="612"/>
    <x v="1"/>
    <x v="11"/>
    <x v="7"/>
    <x v="8"/>
    <s v="Margaret Peacock"/>
  </r>
  <r>
    <n v="10564"/>
    <n v="31"/>
    <n v="12.5"/>
    <n v="6"/>
    <n v="0.05"/>
    <x v="613"/>
    <x v="1"/>
    <x v="11"/>
    <x v="0"/>
    <x v="8"/>
    <s v="Margaret Peacock"/>
  </r>
  <r>
    <n v="10564"/>
    <n v="55"/>
    <n v="24"/>
    <n v="25"/>
    <n v="0.05"/>
    <x v="422"/>
    <x v="1"/>
    <x v="11"/>
    <x v="7"/>
    <x v="8"/>
    <s v="Margaret Peacock"/>
  </r>
  <r>
    <n v="10565"/>
    <n v="24"/>
    <n v="4.5"/>
    <n v="25"/>
    <n v="0.1"/>
    <x v="614"/>
    <x v="1"/>
    <x v="11"/>
    <x v="6"/>
    <x v="16"/>
    <s v="Laura Callahan"/>
  </r>
  <r>
    <n v="10565"/>
    <n v="64"/>
    <n v="33.25"/>
    <n v="18"/>
    <n v="0.1"/>
    <x v="615"/>
    <x v="1"/>
    <x v="11"/>
    <x v="1"/>
    <x v="16"/>
    <s v="Laura Callahan"/>
  </r>
  <r>
    <n v="10566"/>
    <n v="11"/>
    <n v="21"/>
    <n v="35"/>
    <n v="0.15"/>
    <x v="616"/>
    <x v="1"/>
    <x v="11"/>
    <x v="0"/>
    <x v="0"/>
    <s v="Anne Dodsworth"/>
  </r>
  <r>
    <n v="10566"/>
    <n v="18"/>
    <n v="62.5"/>
    <n v="18"/>
    <n v="0.15"/>
    <x v="617"/>
    <x v="1"/>
    <x v="11"/>
    <x v="3"/>
    <x v="0"/>
    <s v="Anne Dodsworth"/>
  </r>
  <r>
    <n v="10566"/>
    <n v="76"/>
    <n v="18"/>
    <n v="10"/>
    <n v="0"/>
    <x v="229"/>
    <x v="1"/>
    <x v="11"/>
    <x v="6"/>
    <x v="0"/>
    <s v="Anne Dodsworth"/>
  </r>
  <r>
    <n v="10567"/>
    <n v="31"/>
    <n v="12.5"/>
    <n v="60"/>
    <n v="0.2"/>
    <x v="113"/>
    <x v="1"/>
    <x v="11"/>
    <x v="0"/>
    <x v="14"/>
    <s v="Nancy Davolio"/>
  </r>
  <r>
    <n v="10567"/>
    <n v="51"/>
    <n v="53"/>
    <n v="3"/>
    <n v="0"/>
    <x v="281"/>
    <x v="1"/>
    <x v="11"/>
    <x v="2"/>
    <x v="14"/>
    <s v="Nancy Davolio"/>
  </r>
  <r>
    <n v="10567"/>
    <n v="59"/>
    <n v="55"/>
    <n v="40"/>
    <n v="0.2"/>
    <x v="618"/>
    <x v="1"/>
    <x v="11"/>
    <x v="0"/>
    <x v="14"/>
    <s v="Nancy Davolio"/>
  </r>
  <r>
    <n v="10568"/>
    <n v="10"/>
    <n v="31"/>
    <n v="5"/>
    <n v="0"/>
    <x v="600"/>
    <x v="1"/>
    <x v="11"/>
    <x v="3"/>
    <x v="12"/>
    <s v="Janet Leverling"/>
  </r>
  <r>
    <n v="10569"/>
    <n v="31"/>
    <n v="12.5"/>
    <n v="35"/>
    <n v="0.2"/>
    <x v="619"/>
    <x v="1"/>
    <x v="11"/>
    <x v="0"/>
    <x v="8"/>
    <s v="Steven Buchanan"/>
  </r>
  <r>
    <n v="10569"/>
    <n v="76"/>
    <n v="18"/>
    <n v="30"/>
    <n v="0"/>
    <x v="311"/>
    <x v="1"/>
    <x v="11"/>
    <x v="6"/>
    <x v="8"/>
    <s v="Steven Buchanan"/>
  </r>
  <r>
    <n v="10570"/>
    <n v="11"/>
    <n v="21"/>
    <n v="15"/>
    <n v="0.05"/>
    <x v="574"/>
    <x v="1"/>
    <x v="11"/>
    <x v="0"/>
    <x v="16"/>
    <s v="Janet Leverling"/>
  </r>
  <r>
    <n v="10570"/>
    <n v="56"/>
    <n v="38"/>
    <n v="60"/>
    <n v="0.05"/>
    <x v="620"/>
    <x v="1"/>
    <x v="11"/>
    <x v="1"/>
    <x v="16"/>
    <s v="Janet Leverling"/>
  </r>
  <r>
    <n v="10571"/>
    <n v="14"/>
    <n v="23.25"/>
    <n v="11"/>
    <n v="0.15"/>
    <x v="621"/>
    <x v="1"/>
    <x v="11"/>
    <x v="2"/>
    <x v="6"/>
    <s v="Laura Callahan"/>
  </r>
  <r>
    <n v="10571"/>
    <n v="42"/>
    <n v="14"/>
    <n v="28"/>
    <n v="0.15"/>
    <x v="622"/>
    <x v="1"/>
    <x v="11"/>
    <x v="1"/>
    <x v="6"/>
    <s v="Laura Callahan"/>
  </r>
  <r>
    <n v="10572"/>
    <n v="16"/>
    <n v="17.45"/>
    <n v="12"/>
    <n v="0.1"/>
    <x v="623"/>
    <x v="1"/>
    <x v="11"/>
    <x v="5"/>
    <x v="9"/>
    <s v="Janet Leverling"/>
  </r>
  <r>
    <n v="10572"/>
    <n v="32"/>
    <n v="32"/>
    <n v="10"/>
    <n v="0.1"/>
    <x v="38"/>
    <x v="1"/>
    <x v="11"/>
    <x v="0"/>
    <x v="9"/>
    <s v="Janet Leverling"/>
  </r>
  <r>
    <n v="10572"/>
    <n v="40"/>
    <n v="18.399999999999999"/>
    <n v="50"/>
    <n v="0"/>
    <x v="59"/>
    <x v="1"/>
    <x v="11"/>
    <x v="3"/>
    <x v="9"/>
    <s v="Janet Leverling"/>
  </r>
  <r>
    <n v="10572"/>
    <n v="75"/>
    <n v="7.75"/>
    <n v="15"/>
    <n v="0.1"/>
    <x v="624"/>
    <x v="1"/>
    <x v="11"/>
    <x v="6"/>
    <x v="9"/>
    <s v="Janet Leverling"/>
  </r>
  <r>
    <n v="10573"/>
    <n v="17"/>
    <n v="39"/>
    <n v="18"/>
    <n v="0"/>
    <x v="625"/>
    <x v="1"/>
    <x v="11"/>
    <x v="7"/>
    <x v="7"/>
    <s v="Robert King"/>
  </r>
  <r>
    <n v="10573"/>
    <n v="34"/>
    <n v="14"/>
    <n v="40"/>
    <n v="0"/>
    <x v="255"/>
    <x v="1"/>
    <x v="11"/>
    <x v="6"/>
    <x v="7"/>
    <s v="Robert King"/>
  </r>
  <r>
    <n v="10573"/>
    <n v="53"/>
    <n v="32.799999999999997"/>
    <n v="25"/>
    <n v="0"/>
    <x v="626"/>
    <x v="1"/>
    <x v="11"/>
    <x v="7"/>
    <x v="7"/>
    <s v="Robert King"/>
  </r>
  <r>
    <n v="10574"/>
    <n v="33"/>
    <n v="2.5"/>
    <n v="14"/>
    <n v="0"/>
    <x v="627"/>
    <x v="1"/>
    <x v="11"/>
    <x v="0"/>
    <x v="8"/>
    <s v="Margaret Peacock"/>
  </r>
  <r>
    <n v="10574"/>
    <n v="40"/>
    <n v="18.399999999999999"/>
    <n v="2"/>
    <n v="0"/>
    <x v="628"/>
    <x v="1"/>
    <x v="11"/>
    <x v="3"/>
    <x v="8"/>
    <s v="Margaret Peacock"/>
  </r>
  <r>
    <n v="10574"/>
    <n v="62"/>
    <n v="49.3"/>
    <n v="10"/>
    <n v="0"/>
    <x v="629"/>
    <x v="1"/>
    <x v="11"/>
    <x v="5"/>
    <x v="8"/>
    <s v="Margaret Peacock"/>
  </r>
  <r>
    <n v="10574"/>
    <n v="64"/>
    <n v="33.25"/>
    <n v="6"/>
    <n v="0"/>
    <x v="489"/>
    <x v="1"/>
    <x v="11"/>
    <x v="1"/>
    <x v="8"/>
    <s v="Margaret Peacock"/>
  </r>
  <r>
    <n v="10575"/>
    <n v="59"/>
    <n v="55"/>
    <n v="12"/>
    <n v="0"/>
    <x v="77"/>
    <x v="1"/>
    <x v="11"/>
    <x v="0"/>
    <x v="1"/>
    <s v="Steven Buchanan"/>
  </r>
  <r>
    <n v="10575"/>
    <n v="63"/>
    <n v="43.9"/>
    <n v="6"/>
    <n v="0"/>
    <x v="630"/>
    <x v="1"/>
    <x v="11"/>
    <x v="4"/>
    <x v="1"/>
    <s v="Steven Buchanan"/>
  </r>
  <r>
    <n v="10575"/>
    <n v="72"/>
    <n v="34.799999999999997"/>
    <n v="30"/>
    <n v="0"/>
    <x v="631"/>
    <x v="1"/>
    <x v="11"/>
    <x v="0"/>
    <x v="1"/>
    <s v="Steven Buchanan"/>
  </r>
  <r>
    <n v="10575"/>
    <n v="76"/>
    <n v="18"/>
    <n v="10"/>
    <n v="0"/>
    <x v="229"/>
    <x v="1"/>
    <x v="11"/>
    <x v="6"/>
    <x v="1"/>
    <s v="Steven Buchanan"/>
  </r>
  <r>
    <n v="10576"/>
    <n v="1"/>
    <n v="18"/>
    <n v="10"/>
    <n v="0"/>
    <x v="229"/>
    <x v="1"/>
    <x v="11"/>
    <x v="6"/>
    <x v="7"/>
    <s v="Janet Leverling"/>
  </r>
  <r>
    <n v="10576"/>
    <n v="31"/>
    <n v="12.5"/>
    <n v="20"/>
    <n v="0"/>
    <x v="544"/>
    <x v="1"/>
    <x v="11"/>
    <x v="0"/>
    <x v="7"/>
    <s v="Janet Leverling"/>
  </r>
  <r>
    <n v="10576"/>
    <n v="44"/>
    <n v="19.45"/>
    <n v="21"/>
    <n v="0"/>
    <x v="632"/>
    <x v="1"/>
    <x v="11"/>
    <x v="4"/>
    <x v="7"/>
    <s v="Janet Leverling"/>
  </r>
  <r>
    <n v="10577"/>
    <n v="39"/>
    <n v="18"/>
    <n v="10"/>
    <n v="0"/>
    <x v="229"/>
    <x v="1"/>
    <x v="11"/>
    <x v="6"/>
    <x v="8"/>
    <s v="Anne Dodsworth"/>
  </r>
  <r>
    <n v="10577"/>
    <n v="75"/>
    <n v="7.75"/>
    <n v="20"/>
    <n v="0"/>
    <x v="600"/>
    <x v="1"/>
    <x v="11"/>
    <x v="6"/>
    <x v="8"/>
    <s v="Anne Dodsworth"/>
  </r>
  <r>
    <n v="10577"/>
    <n v="77"/>
    <n v="13"/>
    <n v="18"/>
    <n v="0"/>
    <x v="633"/>
    <x v="1"/>
    <x v="11"/>
    <x v="4"/>
    <x v="8"/>
    <s v="Anne Dodsworth"/>
  </r>
  <r>
    <n v="10578"/>
    <n v="35"/>
    <n v="18"/>
    <n v="20"/>
    <n v="0"/>
    <x v="40"/>
    <x v="1"/>
    <x v="11"/>
    <x v="6"/>
    <x v="13"/>
    <s v="Margaret Peacock"/>
  </r>
  <r>
    <n v="10578"/>
    <n v="57"/>
    <n v="19.5"/>
    <n v="6"/>
    <n v="0"/>
    <x v="634"/>
    <x v="1"/>
    <x v="11"/>
    <x v="1"/>
    <x v="13"/>
    <s v="Margaret Peacock"/>
  </r>
  <r>
    <n v="10579"/>
    <n v="15"/>
    <n v="15.5"/>
    <n v="10"/>
    <n v="0"/>
    <x v="600"/>
    <x v="1"/>
    <x v="11"/>
    <x v="4"/>
    <x v="8"/>
    <s v="Nancy Davolio"/>
  </r>
  <r>
    <n v="10579"/>
    <n v="75"/>
    <n v="7.75"/>
    <n v="21"/>
    <n v="0"/>
    <x v="635"/>
    <x v="1"/>
    <x v="11"/>
    <x v="6"/>
    <x v="8"/>
    <s v="Nancy Davolio"/>
  </r>
  <r>
    <n v="10580"/>
    <n v="14"/>
    <n v="23.25"/>
    <n v="15"/>
    <n v="0.05"/>
    <x v="636"/>
    <x v="1"/>
    <x v="11"/>
    <x v="2"/>
    <x v="1"/>
    <s v="Margaret Peacock"/>
  </r>
  <r>
    <n v="10580"/>
    <n v="41"/>
    <n v="9.65"/>
    <n v="9"/>
    <n v="0.05"/>
    <x v="637"/>
    <x v="1"/>
    <x v="11"/>
    <x v="3"/>
    <x v="1"/>
    <s v="Margaret Peacock"/>
  </r>
  <r>
    <n v="10580"/>
    <n v="65"/>
    <n v="21.05"/>
    <n v="30"/>
    <n v="0.05"/>
    <x v="638"/>
    <x v="1"/>
    <x v="11"/>
    <x v="4"/>
    <x v="1"/>
    <s v="Margaret Peacock"/>
  </r>
  <r>
    <n v="10581"/>
    <n v="75"/>
    <n v="7.75"/>
    <n v="50"/>
    <n v="0.2"/>
    <x v="182"/>
    <x v="1"/>
    <x v="11"/>
    <x v="6"/>
    <x v="2"/>
    <s v="Janet Leverling"/>
  </r>
  <r>
    <n v="10582"/>
    <n v="57"/>
    <n v="19.5"/>
    <n v="4"/>
    <n v="0"/>
    <x v="639"/>
    <x v="1"/>
    <x v="11"/>
    <x v="1"/>
    <x v="1"/>
    <s v="Janet Leverling"/>
  </r>
  <r>
    <n v="10582"/>
    <n v="76"/>
    <n v="18"/>
    <n v="14"/>
    <n v="0"/>
    <x v="267"/>
    <x v="1"/>
    <x v="11"/>
    <x v="6"/>
    <x v="1"/>
    <s v="Janet Leverling"/>
  </r>
  <r>
    <n v="10583"/>
    <n v="29"/>
    <n v="123.79"/>
    <n v="10"/>
    <n v="0"/>
    <x v="640"/>
    <x v="1"/>
    <x v="11"/>
    <x v="7"/>
    <x v="10"/>
    <s v="Andrew Fuller"/>
  </r>
  <r>
    <n v="10583"/>
    <n v="60"/>
    <n v="34"/>
    <n v="24"/>
    <n v="0.15"/>
    <x v="456"/>
    <x v="1"/>
    <x v="11"/>
    <x v="0"/>
    <x v="10"/>
    <s v="Andrew Fuller"/>
  </r>
  <r>
    <n v="10583"/>
    <n v="69"/>
    <n v="36"/>
    <n v="10"/>
    <n v="0.15"/>
    <x v="588"/>
    <x v="1"/>
    <x v="11"/>
    <x v="0"/>
    <x v="10"/>
    <s v="Andrew Fuller"/>
  </r>
  <r>
    <n v="10584"/>
    <n v="31"/>
    <n v="12.5"/>
    <n v="50"/>
    <n v="0.05"/>
    <x v="641"/>
    <x v="1"/>
    <x v="11"/>
    <x v="0"/>
    <x v="0"/>
    <s v="Margaret Peacock"/>
  </r>
  <r>
    <n v="10585"/>
    <n v="47"/>
    <n v="9.5"/>
    <n v="15"/>
    <n v="0"/>
    <x v="65"/>
    <x v="1"/>
    <x v="0"/>
    <x v="5"/>
    <x v="2"/>
    <s v="Robert King"/>
  </r>
  <r>
    <n v="10586"/>
    <n v="52"/>
    <n v="7"/>
    <n v="4"/>
    <n v="0.15"/>
    <x v="642"/>
    <x v="1"/>
    <x v="0"/>
    <x v="1"/>
    <x v="11"/>
    <s v="Anne Dodsworth"/>
  </r>
  <r>
    <n v="10587"/>
    <n v="26"/>
    <n v="31.23"/>
    <n v="6"/>
    <n v="0"/>
    <x v="643"/>
    <x v="1"/>
    <x v="0"/>
    <x v="5"/>
    <x v="2"/>
    <s v="Nancy Davolio"/>
  </r>
  <r>
    <n v="10587"/>
    <n v="35"/>
    <n v="18"/>
    <n v="20"/>
    <n v="0"/>
    <x v="40"/>
    <x v="1"/>
    <x v="0"/>
    <x v="6"/>
    <x v="2"/>
    <s v="Nancy Davolio"/>
  </r>
  <r>
    <n v="10587"/>
    <n v="77"/>
    <n v="13"/>
    <n v="20"/>
    <n v="0"/>
    <x v="481"/>
    <x v="1"/>
    <x v="0"/>
    <x v="4"/>
    <x v="2"/>
    <s v="Nancy Davolio"/>
  </r>
  <r>
    <n v="10588"/>
    <n v="18"/>
    <n v="62.5"/>
    <n v="40"/>
    <n v="0.2"/>
    <x v="644"/>
    <x v="1"/>
    <x v="0"/>
    <x v="3"/>
    <x v="1"/>
    <s v="Andrew Fuller"/>
  </r>
  <r>
    <n v="10588"/>
    <n v="42"/>
    <n v="14"/>
    <n v="100"/>
    <n v="0.2"/>
    <x v="645"/>
    <x v="1"/>
    <x v="0"/>
    <x v="1"/>
    <x v="1"/>
    <s v="Andrew Fuller"/>
  </r>
  <r>
    <n v="10589"/>
    <n v="35"/>
    <n v="18"/>
    <n v="4"/>
    <n v="0"/>
    <x v="197"/>
    <x v="1"/>
    <x v="0"/>
    <x v="6"/>
    <x v="8"/>
    <s v="Laura Callahan"/>
  </r>
  <r>
    <n v="10590"/>
    <n v="1"/>
    <n v="18"/>
    <n v="20"/>
    <n v="0"/>
    <x v="40"/>
    <x v="1"/>
    <x v="0"/>
    <x v="6"/>
    <x v="16"/>
    <s v="Margaret Peacock"/>
  </r>
  <r>
    <n v="10590"/>
    <n v="77"/>
    <n v="13"/>
    <n v="60"/>
    <n v="0.05"/>
    <x v="646"/>
    <x v="1"/>
    <x v="0"/>
    <x v="4"/>
    <x v="16"/>
    <s v="Margaret Peacock"/>
  </r>
  <r>
    <n v="10591"/>
    <n v="3"/>
    <n v="10"/>
    <n v="14"/>
    <n v="0"/>
    <x v="365"/>
    <x v="1"/>
    <x v="0"/>
    <x v="4"/>
    <x v="17"/>
    <s v="Nancy Davolio"/>
  </r>
  <r>
    <n v="10591"/>
    <n v="7"/>
    <n v="30"/>
    <n v="10"/>
    <n v="0"/>
    <x v="79"/>
    <x v="1"/>
    <x v="0"/>
    <x v="2"/>
    <x v="17"/>
    <s v="Nancy Davolio"/>
  </r>
  <r>
    <n v="10591"/>
    <n v="54"/>
    <n v="7.45"/>
    <n v="50"/>
    <n v="0"/>
    <x v="647"/>
    <x v="1"/>
    <x v="0"/>
    <x v="7"/>
    <x v="17"/>
    <s v="Nancy Davolio"/>
  </r>
  <r>
    <n v="10592"/>
    <n v="15"/>
    <n v="15.5"/>
    <n v="25"/>
    <n v="0.05"/>
    <x v="648"/>
    <x v="1"/>
    <x v="0"/>
    <x v="4"/>
    <x v="1"/>
    <s v="Janet Leverling"/>
  </r>
  <r>
    <n v="10592"/>
    <n v="26"/>
    <n v="31.23"/>
    <n v="5"/>
    <n v="0.05"/>
    <x v="649"/>
    <x v="1"/>
    <x v="0"/>
    <x v="5"/>
    <x v="1"/>
    <s v="Janet Leverling"/>
  </r>
  <r>
    <n v="10593"/>
    <n v="20"/>
    <n v="81"/>
    <n v="21"/>
    <n v="0.2"/>
    <x v="650"/>
    <x v="1"/>
    <x v="0"/>
    <x v="5"/>
    <x v="1"/>
    <s v="Robert King"/>
  </r>
  <r>
    <n v="10593"/>
    <n v="69"/>
    <n v="36"/>
    <n v="20"/>
    <n v="0.2"/>
    <x v="242"/>
    <x v="1"/>
    <x v="0"/>
    <x v="0"/>
    <x v="1"/>
    <s v="Robert King"/>
  </r>
  <r>
    <n v="10593"/>
    <n v="76"/>
    <n v="18"/>
    <n v="4"/>
    <n v="0.2"/>
    <x v="86"/>
    <x v="1"/>
    <x v="0"/>
    <x v="6"/>
    <x v="1"/>
    <s v="Robert King"/>
  </r>
  <r>
    <n v="10594"/>
    <n v="52"/>
    <n v="7"/>
    <n v="24"/>
    <n v="0"/>
    <x v="0"/>
    <x v="1"/>
    <x v="0"/>
    <x v="1"/>
    <x v="8"/>
    <s v="Janet Leverling"/>
  </r>
  <r>
    <n v="10594"/>
    <n v="58"/>
    <n v="13.25"/>
    <n v="30"/>
    <n v="0"/>
    <x v="651"/>
    <x v="1"/>
    <x v="0"/>
    <x v="3"/>
    <x v="8"/>
    <s v="Janet Leverling"/>
  </r>
  <r>
    <n v="10595"/>
    <n v="35"/>
    <n v="18"/>
    <n v="30"/>
    <n v="0.25"/>
    <x v="652"/>
    <x v="1"/>
    <x v="0"/>
    <x v="6"/>
    <x v="6"/>
    <s v="Andrew Fuller"/>
  </r>
  <r>
    <n v="10595"/>
    <n v="61"/>
    <n v="28.5"/>
    <n v="120"/>
    <n v="0.25"/>
    <x v="653"/>
    <x v="1"/>
    <x v="0"/>
    <x v="4"/>
    <x v="6"/>
    <s v="Andrew Fuller"/>
  </r>
  <r>
    <n v="10595"/>
    <n v="69"/>
    <n v="36"/>
    <n v="65"/>
    <n v="0.25"/>
    <x v="397"/>
    <x v="1"/>
    <x v="0"/>
    <x v="0"/>
    <x v="6"/>
    <s v="Andrew Fuller"/>
  </r>
  <r>
    <n v="10596"/>
    <n v="56"/>
    <n v="38"/>
    <n v="5"/>
    <n v="0.2"/>
    <x v="369"/>
    <x v="1"/>
    <x v="0"/>
    <x v="1"/>
    <x v="8"/>
    <s v="Laura Callahan"/>
  </r>
  <r>
    <n v="10596"/>
    <n v="63"/>
    <n v="43.9"/>
    <n v="24"/>
    <n v="0.2"/>
    <x v="654"/>
    <x v="1"/>
    <x v="0"/>
    <x v="4"/>
    <x v="8"/>
    <s v="Laura Callahan"/>
  </r>
  <r>
    <n v="10596"/>
    <n v="75"/>
    <n v="7.75"/>
    <n v="30"/>
    <n v="0.2"/>
    <x v="83"/>
    <x v="1"/>
    <x v="0"/>
    <x v="6"/>
    <x v="8"/>
    <s v="Laura Callahan"/>
  </r>
  <r>
    <n v="10597"/>
    <n v="24"/>
    <n v="4.5"/>
    <n v="35"/>
    <n v="0.2"/>
    <x v="459"/>
    <x v="1"/>
    <x v="0"/>
    <x v="6"/>
    <x v="6"/>
    <s v="Robert King"/>
  </r>
  <r>
    <n v="10597"/>
    <n v="57"/>
    <n v="19.5"/>
    <n v="20"/>
    <n v="0"/>
    <x v="240"/>
    <x v="1"/>
    <x v="0"/>
    <x v="1"/>
    <x v="6"/>
    <s v="Robert King"/>
  </r>
  <r>
    <n v="10597"/>
    <n v="65"/>
    <n v="21.05"/>
    <n v="12"/>
    <n v="0.2"/>
    <x v="655"/>
    <x v="1"/>
    <x v="0"/>
    <x v="4"/>
    <x v="6"/>
    <s v="Robert King"/>
  </r>
  <r>
    <n v="10598"/>
    <n v="27"/>
    <n v="43.9"/>
    <n v="50"/>
    <n v="0"/>
    <x v="656"/>
    <x v="1"/>
    <x v="0"/>
    <x v="5"/>
    <x v="8"/>
    <s v="Nancy Davolio"/>
  </r>
  <r>
    <n v="10598"/>
    <n v="71"/>
    <n v="21.5"/>
    <n v="9"/>
    <n v="0"/>
    <x v="657"/>
    <x v="1"/>
    <x v="0"/>
    <x v="0"/>
    <x v="8"/>
    <s v="Nancy Davolio"/>
  </r>
  <r>
    <n v="10599"/>
    <n v="62"/>
    <n v="49.3"/>
    <n v="10"/>
    <n v="0"/>
    <x v="629"/>
    <x v="1"/>
    <x v="0"/>
    <x v="5"/>
    <x v="13"/>
    <s v="Michael Suyama"/>
  </r>
  <r>
    <n v="10600"/>
    <n v="54"/>
    <n v="7.45"/>
    <n v="4"/>
    <n v="0"/>
    <x v="658"/>
    <x v="1"/>
    <x v="0"/>
    <x v="7"/>
    <x v="8"/>
    <s v="Margaret Peacock"/>
  </r>
  <r>
    <n v="10600"/>
    <n v="73"/>
    <n v="15"/>
    <n v="30"/>
    <n v="0"/>
    <x v="295"/>
    <x v="1"/>
    <x v="0"/>
    <x v="3"/>
    <x v="8"/>
    <s v="Margaret Peacock"/>
  </r>
  <r>
    <n v="10601"/>
    <n v="13"/>
    <n v="6"/>
    <n v="60"/>
    <n v="0"/>
    <x v="40"/>
    <x v="1"/>
    <x v="0"/>
    <x v="3"/>
    <x v="5"/>
    <s v="Robert King"/>
  </r>
  <r>
    <n v="10601"/>
    <n v="59"/>
    <n v="55"/>
    <n v="35"/>
    <n v="0"/>
    <x v="659"/>
    <x v="1"/>
    <x v="0"/>
    <x v="0"/>
    <x v="5"/>
    <s v="Robert King"/>
  </r>
  <r>
    <n v="10602"/>
    <n v="77"/>
    <n v="13"/>
    <n v="5"/>
    <n v="0.25"/>
    <x v="660"/>
    <x v="1"/>
    <x v="0"/>
    <x v="4"/>
    <x v="17"/>
    <s v="Laura Callahan"/>
  </r>
  <r>
    <n v="10603"/>
    <n v="22"/>
    <n v="21"/>
    <n v="48"/>
    <n v="0"/>
    <x v="661"/>
    <x v="1"/>
    <x v="0"/>
    <x v="1"/>
    <x v="8"/>
    <s v="Laura Callahan"/>
  </r>
  <r>
    <n v="10603"/>
    <n v="49"/>
    <n v="20"/>
    <n v="25"/>
    <n v="0.05"/>
    <x v="610"/>
    <x v="1"/>
    <x v="0"/>
    <x v="5"/>
    <x v="8"/>
    <s v="Laura Callahan"/>
  </r>
  <r>
    <n v="10604"/>
    <n v="48"/>
    <n v="12.75"/>
    <n v="6"/>
    <n v="0.1"/>
    <x v="662"/>
    <x v="1"/>
    <x v="0"/>
    <x v="5"/>
    <x v="15"/>
    <s v="Nancy Davolio"/>
  </r>
  <r>
    <n v="10604"/>
    <n v="76"/>
    <n v="18"/>
    <n v="10"/>
    <n v="0.1"/>
    <x v="663"/>
    <x v="1"/>
    <x v="0"/>
    <x v="6"/>
    <x v="15"/>
    <s v="Nancy Davolio"/>
  </r>
  <r>
    <n v="10605"/>
    <n v="16"/>
    <n v="17.45"/>
    <n v="30"/>
    <n v="0.05"/>
    <x v="593"/>
    <x v="1"/>
    <x v="0"/>
    <x v="5"/>
    <x v="16"/>
    <s v="Nancy Davolio"/>
  </r>
  <r>
    <n v="10605"/>
    <n v="59"/>
    <n v="55"/>
    <n v="20"/>
    <n v="0.05"/>
    <x v="550"/>
    <x v="1"/>
    <x v="0"/>
    <x v="0"/>
    <x v="16"/>
    <s v="Nancy Davolio"/>
  </r>
  <r>
    <n v="10605"/>
    <n v="60"/>
    <n v="34"/>
    <n v="70"/>
    <n v="0.05"/>
    <x v="664"/>
    <x v="1"/>
    <x v="0"/>
    <x v="0"/>
    <x v="16"/>
    <s v="Nancy Davolio"/>
  </r>
  <r>
    <n v="10605"/>
    <n v="71"/>
    <n v="21.5"/>
    <n v="15"/>
    <n v="0.05"/>
    <x v="665"/>
    <x v="1"/>
    <x v="0"/>
    <x v="0"/>
    <x v="16"/>
    <s v="Nancy Davolio"/>
  </r>
  <r>
    <n v="10606"/>
    <n v="4"/>
    <n v="22"/>
    <n v="20"/>
    <n v="0.2"/>
    <x v="149"/>
    <x v="1"/>
    <x v="0"/>
    <x v="4"/>
    <x v="2"/>
    <s v="Margaret Peacock"/>
  </r>
  <r>
    <n v="10606"/>
    <n v="55"/>
    <n v="24"/>
    <n v="20"/>
    <n v="0.2"/>
    <x v="82"/>
    <x v="1"/>
    <x v="0"/>
    <x v="7"/>
    <x v="2"/>
    <s v="Margaret Peacock"/>
  </r>
  <r>
    <n v="10606"/>
    <n v="62"/>
    <n v="49.3"/>
    <n v="10"/>
    <n v="0.2"/>
    <x v="666"/>
    <x v="1"/>
    <x v="0"/>
    <x v="5"/>
    <x v="2"/>
    <s v="Margaret Peacock"/>
  </r>
  <r>
    <n v="10607"/>
    <n v="7"/>
    <n v="30"/>
    <n v="45"/>
    <n v="0"/>
    <x v="667"/>
    <x v="1"/>
    <x v="0"/>
    <x v="2"/>
    <x v="8"/>
    <s v="Steven Buchanan"/>
  </r>
  <r>
    <n v="10607"/>
    <n v="17"/>
    <n v="39"/>
    <n v="100"/>
    <n v="0"/>
    <x v="668"/>
    <x v="1"/>
    <x v="0"/>
    <x v="7"/>
    <x v="8"/>
    <s v="Steven Buchanan"/>
  </r>
  <r>
    <n v="10607"/>
    <n v="33"/>
    <n v="2.5"/>
    <n v="14"/>
    <n v="0"/>
    <x v="627"/>
    <x v="1"/>
    <x v="0"/>
    <x v="0"/>
    <x v="8"/>
    <s v="Steven Buchanan"/>
  </r>
  <r>
    <n v="10607"/>
    <n v="40"/>
    <n v="18.399999999999999"/>
    <n v="42"/>
    <n v="0"/>
    <x v="669"/>
    <x v="1"/>
    <x v="0"/>
    <x v="3"/>
    <x v="8"/>
    <s v="Steven Buchanan"/>
  </r>
  <r>
    <n v="10607"/>
    <n v="72"/>
    <n v="34.799999999999997"/>
    <n v="12"/>
    <n v="0"/>
    <x v="670"/>
    <x v="1"/>
    <x v="0"/>
    <x v="0"/>
    <x v="8"/>
    <s v="Steven Buchanan"/>
  </r>
  <r>
    <n v="10608"/>
    <n v="56"/>
    <n v="38"/>
    <n v="28"/>
    <n v="0"/>
    <x v="671"/>
    <x v="1"/>
    <x v="0"/>
    <x v="1"/>
    <x v="1"/>
    <s v="Margaret Peacock"/>
  </r>
  <r>
    <n v="10609"/>
    <n v="1"/>
    <n v="18"/>
    <n v="3"/>
    <n v="0"/>
    <x v="303"/>
    <x v="1"/>
    <x v="0"/>
    <x v="6"/>
    <x v="0"/>
    <s v="Robert King"/>
  </r>
  <r>
    <n v="10609"/>
    <n v="10"/>
    <n v="31"/>
    <n v="10"/>
    <n v="0"/>
    <x v="182"/>
    <x v="1"/>
    <x v="0"/>
    <x v="3"/>
    <x v="0"/>
    <s v="Robert King"/>
  </r>
  <r>
    <n v="10609"/>
    <n v="21"/>
    <n v="10"/>
    <n v="6"/>
    <n v="0"/>
    <x v="148"/>
    <x v="1"/>
    <x v="0"/>
    <x v="5"/>
    <x v="0"/>
    <s v="Robert King"/>
  </r>
  <r>
    <n v="10610"/>
    <n v="36"/>
    <n v="19"/>
    <n v="21"/>
    <n v="0.25"/>
    <x v="574"/>
    <x v="1"/>
    <x v="0"/>
    <x v="3"/>
    <x v="0"/>
    <s v="Laura Callahan"/>
  </r>
  <r>
    <n v="10611"/>
    <n v="1"/>
    <n v="18"/>
    <n v="6"/>
    <n v="0"/>
    <x v="446"/>
    <x v="1"/>
    <x v="0"/>
    <x v="6"/>
    <x v="18"/>
    <s v="Michael Suyama"/>
  </r>
  <r>
    <n v="10611"/>
    <n v="2"/>
    <n v="19"/>
    <n v="10"/>
    <n v="0"/>
    <x v="480"/>
    <x v="1"/>
    <x v="0"/>
    <x v="6"/>
    <x v="18"/>
    <s v="Michael Suyama"/>
  </r>
  <r>
    <n v="10611"/>
    <n v="60"/>
    <n v="34"/>
    <n v="15"/>
    <n v="0"/>
    <x v="672"/>
    <x v="1"/>
    <x v="0"/>
    <x v="0"/>
    <x v="18"/>
    <s v="Michael Suyama"/>
  </r>
  <r>
    <n v="10612"/>
    <n v="10"/>
    <n v="31"/>
    <n v="70"/>
    <n v="0"/>
    <x v="673"/>
    <x v="1"/>
    <x v="0"/>
    <x v="3"/>
    <x v="8"/>
    <s v="Nancy Davolio"/>
  </r>
  <r>
    <n v="10612"/>
    <n v="36"/>
    <n v="19"/>
    <n v="55"/>
    <n v="0"/>
    <x v="550"/>
    <x v="1"/>
    <x v="0"/>
    <x v="3"/>
    <x v="8"/>
    <s v="Nancy Davolio"/>
  </r>
  <r>
    <n v="10612"/>
    <n v="49"/>
    <n v="20"/>
    <n v="18"/>
    <n v="0"/>
    <x v="40"/>
    <x v="1"/>
    <x v="0"/>
    <x v="5"/>
    <x v="8"/>
    <s v="Nancy Davolio"/>
  </r>
  <r>
    <n v="10612"/>
    <n v="60"/>
    <n v="34"/>
    <n v="40"/>
    <n v="0"/>
    <x v="674"/>
    <x v="1"/>
    <x v="0"/>
    <x v="0"/>
    <x v="8"/>
    <s v="Nancy Davolio"/>
  </r>
  <r>
    <n v="10612"/>
    <n v="76"/>
    <n v="18"/>
    <n v="80"/>
    <n v="0"/>
    <x v="99"/>
    <x v="1"/>
    <x v="0"/>
    <x v="6"/>
    <x v="8"/>
    <s v="Nancy Davolio"/>
  </r>
  <r>
    <n v="10613"/>
    <n v="13"/>
    <n v="6"/>
    <n v="8"/>
    <n v="0.1"/>
    <x v="81"/>
    <x v="1"/>
    <x v="0"/>
    <x v="3"/>
    <x v="5"/>
    <s v="Margaret Peacock"/>
  </r>
  <r>
    <n v="10613"/>
    <n v="75"/>
    <n v="7.75"/>
    <n v="40"/>
    <n v="0"/>
    <x v="182"/>
    <x v="1"/>
    <x v="0"/>
    <x v="6"/>
    <x v="5"/>
    <s v="Margaret Peacock"/>
  </r>
  <r>
    <n v="10614"/>
    <n v="11"/>
    <n v="21"/>
    <n v="14"/>
    <n v="0"/>
    <x v="411"/>
    <x v="1"/>
    <x v="0"/>
    <x v="0"/>
    <x v="1"/>
    <s v="Laura Callahan"/>
  </r>
  <r>
    <n v="10614"/>
    <n v="21"/>
    <n v="10"/>
    <n v="8"/>
    <n v="0"/>
    <x v="31"/>
    <x v="1"/>
    <x v="0"/>
    <x v="5"/>
    <x v="1"/>
    <s v="Laura Callahan"/>
  </r>
  <r>
    <n v="10614"/>
    <n v="39"/>
    <n v="18"/>
    <n v="5"/>
    <n v="0"/>
    <x v="239"/>
    <x v="1"/>
    <x v="0"/>
    <x v="6"/>
    <x v="1"/>
    <s v="Laura Callahan"/>
  </r>
  <r>
    <n v="10615"/>
    <n v="55"/>
    <n v="24"/>
    <n v="5"/>
    <n v="0"/>
    <x v="178"/>
    <x v="1"/>
    <x v="0"/>
    <x v="7"/>
    <x v="10"/>
    <s v="Andrew Fuller"/>
  </r>
  <r>
    <n v="10616"/>
    <n v="38"/>
    <n v="263.5"/>
    <n v="15"/>
    <n v="0.05"/>
    <x v="675"/>
    <x v="1"/>
    <x v="0"/>
    <x v="6"/>
    <x v="8"/>
    <s v="Nancy Davolio"/>
  </r>
  <r>
    <n v="10616"/>
    <n v="56"/>
    <n v="38"/>
    <n v="14"/>
    <n v="0"/>
    <x v="46"/>
    <x v="1"/>
    <x v="0"/>
    <x v="1"/>
    <x v="8"/>
    <s v="Nancy Davolio"/>
  </r>
  <r>
    <n v="10616"/>
    <n v="70"/>
    <n v="15"/>
    <n v="15"/>
    <n v="0.05"/>
    <x v="676"/>
    <x v="1"/>
    <x v="0"/>
    <x v="6"/>
    <x v="8"/>
    <s v="Nancy Davolio"/>
  </r>
  <r>
    <n v="10616"/>
    <n v="71"/>
    <n v="21.5"/>
    <n v="15"/>
    <n v="0.05"/>
    <x v="665"/>
    <x v="1"/>
    <x v="0"/>
    <x v="0"/>
    <x v="8"/>
    <s v="Nancy Davolio"/>
  </r>
  <r>
    <n v="10617"/>
    <n v="59"/>
    <n v="55"/>
    <n v="30"/>
    <n v="0.15"/>
    <x v="677"/>
    <x v="1"/>
    <x v="0"/>
    <x v="0"/>
    <x v="8"/>
    <s v="Margaret Peacock"/>
  </r>
  <r>
    <n v="10618"/>
    <n v="6"/>
    <n v="25"/>
    <n v="70"/>
    <n v="0"/>
    <x v="678"/>
    <x v="1"/>
    <x v="1"/>
    <x v="4"/>
    <x v="16"/>
    <s v="Nancy Davolio"/>
  </r>
  <r>
    <n v="10618"/>
    <n v="56"/>
    <n v="38"/>
    <n v="20"/>
    <n v="0"/>
    <x v="679"/>
    <x v="1"/>
    <x v="1"/>
    <x v="1"/>
    <x v="16"/>
    <s v="Nancy Davolio"/>
  </r>
  <r>
    <n v="10618"/>
    <n v="68"/>
    <n v="12.5"/>
    <n v="15"/>
    <n v="0"/>
    <x v="680"/>
    <x v="1"/>
    <x v="1"/>
    <x v="5"/>
    <x v="16"/>
    <s v="Nancy Davolio"/>
  </r>
  <r>
    <n v="10619"/>
    <n v="21"/>
    <n v="10"/>
    <n v="42"/>
    <n v="0"/>
    <x v="484"/>
    <x v="1"/>
    <x v="1"/>
    <x v="5"/>
    <x v="16"/>
    <s v="Janet Leverling"/>
  </r>
  <r>
    <n v="10619"/>
    <n v="22"/>
    <n v="21"/>
    <n v="40"/>
    <n v="0"/>
    <x v="681"/>
    <x v="1"/>
    <x v="1"/>
    <x v="1"/>
    <x v="16"/>
    <s v="Janet Leverling"/>
  </r>
  <r>
    <n v="10620"/>
    <n v="24"/>
    <n v="4.5"/>
    <n v="5"/>
    <n v="0"/>
    <x v="523"/>
    <x v="1"/>
    <x v="1"/>
    <x v="6"/>
    <x v="16"/>
    <s v="Andrew Fuller"/>
  </r>
  <r>
    <n v="10620"/>
    <n v="52"/>
    <n v="7"/>
    <n v="5"/>
    <n v="0"/>
    <x v="627"/>
    <x v="1"/>
    <x v="1"/>
    <x v="1"/>
    <x v="16"/>
    <s v="Andrew Fuller"/>
  </r>
  <r>
    <n v="10621"/>
    <n v="19"/>
    <n v="9.1999999999999993"/>
    <n v="5"/>
    <n v="0"/>
    <x v="682"/>
    <x v="1"/>
    <x v="1"/>
    <x v="5"/>
    <x v="13"/>
    <s v="Margaret Peacock"/>
  </r>
  <r>
    <n v="10621"/>
    <n v="23"/>
    <n v="9"/>
    <n v="10"/>
    <n v="0"/>
    <x v="239"/>
    <x v="1"/>
    <x v="1"/>
    <x v="1"/>
    <x v="13"/>
    <s v="Margaret Peacock"/>
  </r>
  <r>
    <n v="10621"/>
    <n v="70"/>
    <n v="15"/>
    <n v="20"/>
    <n v="0"/>
    <x v="79"/>
    <x v="1"/>
    <x v="1"/>
    <x v="6"/>
    <x v="13"/>
    <s v="Margaret Peacock"/>
  </r>
  <r>
    <n v="10621"/>
    <n v="71"/>
    <n v="21.5"/>
    <n v="15"/>
    <n v="0"/>
    <x v="683"/>
    <x v="1"/>
    <x v="1"/>
    <x v="0"/>
    <x v="13"/>
    <s v="Margaret Peacock"/>
  </r>
  <r>
    <n v="10622"/>
    <n v="2"/>
    <n v="19"/>
    <n v="20"/>
    <n v="0"/>
    <x v="21"/>
    <x v="1"/>
    <x v="1"/>
    <x v="6"/>
    <x v="2"/>
    <s v="Margaret Peacock"/>
  </r>
  <r>
    <n v="10622"/>
    <n v="68"/>
    <n v="12.5"/>
    <n v="18"/>
    <n v="0.2"/>
    <x v="229"/>
    <x v="1"/>
    <x v="1"/>
    <x v="5"/>
    <x v="2"/>
    <s v="Margaret Peacock"/>
  </r>
  <r>
    <n v="10623"/>
    <n v="14"/>
    <n v="23.25"/>
    <n v="21"/>
    <n v="0"/>
    <x v="684"/>
    <x v="1"/>
    <x v="1"/>
    <x v="2"/>
    <x v="1"/>
    <s v="Laura Callahan"/>
  </r>
  <r>
    <n v="10623"/>
    <n v="19"/>
    <n v="9.1999999999999993"/>
    <n v="15"/>
    <n v="0.1"/>
    <x v="685"/>
    <x v="1"/>
    <x v="1"/>
    <x v="5"/>
    <x v="1"/>
    <s v="Laura Callahan"/>
  </r>
  <r>
    <n v="10623"/>
    <n v="21"/>
    <n v="10"/>
    <n v="25"/>
    <n v="0.1"/>
    <x v="686"/>
    <x v="1"/>
    <x v="1"/>
    <x v="5"/>
    <x v="1"/>
    <s v="Laura Callahan"/>
  </r>
  <r>
    <n v="10623"/>
    <n v="24"/>
    <n v="4.5"/>
    <n v="3"/>
    <n v="0"/>
    <x v="687"/>
    <x v="1"/>
    <x v="1"/>
    <x v="6"/>
    <x v="1"/>
    <s v="Laura Callahan"/>
  </r>
  <r>
    <n v="10623"/>
    <n v="35"/>
    <n v="18"/>
    <n v="30"/>
    <n v="0.1"/>
    <x v="688"/>
    <x v="1"/>
    <x v="1"/>
    <x v="6"/>
    <x v="1"/>
    <s v="Laura Callahan"/>
  </r>
  <r>
    <n v="10624"/>
    <n v="28"/>
    <n v="45.6"/>
    <n v="10"/>
    <n v="0"/>
    <x v="58"/>
    <x v="1"/>
    <x v="1"/>
    <x v="2"/>
    <x v="8"/>
    <s v="Margaret Peacock"/>
  </r>
  <r>
    <n v="10624"/>
    <n v="29"/>
    <n v="123.79"/>
    <n v="6"/>
    <n v="0"/>
    <x v="689"/>
    <x v="1"/>
    <x v="1"/>
    <x v="7"/>
    <x v="8"/>
    <s v="Margaret Peacock"/>
  </r>
  <r>
    <n v="10624"/>
    <n v="44"/>
    <n v="19.45"/>
    <n v="10"/>
    <n v="0"/>
    <x v="607"/>
    <x v="1"/>
    <x v="1"/>
    <x v="4"/>
    <x v="8"/>
    <s v="Margaret Peacock"/>
  </r>
  <r>
    <n v="10625"/>
    <n v="14"/>
    <n v="23.25"/>
    <n v="3"/>
    <n v="0"/>
    <x v="690"/>
    <x v="1"/>
    <x v="1"/>
    <x v="2"/>
    <x v="7"/>
    <s v="Janet Leverling"/>
  </r>
  <r>
    <n v="10625"/>
    <n v="42"/>
    <n v="14"/>
    <n v="5"/>
    <n v="0"/>
    <x v="691"/>
    <x v="1"/>
    <x v="1"/>
    <x v="1"/>
    <x v="7"/>
    <s v="Janet Leverling"/>
  </r>
  <r>
    <n v="10625"/>
    <n v="60"/>
    <n v="34"/>
    <n v="10"/>
    <n v="0"/>
    <x v="107"/>
    <x v="1"/>
    <x v="1"/>
    <x v="0"/>
    <x v="7"/>
    <s v="Janet Leverling"/>
  </r>
  <r>
    <n v="10626"/>
    <n v="53"/>
    <n v="32.799999999999997"/>
    <n v="12"/>
    <n v="0"/>
    <x v="692"/>
    <x v="1"/>
    <x v="1"/>
    <x v="7"/>
    <x v="9"/>
    <s v="Nancy Davolio"/>
  </r>
  <r>
    <n v="10626"/>
    <n v="60"/>
    <n v="34"/>
    <n v="20"/>
    <n v="0"/>
    <x v="693"/>
    <x v="1"/>
    <x v="1"/>
    <x v="0"/>
    <x v="9"/>
    <s v="Nancy Davolio"/>
  </r>
  <r>
    <n v="10626"/>
    <n v="71"/>
    <n v="21.5"/>
    <n v="20"/>
    <n v="0"/>
    <x v="694"/>
    <x v="1"/>
    <x v="1"/>
    <x v="0"/>
    <x v="9"/>
    <s v="Nancy Davolio"/>
  </r>
  <r>
    <n v="10627"/>
    <n v="62"/>
    <n v="49.3"/>
    <n v="15"/>
    <n v="0"/>
    <x v="695"/>
    <x v="1"/>
    <x v="1"/>
    <x v="5"/>
    <x v="8"/>
    <s v="Laura Callahan"/>
  </r>
  <r>
    <n v="10627"/>
    <n v="73"/>
    <n v="15"/>
    <n v="35"/>
    <n v="0.15"/>
    <x v="696"/>
    <x v="1"/>
    <x v="1"/>
    <x v="3"/>
    <x v="8"/>
    <s v="Laura Callahan"/>
  </r>
  <r>
    <n v="10628"/>
    <n v="1"/>
    <n v="18"/>
    <n v="25"/>
    <n v="0"/>
    <x v="295"/>
    <x v="1"/>
    <x v="1"/>
    <x v="6"/>
    <x v="0"/>
    <s v="Margaret Peacock"/>
  </r>
  <r>
    <n v="10629"/>
    <n v="29"/>
    <n v="123.79"/>
    <n v="20"/>
    <n v="0"/>
    <x v="697"/>
    <x v="1"/>
    <x v="1"/>
    <x v="7"/>
    <x v="12"/>
    <s v="Margaret Peacock"/>
  </r>
  <r>
    <n v="10629"/>
    <n v="64"/>
    <n v="33.25"/>
    <n v="9"/>
    <n v="0"/>
    <x v="574"/>
    <x v="1"/>
    <x v="1"/>
    <x v="1"/>
    <x v="12"/>
    <s v="Margaret Peacock"/>
  </r>
  <r>
    <n v="10630"/>
    <n v="55"/>
    <n v="24"/>
    <n v="12"/>
    <n v="0.05"/>
    <x v="449"/>
    <x v="1"/>
    <x v="1"/>
    <x v="7"/>
    <x v="1"/>
    <s v="Nancy Davolio"/>
  </r>
  <r>
    <n v="10630"/>
    <n v="76"/>
    <n v="18"/>
    <n v="35"/>
    <n v="0"/>
    <x v="698"/>
    <x v="1"/>
    <x v="1"/>
    <x v="6"/>
    <x v="1"/>
    <s v="Nancy Davolio"/>
  </r>
  <r>
    <n v="10631"/>
    <n v="75"/>
    <n v="7.75"/>
    <n v="8"/>
    <n v="0.1"/>
    <x v="699"/>
    <x v="1"/>
    <x v="1"/>
    <x v="6"/>
    <x v="0"/>
    <s v="Laura Callahan"/>
  </r>
  <r>
    <n v="10632"/>
    <n v="2"/>
    <n v="19"/>
    <n v="30"/>
    <n v="0.05"/>
    <x v="700"/>
    <x v="1"/>
    <x v="1"/>
    <x v="6"/>
    <x v="1"/>
    <s v="Laura Callahan"/>
  </r>
  <r>
    <n v="10632"/>
    <n v="33"/>
    <n v="2.5"/>
    <n v="20"/>
    <n v="0.05"/>
    <x v="12"/>
    <x v="1"/>
    <x v="1"/>
    <x v="0"/>
    <x v="1"/>
    <s v="Laura Callahan"/>
  </r>
  <r>
    <n v="10633"/>
    <n v="12"/>
    <n v="38"/>
    <n v="36"/>
    <n v="0.15"/>
    <x v="701"/>
    <x v="1"/>
    <x v="1"/>
    <x v="0"/>
    <x v="6"/>
    <s v="Robert King"/>
  </r>
  <r>
    <n v="10633"/>
    <n v="13"/>
    <n v="6"/>
    <n v="13"/>
    <n v="0.15"/>
    <x v="702"/>
    <x v="1"/>
    <x v="1"/>
    <x v="3"/>
    <x v="6"/>
    <s v="Robert King"/>
  </r>
  <r>
    <n v="10633"/>
    <n v="26"/>
    <n v="31.23"/>
    <n v="35"/>
    <n v="0.15"/>
    <x v="703"/>
    <x v="1"/>
    <x v="1"/>
    <x v="5"/>
    <x v="6"/>
    <s v="Robert King"/>
  </r>
  <r>
    <n v="10633"/>
    <n v="62"/>
    <n v="49.3"/>
    <n v="80"/>
    <n v="0.15"/>
    <x v="704"/>
    <x v="1"/>
    <x v="1"/>
    <x v="5"/>
    <x v="6"/>
    <s v="Robert King"/>
  </r>
  <r>
    <n v="10634"/>
    <n v="7"/>
    <n v="30"/>
    <n v="35"/>
    <n v="0"/>
    <x v="705"/>
    <x v="1"/>
    <x v="1"/>
    <x v="2"/>
    <x v="0"/>
    <s v="Margaret Peacock"/>
  </r>
  <r>
    <n v="10634"/>
    <n v="18"/>
    <n v="62.5"/>
    <n v="50"/>
    <n v="0"/>
    <x v="706"/>
    <x v="1"/>
    <x v="1"/>
    <x v="3"/>
    <x v="0"/>
    <s v="Margaret Peacock"/>
  </r>
  <r>
    <n v="10634"/>
    <n v="51"/>
    <n v="53"/>
    <n v="15"/>
    <n v="0"/>
    <x v="707"/>
    <x v="1"/>
    <x v="1"/>
    <x v="2"/>
    <x v="0"/>
    <s v="Margaret Peacock"/>
  </r>
  <r>
    <n v="10634"/>
    <n v="75"/>
    <n v="7.75"/>
    <n v="2"/>
    <n v="0"/>
    <x v="708"/>
    <x v="1"/>
    <x v="1"/>
    <x v="6"/>
    <x v="0"/>
    <s v="Margaret Peacock"/>
  </r>
  <r>
    <n v="10635"/>
    <n v="4"/>
    <n v="22"/>
    <n v="10"/>
    <n v="0.1"/>
    <x v="709"/>
    <x v="1"/>
    <x v="1"/>
    <x v="4"/>
    <x v="11"/>
    <s v="Laura Callahan"/>
  </r>
  <r>
    <n v="10635"/>
    <n v="5"/>
    <n v="21.35"/>
    <n v="15"/>
    <n v="0.1"/>
    <x v="710"/>
    <x v="1"/>
    <x v="1"/>
    <x v="4"/>
    <x v="11"/>
    <s v="Laura Callahan"/>
  </r>
  <r>
    <n v="10635"/>
    <n v="22"/>
    <n v="21"/>
    <n v="40"/>
    <n v="0"/>
    <x v="681"/>
    <x v="1"/>
    <x v="1"/>
    <x v="1"/>
    <x v="11"/>
    <s v="Laura Callahan"/>
  </r>
  <r>
    <n v="10636"/>
    <n v="4"/>
    <n v="22"/>
    <n v="25"/>
    <n v="0"/>
    <x v="711"/>
    <x v="1"/>
    <x v="1"/>
    <x v="4"/>
    <x v="10"/>
    <s v="Margaret Peacock"/>
  </r>
  <r>
    <n v="10636"/>
    <n v="58"/>
    <n v="13.25"/>
    <n v="6"/>
    <n v="0"/>
    <x v="712"/>
    <x v="1"/>
    <x v="1"/>
    <x v="3"/>
    <x v="10"/>
    <s v="Margaret Peacock"/>
  </r>
  <r>
    <n v="10637"/>
    <n v="11"/>
    <n v="21"/>
    <n v="10"/>
    <n v="0"/>
    <x v="578"/>
    <x v="1"/>
    <x v="1"/>
    <x v="0"/>
    <x v="2"/>
    <s v="Michael Suyama"/>
  </r>
  <r>
    <n v="10637"/>
    <n v="50"/>
    <n v="16.25"/>
    <n v="25"/>
    <n v="0.05"/>
    <x v="713"/>
    <x v="1"/>
    <x v="1"/>
    <x v="5"/>
    <x v="2"/>
    <s v="Michael Suyama"/>
  </r>
  <r>
    <n v="10637"/>
    <n v="56"/>
    <n v="38"/>
    <n v="60"/>
    <n v="0.05"/>
    <x v="620"/>
    <x v="1"/>
    <x v="1"/>
    <x v="1"/>
    <x v="2"/>
    <s v="Michael Suyama"/>
  </r>
  <r>
    <n v="10638"/>
    <n v="45"/>
    <n v="9.5"/>
    <n v="20"/>
    <n v="0"/>
    <x v="480"/>
    <x v="1"/>
    <x v="1"/>
    <x v="3"/>
    <x v="5"/>
    <s v="Janet Leverling"/>
  </r>
  <r>
    <n v="10638"/>
    <n v="65"/>
    <n v="21.05"/>
    <n v="21"/>
    <n v="0"/>
    <x v="714"/>
    <x v="1"/>
    <x v="1"/>
    <x v="4"/>
    <x v="5"/>
    <s v="Janet Leverling"/>
  </r>
  <r>
    <n v="10638"/>
    <n v="72"/>
    <n v="34.799999999999997"/>
    <n v="60"/>
    <n v="0"/>
    <x v="715"/>
    <x v="1"/>
    <x v="1"/>
    <x v="0"/>
    <x v="5"/>
    <s v="Janet Leverling"/>
  </r>
  <r>
    <n v="10639"/>
    <n v="18"/>
    <n v="62.5"/>
    <n v="8"/>
    <n v="0"/>
    <x v="485"/>
    <x v="1"/>
    <x v="1"/>
    <x v="3"/>
    <x v="19"/>
    <s v="Robert King"/>
  </r>
  <r>
    <n v="10640"/>
    <n v="69"/>
    <n v="36"/>
    <n v="20"/>
    <n v="0.25"/>
    <x v="311"/>
    <x v="1"/>
    <x v="1"/>
    <x v="0"/>
    <x v="1"/>
    <s v="Margaret Peacock"/>
  </r>
  <r>
    <n v="10640"/>
    <n v="70"/>
    <n v="15"/>
    <n v="15"/>
    <n v="0.25"/>
    <x v="716"/>
    <x v="1"/>
    <x v="1"/>
    <x v="6"/>
    <x v="1"/>
    <s v="Margaret Peacock"/>
  </r>
  <r>
    <n v="10641"/>
    <n v="2"/>
    <n v="19"/>
    <n v="50"/>
    <n v="0"/>
    <x v="210"/>
    <x v="1"/>
    <x v="1"/>
    <x v="6"/>
    <x v="5"/>
    <s v="Margaret Peacock"/>
  </r>
  <r>
    <n v="10641"/>
    <n v="40"/>
    <n v="18.399999999999999"/>
    <n v="60"/>
    <n v="0"/>
    <x v="717"/>
    <x v="1"/>
    <x v="1"/>
    <x v="3"/>
    <x v="5"/>
    <s v="Margaret Peacock"/>
  </r>
  <r>
    <n v="10642"/>
    <n v="21"/>
    <n v="10"/>
    <n v="30"/>
    <n v="0.2"/>
    <x v="49"/>
    <x v="1"/>
    <x v="1"/>
    <x v="5"/>
    <x v="17"/>
    <s v="Robert King"/>
  </r>
  <r>
    <n v="10642"/>
    <n v="61"/>
    <n v="28.5"/>
    <n v="20"/>
    <n v="0.2"/>
    <x v="58"/>
    <x v="1"/>
    <x v="1"/>
    <x v="4"/>
    <x v="17"/>
    <s v="Robert King"/>
  </r>
  <r>
    <n v="10643"/>
    <n v="28"/>
    <n v="45.6"/>
    <n v="15"/>
    <n v="0.25"/>
    <x v="542"/>
    <x v="1"/>
    <x v="1"/>
    <x v="2"/>
    <x v="1"/>
    <s v="Michael Suyama"/>
  </r>
  <r>
    <n v="10643"/>
    <n v="39"/>
    <n v="18"/>
    <n v="21"/>
    <n v="0.25"/>
    <x v="718"/>
    <x v="1"/>
    <x v="1"/>
    <x v="6"/>
    <x v="1"/>
    <s v="Michael Suyama"/>
  </r>
  <r>
    <n v="10643"/>
    <n v="46"/>
    <n v="12"/>
    <n v="2"/>
    <n v="0.25"/>
    <x v="719"/>
    <x v="1"/>
    <x v="1"/>
    <x v="3"/>
    <x v="1"/>
    <s v="Michael Suyama"/>
  </r>
  <r>
    <n v="10644"/>
    <n v="18"/>
    <n v="62.5"/>
    <n v="4"/>
    <n v="0.1"/>
    <x v="686"/>
    <x v="1"/>
    <x v="1"/>
    <x v="3"/>
    <x v="2"/>
    <s v="Janet Leverling"/>
  </r>
  <r>
    <n v="10644"/>
    <n v="43"/>
    <n v="46"/>
    <n v="20"/>
    <n v="0"/>
    <x v="720"/>
    <x v="1"/>
    <x v="1"/>
    <x v="6"/>
    <x v="2"/>
    <s v="Janet Leverling"/>
  </r>
  <r>
    <n v="10644"/>
    <n v="46"/>
    <n v="12"/>
    <n v="21"/>
    <n v="0.1"/>
    <x v="478"/>
    <x v="1"/>
    <x v="1"/>
    <x v="3"/>
    <x v="2"/>
    <s v="Janet Leverling"/>
  </r>
  <r>
    <n v="10645"/>
    <n v="18"/>
    <n v="62.5"/>
    <n v="20"/>
    <n v="0"/>
    <x v="721"/>
    <x v="1"/>
    <x v="1"/>
    <x v="3"/>
    <x v="2"/>
    <s v="Margaret Peacock"/>
  </r>
  <r>
    <n v="10645"/>
    <n v="36"/>
    <n v="19"/>
    <n v="15"/>
    <n v="0"/>
    <x v="314"/>
    <x v="1"/>
    <x v="1"/>
    <x v="3"/>
    <x v="2"/>
    <s v="Margaret Peacock"/>
  </r>
  <r>
    <n v="10646"/>
    <n v="1"/>
    <n v="18"/>
    <n v="15"/>
    <n v="0.25"/>
    <x v="722"/>
    <x v="1"/>
    <x v="1"/>
    <x v="6"/>
    <x v="14"/>
    <s v="Anne Dodsworth"/>
  </r>
  <r>
    <n v="10646"/>
    <n v="10"/>
    <n v="31"/>
    <n v="18"/>
    <n v="0.25"/>
    <x v="723"/>
    <x v="1"/>
    <x v="1"/>
    <x v="3"/>
    <x v="14"/>
    <s v="Anne Dodsworth"/>
  </r>
  <r>
    <n v="10646"/>
    <n v="71"/>
    <n v="21.5"/>
    <n v="30"/>
    <n v="0.25"/>
    <x v="724"/>
    <x v="1"/>
    <x v="1"/>
    <x v="0"/>
    <x v="14"/>
    <s v="Anne Dodsworth"/>
  </r>
  <r>
    <n v="10646"/>
    <n v="77"/>
    <n v="13"/>
    <n v="35"/>
    <n v="0.25"/>
    <x v="725"/>
    <x v="1"/>
    <x v="1"/>
    <x v="4"/>
    <x v="14"/>
    <s v="Anne Dodsworth"/>
  </r>
  <r>
    <n v="10647"/>
    <n v="19"/>
    <n v="9.1999999999999993"/>
    <n v="30"/>
    <n v="0"/>
    <x v="726"/>
    <x v="1"/>
    <x v="1"/>
    <x v="5"/>
    <x v="2"/>
    <s v="Margaret Peacock"/>
  </r>
  <r>
    <n v="10647"/>
    <n v="39"/>
    <n v="18"/>
    <n v="20"/>
    <n v="0"/>
    <x v="40"/>
    <x v="1"/>
    <x v="1"/>
    <x v="6"/>
    <x v="2"/>
    <s v="Margaret Peacock"/>
  </r>
  <r>
    <n v="10648"/>
    <n v="22"/>
    <n v="21"/>
    <n v="15"/>
    <n v="0"/>
    <x v="591"/>
    <x v="1"/>
    <x v="1"/>
    <x v="1"/>
    <x v="2"/>
    <s v="Steven Buchanan"/>
  </r>
  <r>
    <n v="10648"/>
    <n v="24"/>
    <n v="4.5"/>
    <n v="15"/>
    <n v="0.15"/>
    <x v="727"/>
    <x v="1"/>
    <x v="1"/>
    <x v="6"/>
    <x v="2"/>
    <s v="Steven Buchanan"/>
  </r>
  <r>
    <n v="10649"/>
    <n v="28"/>
    <n v="45.6"/>
    <n v="20"/>
    <n v="0"/>
    <x v="353"/>
    <x v="1"/>
    <x v="1"/>
    <x v="2"/>
    <x v="3"/>
    <s v="Steven Buchanan"/>
  </r>
  <r>
    <n v="10649"/>
    <n v="72"/>
    <n v="34.799999999999997"/>
    <n v="15"/>
    <n v="0"/>
    <x v="728"/>
    <x v="1"/>
    <x v="1"/>
    <x v="0"/>
    <x v="3"/>
    <s v="Steven Buchanan"/>
  </r>
  <r>
    <n v="10650"/>
    <n v="30"/>
    <n v="25.89"/>
    <n v="30"/>
    <n v="0"/>
    <x v="729"/>
    <x v="1"/>
    <x v="1"/>
    <x v="3"/>
    <x v="2"/>
    <s v="Steven Buchanan"/>
  </r>
  <r>
    <n v="10650"/>
    <n v="53"/>
    <n v="32.799999999999997"/>
    <n v="25"/>
    <n v="0.05"/>
    <x v="730"/>
    <x v="1"/>
    <x v="1"/>
    <x v="7"/>
    <x v="2"/>
    <s v="Steven Buchanan"/>
  </r>
  <r>
    <n v="10650"/>
    <n v="54"/>
    <n v="7.45"/>
    <n v="30"/>
    <n v="0"/>
    <x v="731"/>
    <x v="1"/>
    <x v="1"/>
    <x v="7"/>
    <x v="2"/>
    <s v="Steven Buchanan"/>
  </r>
  <r>
    <n v="10651"/>
    <n v="19"/>
    <n v="9.1999999999999993"/>
    <n v="12"/>
    <n v="0.25"/>
    <x v="732"/>
    <x v="1"/>
    <x v="2"/>
    <x v="5"/>
    <x v="1"/>
    <s v="Laura Callahan"/>
  </r>
  <r>
    <n v="10651"/>
    <n v="22"/>
    <n v="21"/>
    <n v="20"/>
    <n v="0.25"/>
    <x v="591"/>
    <x v="1"/>
    <x v="2"/>
    <x v="1"/>
    <x v="1"/>
    <s v="Laura Callahan"/>
  </r>
  <r>
    <n v="10652"/>
    <n v="30"/>
    <n v="25.89"/>
    <n v="2"/>
    <n v="0.25"/>
    <x v="733"/>
    <x v="1"/>
    <x v="2"/>
    <x v="3"/>
    <x v="2"/>
    <s v="Margaret Peacock"/>
  </r>
  <r>
    <n v="10652"/>
    <n v="42"/>
    <n v="14"/>
    <n v="20"/>
    <n v="0"/>
    <x v="521"/>
    <x v="1"/>
    <x v="2"/>
    <x v="1"/>
    <x v="2"/>
    <s v="Margaret Peacock"/>
  </r>
  <r>
    <n v="10653"/>
    <n v="16"/>
    <n v="17.45"/>
    <n v="30"/>
    <n v="0.1"/>
    <x v="734"/>
    <x v="1"/>
    <x v="2"/>
    <x v="5"/>
    <x v="1"/>
    <s v="Nancy Davolio"/>
  </r>
  <r>
    <n v="10653"/>
    <n v="60"/>
    <n v="34"/>
    <n v="20"/>
    <n v="0.1"/>
    <x v="226"/>
    <x v="1"/>
    <x v="2"/>
    <x v="0"/>
    <x v="1"/>
    <s v="Nancy Davolio"/>
  </r>
  <r>
    <n v="10654"/>
    <n v="4"/>
    <n v="22"/>
    <n v="12"/>
    <n v="0.1"/>
    <x v="735"/>
    <x v="1"/>
    <x v="2"/>
    <x v="4"/>
    <x v="9"/>
    <s v="Steven Buchanan"/>
  </r>
  <r>
    <n v="10654"/>
    <n v="39"/>
    <n v="18"/>
    <n v="20"/>
    <n v="0.1"/>
    <x v="736"/>
    <x v="1"/>
    <x v="2"/>
    <x v="6"/>
    <x v="9"/>
    <s v="Steven Buchanan"/>
  </r>
  <r>
    <n v="10654"/>
    <n v="54"/>
    <n v="7.45"/>
    <n v="6"/>
    <n v="0.1"/>
    <x v="737"/>
    <x v="1"/>
    <x v="2"/>
    <x v="7"/>
    <x v="9"/>
    <s v="Steven Buchanan"/>
  </r>
  <r>
    <n v="10655"/>
    <n v="41"/>
    <n v="9.65"/>
    <n v="20"/>
    <n v="0.2"/>
    <x v="738"/>
    <x v="1"/>
    <x v="2"/>
    <x v="3"/>
    <x v="11"/>
    <s v="Nancy Davolio"/>
  </r>
  <r>
    <n v="10656"/>
    <n v="14"/>
    <n v="23.25"/>
    <n v="3"/>
    <n v="0.1"/>
    <x v="739"/>
    <x v="1"/>
    <x v="2"/>
    <x v="2"/>
    <x v="8"/>
    <s v="Michael Suyama"/>
  </r>
  <r>
    <n v="10656"/>
    <n v="44"/>
    <n v="19.45"/>
    <n v="28"/>
    <n v="0.1"/>
    <x v="740"/>
    <x v="1"/>
    <x v="2"/>
    <x v="4"/>
    <x v="8"/>
    <s v="Michael Suyama"/>
  </r>
  <r>
    <n v="10656"/>
    <n v="47"/>
    <n v="9.5"/>
    <n v="6"/>
    <n v="0.1"/>
    <x v="741"/>
    <x v="1"/>
    <x v="2"/>
    <x v="5"/>
    <x v="8"/>
    <s v="Michael Suyama"/>
  </r>
  <r>
    <n v="10657"/>
    <n v="15"/>
    <n v="15.5"/>
    <n v="50"/>
    <n v="0"/>
    <x v="742"/>
    <x v="1"/>
    <x v="2"/>
    <x v="4"/>
    <x v="8"/>
    <s v="Andrew Fuller"/>
  </r>
  <r>
    <n v="10657"/>
    <n v="41"/>
    <n v="9.65"/>
    <n v="24"/>
    <n v="0"/>
    <x v="743"/>
    <x v="1"/>
    <x v="2"/>
    <x v="3"/>
    <x v="8"/>
    <s v="Andrew Fuller"/>
  </r>
  <r>
    <n v="10657"/>
    <n v="46"/>
    <n v="12"/>
    <n v="45"/>
    <n v="0"/>
    <x v="311"/>
    <x v="1"/>
    <x v="2"/>
    <x v="3"/>
    <x v="8"/>
    <s v="Andrew Fuller"/>
  </r>
  <r>
    <n v="10657"/>
    <n v="47"/>
    <n v="9.5"/>
    <n v="10"/>
    <n v="0"/>
    <x v="744"/>
    <x v="1"/>
    <x v="2"/>
    <x v="5"/>
    <x v="8"/>
    <s v="Andrew Fuller"/>
  </r>
  <r>
    <n v="10657"/>
    <n v="56"/>
    <n v="38"/>
    <n v="45"/>
    <n v="0"/>
    <x v="745"/>
    <x v="1"/>
    <x v="2"/>
    <x v="1"/>
    <x v="8"/>
    <s v="Andrew Fuller"/>
  </r>
  <r>
    <n v="10657"/>
    <n v="60"/>
    <n v="34"/>
    <n v="30"/>
    <n v="0"/>
    <x v="746"/>
    <x v="1"/>
    <x v="2"/>
    <x v="0"/>
    <x v="8"/>
    <s v="Andrew Fuller"/>
  </r>
  <r>
    <n v="10658"/>
    <n v="21"/>
    <n v="10"/>
    <n v="60"/>
    <n v="0"/>
    <x v="113"/>
    <x v="1"/>
    <x v="2"/>
    <x v="5"/>
    <x v="1"/>
    <s v="Margaret Peacock"/>
  </r>
  <r>
    <n v="10658"/>
    <n v="40"/>
    <n v="18.399999999999999"/>
    <n v="70"/>
    <n v="0.05"/>
    <x v="747"/>
    <x v="1"/>
    <x v="2"/>
    <x v="3"/>
    <x v="1"/>
    <s v="Margaret Peacock"/>
  </r>
  <r>
    <n v="10658"/>
    <n v="60"/>
    <n v="34"/>
    <n v="55"/>
    <n v="0.05"/>
    <x v="748"/>
    <x v="1"/>
    <x v="2"/>
    <x v="0"/>
    <x v="1"/>
    <s v="Margaret Peacock"/>
  </r>
  <r>
    <n v="10658"/>
    <n v="77"/>
    <n v="13"/>
    <n v="70"/>
    <n v="0.05"/>
    <x v="749"/>
    <x v="1"/>
    <x v="2"/>
    <x v="4"/>
    <x v="1"/>
    <s v="Margaret Peacock"/>
  </r>
  <r>
    <n v="10659"/>
    <n v="31"/>
    <n v="12.5"/>
    <n v="20"/>
    <n v="0.05"/>
    <x v="601"/>
    <x v="1"/>
    <x v="2"/>
    <x v="0"/>
    <x v="2"/>
    <s v="Robert King"/>
  </r>
  <r>
    <n v="10659"/>
    <n v="40"/>
    <n v="18.399999999999999"/>
    <n v="24"/>
    <n v="0.05"/>
    <x v="750"/>
    <x v="1"/>
    <x v="2"/>
    <x v="3"/>
    <x v="2"/>
    <s v="Robert King"/>
  </r>
  <r>
    <n v="10659"/>
    <n v="70"/>
    <n v="15"/>
    <n v="40"/>
    <n v="0.05"/>
    <x v="422"/>
    <x v="1"/>
    <x v="2"/>
    <x v="6"/>
    <x v="2"/>
    <s v="Robert King"/>
  </r>
  <r>
    <n v="10660"/>
    <n v="20"/>
    <n v="81"/>
    <n v="21"/>
    <n v="0"/>
    <x v="751"/>
    <x v="1"/>
    <x v="2"/>
    <x v="5"/>
    <x v="8"/>
    <s v="Laura Callahan"/>
  </r>
  <r>
    <n v="10661"/>
    <n v="39"/>
    <n v="18"/>
    <n v="3"/>
    <n v="0.2"/>
    <x v="81"/>
    <x v="1"/>
    <x v="2"/>
    <x v="6"/>
    <x v="14"/>
    <s v="Robert King"/>
  </r>
  <r>
    <n v="10661"/>
    <n v="58"/>
    <n v="13.25"/>
    <n v="49"/>
    <n v="0.2"/>
    <x v="752"/>
    <x v="1"/>
    <x v="2"/>
    <x v="3"/>
    <x v="14"/>
    <s v="Robert King"/>
  </r>
  <r>
    <n v="10662"/>
    <n v="68"/>
    <n v="12.5"/>
    <n v="10"/>
    <n v="0"/>
    <x v="753"/>
    <x v="1"/>
    <x v="2"/>
    <x v="5"/>
    <x v="8"/>
    <s v="Janet Leverling"/>
  </r>
  <r>
    <n v="10663"/>
    <n v="40"/>
    <n v="18.399999999999999"/>
    <n v="30"/>
    <n v="0.05"/>
    <x v="754"/>
    <x v="1"/>
    <x v="2"/>
    <x v="3"/>
    <x v="0"/>
    <s v="Andrew Fuller"/>
  </r>
  <r>
    <n v="10663"/>
    <n v="42"/>
    <n v="14"/>
    <n v="30"/>
    <n v="0.05"/>
    <x v="284"/>
    <x v="1"/>
    <x v="2"/>
    <x v="1"/>
    <x v="0"/>
    <s v="Andrew Fuller"/>
  </r>
  <r>
    <n v="10663"/>
    <n v="51"/>
    <n v="53"/>
    <n v="20"/>
    <n v="0.05"/>
    <x v="755"/>
    <x v="1"/>
    <x v="2"/>
    <x v="2"/>
    <x v="0"/>
    <s v="Andrew Fuller"/>
  </r>
  <r>
    <n v="10664"/>
    <n v="10"/>
    <n v="31"/>
    <n v="24"/>
    <n v="0.15"/>
    <x v="756"/>
    <x v="1"/>
    <x v="2"/>
    <x v="3"/>
    <x v="15"/>
    <s v="Nancy Davolio"/>
  </r>
  <r>
    <n v="10664"/>
    <n v="56"/>
    <n v="38"/>
    <n v="12"/>
    <n v="0.15"/>
    <x v="757"/>
    <x v="1"/>
    <x v="2"/>
    <x v="1"/>
    <x v="15"/>
    <s v="Nancy Davolio"/>
  </r>
  <r>
    <n v="10664"/>
    <n v="65"/>
    <n v="21.05"/>
    <n v="15"/>
    <n v="0.15"/>
    <x v="758"/>
    <x v="1"/>
    <x v="2"/>
    <x v="4"/>
    <x v="15"/>
    <s v="Nancy Davolio"/>
  </r>
  <r>
    <n v="10665"/>
    <n v="51"/>
    <n v="53"/>
    <n v="20"/>
    <n v="0"/>
    <x v="469"/>
    <x v="1"/>
    <x v="2"/>
    <x v="2"/>
    <x v="8"/>
    <s v="Nancy Davolio"/>
  </r>
  <r>
    <n v="10665"/>
    <n v="59"/>
    <n v="55"/>
    <n v="1"/>
    <n v="0"/>
    <x v="759"/>
    <x v="1"/>
    <x v="2"/>
    <x v="0"/>
    <x v="8"/>
    <s v="Nancy Davolio"/>
  </r>
  <r>
    <n v="10665"/>
    <n v="76"/>
    <n v="18"/>
    <n v="10"/>
    <n v="0"/>
    <x v="229"/>
    <x v="1"/>
    <x v="2"/>
    <x v="6"/>
    <x v="8"/>
    <s v="Nancy Davolio"/>
  </r>
  <r>
    <n v="10666"/>
    <n v="29"/>
    <n v="123.79"/>
    <n v="36"/>
    <n v="0"/>
    <x v="499"/>
    <x v="1"/>
    <x v="2"/>
    <x v="7"/>
    <x v="4"/>
    <s v="Robert King"/>
  </r>
  <r>
    <n v="10666"/>
    <n v="65"/>
    <n v="21.05"/>
    <n v="10"/>
    <n v="0"/>
    <x v="760"/>
    <x v="1"/>
    <x v="2"/>
    <x v="4"/>
    <x v="4"/>
    <s v="Robert King"/>
  </r>
  <r>
    <n v="10667"/>
    <n v="69"/>
    <n v="36"/>
    <n v="45"/>
    <n v="0.2"/>
    <x v="112"/>
    <x v="1"/>
    <x v="2"/>
    <x v="0"/>
    <x v="6"/>
    <s v="Robert King"/>
  </r>
  <r>
    <n v="10667"/>
    <n v="71"/>
    <n v="21.5"/>
    <n v="14"/>
    <n v="0.2"/>
    <x v="761"/>
    <x v="1"/>
    <x v="2"/>
    <x v="0"/>
    <x v="6"/>
    <s v="Robert King"/>
  </r>
  <r>
    <n v="10668"/>
    <n v="31"/>
    <n v="12.5"/>
    <n v="8"/>
    <n v="0.1"/>
    <x v="239"/>
    <x v="1"/>
    <x v="2"/>
    <x v="0"/>
    <x v="1"/>
    <s v="Nancy Davolio"/>
  </r>
  <r>
    <n v="10668"/>
    <n v="55"/>
    <n v="24"/>
    <n v="4"/>
    <n v="0.1"/>
    <x v="26"/>
    <x v="1"/>
    <x v="2"/>
    <x v="7"/>
    <x v="1"/>
    <s v="Nancy Davolio"/>
  </r>
  <r>
    <n v="10668"/>
    <n v="64"/>
    <n v="33.25"/>
    <n v="15"/>
    <n v="0.1"/>
    <x v="762"/>
    <x v="1"/>
    <x v="2"/>
    <x v="1"/>
    <x v="1"/>
    <s v="Nancy Davolio"/>
  </r>
  <r>
    <n v="10669"/>
    <n v="36"/>
    <n v="19"/>
    <n v="30"/>
    <n v="0"/>
    <x v="422"/>
    <x v="1"/>
    <x v="2"/>
    <x v="3"/>
    <x v="17"/>
    <s v="Andrew Fuller"/>
  </r>
  <r>
    <n v="10670"/>
    <n v="23"/>
    <n v="9"/>
    <n v="32"/>
    <n v="0"/>
    <x v="38"/>
    <x v="1"/>
    <x v="2"/>
    <x v="1"/>
    <x v="1"/>
    <s v="Margaret Peacock"/>
  </r>
  <r>
    <n v="10670"/>
    <n v="46"/>
    <n v="12"/>
    <n v="60"/>
    <n v="0"/>
    <x v="448"/>
    <x v="1"/>
    <x v="2"/>
    <x v="3"/>
    <x v="1"/>
    <s v="Margaret Peacock"/>
  </r>
  <r>
    <n v="10670"/>
    <n v="67"/>
    <n v="14"/>
    <n v="25"/>
    <n v="0"/>
    <x v="619"/>
    <x v="1"/>
    <x v="2"/>
    <x v="6"/>
    <x v="1"/>
    <s v="Margaret Peacock"/>
  </r>
  <r>
    <n v="10670"/>
    <n v="73"/>
    <n v="15"/>
    <n v="50"/>
    <n v="0"/>
    <x v="763"/>
    <x v="1"/>
    <x v="2"/>
    <x v="3"/>
    <x v="1"/>
    <s v="Margaret Peacock"/>
  </r>
  <r>
    <n v="10670"/>
    <n v="75"/>
    <n v="7.75"/>
    <n v="25"/>
    <n v="0"/>
    <x v="764"/>
    <x v="1"/>
    <x v="2"/>
    <x v="6"/>
    <x v="1"/>
    <s v="Margaret Peacock"/>
  </r>
  <r>
    <n v="10671"/>
    <n v="16"/>
    <n v="17.45"/>
    <n v="10"/>
    <n v="0"/>
    <x v="765"/>
    <x v="1"/>
    <x v="2"/>
    <x v="5"/>
    <x v="0"/>
    <s v="Nancy Davolio"/>
  </r>
  <r>
    <n v="10671"/>
    <n v="62"/>
    <n v="49.3"/>
    <n v="10"/>
    <n v="0"/>
    <x v="629"/>
    <x v="1"/>
    <x v="2"/>
    <x v="5"/>
    <x v="0"/>
    <s v="Nancy Davolio"/>
  </r>
  <r>
    <n v="10671"/>
    <n v="65"/>
    <n v="21.05"/>
    <n v="12"/>
    <n v="0"/>
    <x v="766"/>
    <x v="1"/>
    <x v="2"/>
    <x v="4"/>
    <x v="0"/>
    <s v="Nancy Davolio"/>
  </r>
  <r>
    <n v="10672"/>
    <n v="38"/>
    <n v="263.5"/>
    <n v="15"/>
    <n v="0.1"/>
    <x v="767"/>
    <x v="1"/>
    <x v="2"/>
    <x v="6"/>
    <x v="9"/>
    <s v="Anne Dodsworth"/>
  </r>
  <r>
    <n v="10672"/>
    <n v="71"/>
    <n v="21.5"/>
    <n v="12"/>
    <n v="0"/>
    <x v="306"/>
    <x v="1"/>
    <x v="2"/>
    <x v="0"/>
    <x v="9"/>
    <s v="Anne Dodsworth"/>
  </r>
  <r>
    <n v="10673"/>
    <n v="16"/>
    <n v="17.45"/>
    <n v="3"/>
    <n v="0"/>
    <x v="768"/>
    <x v="1"/>
    <x v="2"/>
    <x v="5"/>
    <x v="10"/>
    <s v="Andrew Fuller"/>
  </r>
  <r>
    <n v="10673"/>
    <n v="42"/>
    <n v="14"/>
    <n v="6"/>
    <n v="0"/>
    <x v="263"/>
    <x v="1"/>
    <x v="2"/>
    <x v="1"/>
    <x v="10"/>
    <s v="Andrew Fuller"/>
  </r>
  <r>
    <n v="10673"/>
    <n v="43"/>
    <n v="46"/>
    <n v="6"/>
    <n v="0"/>
    <x v="726"/>
    <x v="1"/>
    <x v="2"/>
    <x v="6"/>
    <x v="10"/>
    <s v="Andrew Fuller"/>
  </r>
  <r>
    <n v="10674"/>
    <n v="23"/>
    <n v="9"/>
    <n v="5"/>
    <n v="0"/>
    <x v="603"/>
    <x v="1"/>
    <x v="2"/>
    <x v="1"/>
    <x v="13"/>
    <s v="Margaret Peacock"/>
  </r>
  <r>
    <n v="10675"/>
    <n v="14"/>
    <n v="23.25"/>
    <n v="30"/>
    <n v="0"/>
    <x v="769"/>
    <x v="1"/>
    <x v="2"/>
    <x v="2"/>
    <x v="1"/>
    <s v="Steven Buchanan"/>
  </r>
  <r>
    <n v="10675"/>
    <n v="53"/>
    <n v="32.799999999999997"/>
    <n v="10"/>
    <n v="0"/>
    <x v="493"/>
    <x v="1"/>
    <x v="2"/>
    <x v="7"/>
    <x v="1"/>
    <s v="Steven Buchanan"/>
  </r>
  <r>
    <n v="10675"/>
    <n v="58"/>
    <n v="13.25"/>
    <n v="30"/>
    <n v="0"/>
    <x v="651"/>
    <x v="1"/>
    <x v="2"/>
    <x v="3"/>
    <x v="1"/>
    <s v="Steven Buchanan"/>
  </r>
  <r>
    <n v="10676"/>
    <n v="10"/>
    <n v="31"/>
    <n v="2"/>
    <n v="0"/>
    <x v="160"/>
    <x v="1"/>
    <x v="2"/>
    <x v="3"/>
    <x v="7"/>
    <s v="Andrew Fuller"/>
  </r>
  <r>
    <n v="10676"/>
    <n v="19"/>
    <n v="9.1999999999999993"/>
    <n v="7"/>
    <n v="0"/>
    <x v="770"/>
    <x v="1"/>
    <x v="2"/>
    <x v="5"/>
    <x v="7"/>
    <s v="Andrew Fuller"/>
  </r>
  <r>
    <n v="10676"/>
    <n v="44"/>
    <n v="19.45"/>
    <n v="21"/>
    <n v="0"/>
    <x v="632"/>
    <x v="1"/>
    <x v="2"/>
    <x v="4"/>
    <x v="7"/>
    <s v="Andrew Fuller"/>
  </r>
  <r>
    <n v="10677"/>
    <n v="26"/>
    <n v="31.23"/>
    <n v="30"/>
    <n v="0.15"/>
    <x v="771"/>
    <x v="1"/>
    <x v="2"/>
    <x v="5"/>
    <x v="7"/>
    <s v="Nancy Davolio"/>
  </r>
  <r>
    <n v="10677"/>
    <n v="33"/>
    <n v="2.5"/>
    <n v="8"/>
    <n v="0.15"/>
    <x v="772"/>
    <x v="1"/>
    <x v="2"/>
    <x v="0"/>
    <x v="7"/>
    <s v="Nancy Davolio"/>
  </r>
  <r>
    <n v="10678"/>
    <n v="12"/>
    <n v="38"/>
    <n v="100"/>
    <n v="0"/>
    <x v="773"/>
    <x v="1"/>
    <x v="2"/>
    <x v="0"/>
    <x v="8"/>
    <s v="Robert King"/>
  </r>
  <r>
    <n v="10678"/>
    <n v="33"/>
    <n v="2.5"/>
    <n v="30"/>
    <n v="0"/>
    <x v="530"/>
    <x v="1"/>
    <x v="2"/>
    <x v="0"/>
    <x v="8"/>
    <s v="Robert King"/>
  </r>
  <r>
    <n v="10678"/>
    <n v="41"/>
    <n v="9.65"/>
    <n v="120"/>
    <n v="0"/>
    <x v="774"/>
    <x v="1"/>
    <x v="2"/>
    <x v="3"/>
    <x v="8"/>
    <s v="Robert King"/>
  </r>
  <r>
    <n v="10678"/>
    <n v="54"/>
    <n v="7.45"/>
    <n v="30"/>
    <n v="0"/>
    <x v="731"/>
    <x v="1"/>
    <x v="2"/>
    <x v="7"/>
    <x v="8"/>
    <s v="Robert King"/>
  </r>
  <r>
    <n v="10679"/>
    <n v="59"/>
    <n v="55"/>
    <n v="12"/>
    <n v="0"/>
    <x v="77"/>
    <x v="1"/>
    <x v="2"/>
    <x v="0"/>
    <x v="0"/>
    <s v="Laura Callahan"/>
  </r>
  <r>
    <n v="10680"/>
    <n v="16"/>
    <n v="17.45"/>
    <n v="50"/>
    <n v="0.25"/>
    <x v="775"/>
    <x v="1"/>
    <x v="2"/>
    <x v="5"/>
    <x v="8"/>
    <s v="Nancy Davolio"/>
  </r>
  <r>
    <n v="10680"/>
    <n v="31"/>
    <n v="12.5"/>
    <n v="20"/>
    <n v="0.25"/>
    <x v="680"/>
    <x v="1"/>
    <x v="2"/>
    <x v="0"/>
    <x v="8"/>
    <s v="Nancy Davolio"/>
  </r>
  <r>
    <n v="10680"/>
    <n v="42"/>
    <n v="14"/>
    <n v="40"/>
    <n v="0.25"/>
    <x v="484"/>
    <x v="1"/>
    <x v="2"/>
    <x v="1"/>
    <x v="8"/>
    <s v="Nancy Davolio"/>
  </r>
  <r>
    <n v="10681"/>
    <n v="19"/>
    <n v="9.1999999999999993"/>
    <n v="30"/>
    <n v="0.1"/>
    <x v="540"/>
    <x v="1"/>
    <x v="2"/>
    <x v="5"/>
    <x v="8"/>
    <s v="Janet Leverling"/>
  </r>
  <r>
    <n v="10681"/>
    <n v="21"/>
    <n v="10"/>
    <n v="12"/>
    <n v="0.1"/>
    <x v="446"/>
    <x v="1"/>
    <x v="2"/>
    <x v="5"/>
    <x v="8"/>
    <s v="Janet Leverling"/>
  </r>
  <r>
    <n v="10681"/>
    <n v="64"/>
    <n v="33.25"/>
    <n v="28"/>
    <n v="0"/>
    <x v="776"/>
    <x v="1"/>
    <x v="2"/>
    <x v="1"/>
    <x v="8"/>
    <s v="Janet Leverling"/>
  </r>
  <r>
    <n v="10682"/>
    <n v="33"/>
    <n v="2.5"/>
    <n v="30"/>
    <n v="0"/>
    <x v="530"/>
    <x v="1"/>
    <x v="2"/>
    <x v="0"/>
    <x v="7"/>
    <s v="Janet Leverling"/>
  </r>
  <r>
    <n v="10682"/>
    <n v="66"/>
    <n v="17"/>
    <n v="4"/>
    <n v="0"/>
    <x v="323"/>
    <x v="1"/>
    <x v="2"/>
    <x v="4"/>
    <x v="7"/>
    <s v="Janet Leverling"/>
  </r>
  <r>
    <n v="10682"/>
    <n v="75"/>
    <n v="7.75"/>
    <n v="30"/>
    <n v="0"/>
    <x v="590"/>
    <x v="1"/>
    <x v="2"/>
    <x v="6"/>
    <x v="7"/>
    <s v="Janet Leverling"/>
  </r>
  <r>
    <n v="10683"/>
    <n v="52"/>
    <n v="7"/>
    <n v="9"/>
    <n v="0"/>
    <x v="482"/>
    <x v="1"/>
    <x v="2"/>
    <x v="1"/>
    <x v="0"/>
    <s v="Andrew Fuller"/>
  </r>
  <r>
    <n v="10684"/>
    <n v="40"/>
    <n v="18.399999999999999"/>
    <n v="20"/>
    <n v="0"/>
    <x v="533"/>
    <x v="1"/>
    <x v="2"/>
    <x v="3"/>
    <x v="1"/>
    <s v="Janet Leverling"/>
  </r>
  <r>
    <n v="10684"/>
    <n v="47"/>
    <n v="9.5"/>
    <n v="40"/>
    <n v="0"/>
    <x v="21"/>
    <x v="1"/>
    <x v="2"/>
    <x v="5"/>
    <x v="1"/>
    <s v="Janet Leverling"/>
  </r>
  <r>
    <n v="10684"/>
    <n v="60"/>
    <n v="34"/>
    <n v="30"/>
    <n v="0"/>
    <x v="746"/>
    <x v="1"/>
    <x v="2"/>
    <x v="0"/>
    <x v="1"/>
    <s v="Janet Leverling"/>
  </r>
  <r>
    <n v="10685"/>
    <n v="10"/>
    <n v="31"/>
    <n v="20"/>
    <n v="0"/>
    <x v="777"/>
    <x v="1"/>
    <x v="2"/>
    <x v="3"/>
    <x v="2"/>
    <s v="Margaret Peacock"/>
  </r>
  <r>
    <n v="10685"/>
    <n v="41"/>
    <n v="9.65"/>
    <n v="4"/>
    <n v="0"/>
    <x v="778"/>
    <x v="1"/>
    <x v="2"/>
    <x v="3"/>
    <x v="2"/>
    <s v="Margaret Peacock"/>
  </r>
  <r>
    <n v="10685"/>
    <n v="47"/>
    <n v="9.5"/>
    <n v="15"/>
    <n v="0"/>
    <x v="65"/>
    <x v="1"/>
    <x v="2"/>
    <x v="5"/>
    <x v="2"/>
    <s v="Margaret Peacock"/>
  </r>
  <r>
    <n v="10686"/>
    <n v="17"/>
    <n v="39"/>
    <n v="30"/>
    <n v="0.2"/>
    <x v="48"/>
    <x v="1"/>
    <x v="2"/>
    <x v="7"/>
    <x v="6"/>
    <s v="Andrew Fuller"/>
  </r>
  <r>
    <n v="10686"/>
    <n v="26"/>
    <n v="31.23"/>
    <n v="15"/>
    <n v="0"/>
    <x v="779"/>
    <x v="1"/>
    <x v="2"/>
    <x v="5"/>
    <x v="6"/>
    <s v="Andrew Fuller"/>
  </r>
  <r>
    <n v="10687"/>
    <n v="9"/>
    <n v="97"/>
    <n v="50"/>
    <n v="0.25"/>
    <x v="780"/>
    <x v="1"/>
    <x v="2"/>
    <x v="7"/>
    <x v="14"/>
    <s v="Anne Dodsworth"/>
  </r>
  <r>
    <n v="10687"/>
    <n v="29"/>
    <n v="123.79"/>
    <n v="10"/>
    <n v="0"/>
    <x v="640"/>
    <x v="1"/>
    <x v="2"/>
    <x v="7"/>
    <x v="14"/>
    <s v="Anne Dodsworth"/>
  </r>
  <r>
    <n v="10687"/>
    <n v="36"/>
    <n v="19"/>
    <n v="6"/>
    <n v="0.25"/>
    <x v="781"/>
    <x v="1"/>
    <x v="2"/>
    <x v="3"/>
    <x v="14"/>
    <s v="Anne Dodsworth"/>
  </r>
  <r>
    <n v="10688"/>
    <n v="10"/>
    <n v="31"/>
    <n v="18"/>
    <n v="0.1"/>
    <x v="782"/>
    <x v="1"/>
    <x v="3"/>
    <x v="3"/>
    <x v="17"/>
    <s v="Margaret Peacock"/>
  </r>
  <r>
    <n v="10688"/>
    <n v="28"/>
    <n v="45.6"/>
    <n v="60"/>
    <n v="0.1"/>
    <x v="11"/>
    <x v="1"/>
    <x v="3"/>
    <x v="2"/>
    <x v="17"/>
    <s v="Margaret Peacock"/>
  </r>
  <r>
    <n v="10688"/>
    <n v="34"/>
    <n v="14"/>
    <n v="14"/>
    <n v="0"/>
    <x v="783"/>
    <x v="1"/>
    <x v="3"/>
    <x v="6"/>
    <x v="17"/>
    <s v="Margaret Peacock"/>
  </r>
  <r>
    <n v="10689"/>
    <n v="1"/>
    <n v="18"/>
    <n v="35"/>
    <n v="0.25"/>
    <x v="784"/>
    <x v="1"/>
    <x v="3"/>
    <x v="6"/>
    <x v="9"/>
    <s v="Nancy Davolio"/>
  </r>
  <r>
    <n v="10690"/>
    <n v="56"/>
    <n v="38"/>
    <n v="20"/>
    <n v="0.25"/>
    <x v="422"/>
    <x v="1"/>
    <x v="3"/>
    <x v="1"/>
    <x v="2"/>
    <s v="Nancy Davolio"/>
  </r>
  <r>
    <n v="10690"/>
    <n v="77"/>
    <n v="13"/>
    <n v="30"/>
    <n v="0.25"/>
    <x v="785"/>
    <x v="1"/>
    <x v="3"/>
    <x v="4"/>
    <x v="2"/>
    <s v="Nancy Davolio"/>
  </r>
  <r>
    <n v="10691"/>
    <n v="1"/>
    <n v="18"/>
    <n v="30"/>
    <n v="0"/>
    <x v="311"/>
    <x v="1"/>
    <x v="3"/>
    <x v="6"/>
    <x v="1"/>
    <s v="Andrew Fuller"/>
  </r>
  <r>
    <n v="10691"/>
    <n v="29"/>
    <n v="123.79"/>
    <n v="40"/>
    <n v="0"/>
    <x v="786"/>
    <x v="1"/>
    <x v="3"/>
    <x v="7"/>
    <x v="1"/>
    <s v="Andrew Fuller"/>
  </r>
  <r>
    <n v="10691"/>
    <n v="43"/>
    <n v="46"/>
    <n v="40"/>
    <n v="0"/>
    <x v="787"/>
    <x v="1"/>
    <x v="3"/>
    <x v="6"/>
    <x v="1"/>
    <s v="Andrew Fuller"/>
  </r>
  <r>
    <n v="10691"/>
    <n v="44"/>
    <n v="19.45"/>
    <n v="24"/>
    <n v="0"/>
    <x v="788"/>
    <x v="1"/>
    <x v="3"/>
    <x v="4"/>
    <x v="1"/>
    <s v="Andrew Fuller"/>
  </r>
  <r>
    <n v="10691"/>
    <n v="62"/>
    <n v="49.3"/>
    <n v="48"/>
    <n v="0"/>
    <x v="789"/>
    <x v="1"/>
    <x v="3"/>
    <x v="5"/>
    <x v="1"/>
    <s v="Andrew Fuller"/>
  </r>
  <r>
    <n v="10692"/>
    <n v="63"/>
    <n v="43.9"/>
    <n v="20"/>
    <n v="0"/>
    <x v="790"/>
    <x v="1"/>
    <x v="3"/>
    <x v="4"/>
    <x v="1"/>
    <s v="Margaret Peacock"/>
  </r>
  <r>
    <n v="10693"/>
    <n v="9"/>
    <n v="97"/>
    <n v="6"/>
    <n v="0"/>
    <x v="791"/>
    <x v="1"/>
    <x v="3"/>
    <x v="7"/>
    <x v="8"/>
    <s v="Janet Leverling"/>
  </r>
  <r>
    <n v="10693"/>
    <n v="54"/>
    <n v="7.45"/>
    <n v="60"/>
    <n v="0.15"/>
    <x v="792"/>
    <x v="1"/>
    <x v="3"/>
    <x v="7"/>
    <x v="8"/>
    <s v="Janet Leverling"/>
  </r>
  <r>
    <n v="10693"/>
    <n v="69"/>
    <n v="36"/>
    <n v="30"/>
    <n v="0.15"/>
    <x v="793"/>
    <x v="1"/>
    <x v="3"/>
    <x v="0"/>
    <x v="8"/>
    <s v="Janet Leverling"/>
  </r>
  <r>
    <n v="10693"/>
    <n v="73"/>
    <n v="15"/>
    <n v="15"/>
    <n v="0.15"/>
    <x v="794"/>
    <x v="1"/>
    <x v="3"/>
    <x v="3"/>
    <x v="8"/>
    <s v="Janet Leverling"/>
  </r>
  <r>
    <n v="10694"/>
    <n v="7"/>
    <n v="30"/>
    <n v="90"/>
    <n v="0"/>
    <x v="795"/>
    <x v="1"/>
    <x v="3"/>
    <x v="2"/>
    <x v="1"/>
    <s v="Laura Callahan"/>
  </r>
  <r>
    <n v="10694"/>
    <n v="59"/>
    <n v="55"/>
    <n v="25"/>
    <n v="0"/>
    <x v="796"/>
    <x v="1"/>
    <x v="3"/>
    <x v="0"/>
    <x v="1"/>
    <s v="Laura Callahan"/>
  </r>
  <r>
    <n v="10694"/>
    <n v="70"/>
    <n v="15"/>
    <n v="50"/>
    <n v="0"/>
    <x v="763"/>
    <x v="1"/>
    <x v="3"/>
    <x v="6"/>
    <x v="1"/>
    <s v="Laura Callahan"/>
  </r>
  <r>
    <n v="10695"/>
    <n v="8"/>
    <n v="40"/>
    <n v="10"/>
    <n v="0"/>
    <x v="62"/>
    <x v="1"/>
    <x v="3"/>
    <x v="4"/>
    <x v="10"/>
    <s v="Robert King"/>
  </r>
  <r>
    <n v="10695"/>
    <n v="12"/>
    <n v="38"/>
    <n v="4"/>
    <n v="0"/>
    <x v="369"/>
    <x v="1"/>
    <x v="3"/>
    <x v="0"/>
    <x v="10"/>
    <s v="Robert King"/>
  </r>
  <r>
    <n v="10695"/>
    <n v="24"/>
    <n v="4.5"/>
    <n v="20"/>
    <n v="0"/>
    <x v="239"/>
    <x v="1"/>
    <x v="3"/>
    <x v="6"/>
    <x v="10"/>
    <s v="Robert King"/>
  </r>
  <r>
    <n v="10696"/>
    <n v="17"/>
    <n v="39"/>
    <n v="20"/>
    <n v="0"/>
    <x v="34"/>
    <x v="1"/>
    <x v="3"/>
    <x v="7"/>
    <x v="8"/>
    <s v="Laura Callahan"/>
  </r>
  <r>
    <n v="10696"/>
    <n v="46"/>
    <n v="12"/>
    <n v="18"/>
    <n v="0"/>
    <x v="45"/>
    <x v="1"/>
    <x v="3"/>
    <x v="3"/>
    <x v="8"/>
    <s v="Laura Callahan"/>
  </r>
  <r>
    <n v="10697"/>
    <n v="19"/>
    <n v="9.1999999999999993"/>
    <n v="7"/>
    <n v="0.25"/>
    <x v="797"/>
    <x v="1"/>
    <x v="3"/>
    <x v="5"/>
    <x v="5"/>
    <s v="Janet Leverling"/>
  </r>
  <r>
    <n v="10697"/>
    <n v="35"/>
    <n v="18"/>
    <n v="9"/>
    <n v="0.25"/>
    <x v="798"/>
    <x v="1"/>
    <x v="3"/>
    <x v="6"/>
    <x v="5"/>
    <s v="Janet Leverling"/>
  </r>
  <r>
    <n v="10697"/>
    <n v="58"/>
    <n v="13.25"/>
    <n v="30"/>
    <n v="0.25"/>
    <x v="799"/>
    <x v="1"/>
    <x v="3"/>
    <x v="3"/>
    <x v="5"/>
    <s v="Janet Leverling"/>
  </r>
  <r>
    <n v="10697"/>
    <n v="70"/>
    <n v="15"/>
    <n v="30"/>
    <n v="0.25"/>
    <x v="800"/>
    <x v="1"/>
    <x v="3"/>
    <x v="6"/>
    <x v="5"/>
    <s v="Janet Leverling"/>
  </r>
  <r>
    <n v="10698"/>
    <n v="11"/>
    <n v="21"/>
    <n v="15"/>
    <n v="0"/>
    <x v="591"/>
    <x v="1"/>
    <x v="3"/>
    <x v="0"/>
    <x v="6"/>
    <s v="Margaret Peacock"/>
  </r>
  <r>
    <n v="10698"/>
    <n v="17"/>
    <n v="39"/>
    <n v="8"/>
    <n v="0.05"/>
    <x v="465"/>
    <x v="1"/>
    <x v="3"/>
    <x v="7"/>
    <x v="6"/>
    <s v="Margaret Peacock"/>
  </r>
  <r>
    <n v="10698"/>
    <n v="29"/>
    <n v="123.79"/>
    <n v="12"/>
    <n v="0.05"/>
    <x v="801"/>
    <x v="1"/>
    <x v="3"/>
    <x v="7"/>
    <x v="6"/>
    <s v="Margaret Peacock"/>
  </r>
  <r>
    <n v="10698"/>
    <n v="65"/>
    <n v="21.05"/>
    <n v="65"/>
    <n v="0.05"/>
    <x v="802"/>
    <x v="1"/>
    <x v="3"/>
    <x v="4"/>
    <x v="6"/>
    <s v="Margaret Peacock"/>
  </r>
  <r>
    <n v="10698"/>
    <n v="70"/>
    <n v="15"/>
    <n v="8"/>
    <n v="0.05"/>
    <x v="56"/>
    <x v="1"/>
    <x v="3"/>
    <x v="6"/>
    <x v="6"/>
    <s v="Margaret Peacock"/>
  </r>
  <r>
    <n v="10699"/>
    <n v="47"/>
    <n v="9.5"/>
    <n v="12"/>
    <n v="0"/>
    <x v="56"/>
    <x v="1"/>
    <x v="3"/>
    <x v="5"/>
    <x v="1"/>
    <s v="Janet Leverling"/>
  </r>
  <r>
    <n v="10700"/>
    <n v="1"/>
    <n v="18"/>
    <n v="5"/>
    <n v="0.2"/>
    <x v="197"/>
    <x v="1"/>
    <x v="3"/>
    <x v="6"/>
    <x v="8"/>
    <s v="Janet Leverling"/>
  </r>
  <r>
    <n v="10700"/>
    <n v="34"/>
    <n v="14"/>
    <n v="12"/>
    <n v="0.2"/>
    <x v="803"/>
    <x v="1"/>
    <x v="3"/>
    <x v="6"/>
    <x v="8"/>
    <s v="Janet Leverling"/>
  </r>
  <r>
    <n v="10700"/>
    <n v="68"/>
    <n v="12.5"/>
    <n v="40"/>
    <n v="0.2"/>
    <x v="62"/>
    <x v="1"/>
    <x v="3"/>
    <x v="5"/>
    <x v="8"/>
    <s v="Janet Leverling"/>
  </r>
  <r>
    <n v="10700"/>
    <n v="71"/>
    <n v="21.5"/>
    <n v="60"/>
    <n v="0.2"/>
    <x v="321"/>
    <x v="1"/>
    <x v="3"/>
    <x v="0"/>
    <x v="8"/>
    <s v="Janet Leverling"/>
  </r>
  <r>
    <n v="10701"/>
    <n v="59"/>
    <n v="55"/>
    <n v="42"/>
    <n v="0.15"/>
    <x v="804"/>
    <x v="1"/>
    <x v="3"/>
    <x v="0"/>
    <x v="14"/>
    <s v="Michael Suyama"/>
  </r>
  <r>
    <n v="10701"/>
    <n v="71"/>
    <n v="21.5"/>
    <n v="20"/>
    <n v="0.15"/>
    <x v="805"/>
    <x v="1"/>
    <x v="3"/>
    <x v="0"/>
    <x v="14"/>
    <s v="Michael Suyama"/>
  </r>
  <r>
    <n v="10701"/>
    <n v="76"/>
    <n v="18"/>
    <n v="35"/>
    <n v="0.15"/>
    <x v="576"/>
    <x v="1"/>
    <x v="3"/>
    <x v="6"/>
    <x v="14"/>
    <s v="Michael Suyama"/>
  </r>
  <r>
    <n v="10702"/>
    <n v="3"/>
    <n v="10"/>
    <n v="6"/>
    <n v="0"/>
    <x v="148"/>
    <x v="1"/>
    <x v="3"/>
    <x v="4"/>
    <x v="1"/>
    <s v="Margaret Peacock"/>
  </r>
  <r>
    <n v="10702"/>
    <n v="76"/>
    <n v="18"/>
    <n v="15"/>
    <n v="0"/>
    <x v="351"/>
    <x v="1"/>
    <x v="3"/>
    <x v="6"/>
    <x v="1"/>
    <s v="Margaret Peacock"/>
  </r>
  <r>
    <n v="10703"/>
    <n v="2"/>
    <n v="19"/>
    <n v="5"/>
    <n v="0"/>
    <x v="744"/>
    <x v="1"/>
    <x v="3"/>
    <x v="6"/>
    <x v="9"/>
    <s v="Michael Suyama"/>
  </r>
  <r>
    <n v="10703"/>
    <n v="59"/>
    <n v="55"/>
    <n v="35"/>
    <n v="0"/>
    <x v="659"/>
    <x v="1"/>
    <x v="3"/>
    <x v="0"/>
    <x v="9"/>
    <s v="Michael Suyama"/>
  </r>
  <r>
    <n v="10703"/>
    <n v="73"/>
    <n v="15"/>
    <n v="35"/>
    <n v="0"/>
    <x v="806"/>
    <x v="1"/>
    <x v="3"/>
    <x v="3"/>
    <x v="9"/>
    <s v="Michael Suyama"/>
  </r>
  <r>
    <n v="10704"/>
    <n v="4"/>
    <n v="22"/>
    <n v="6"/>
    <n v="0"/>
    <x v="807"/>
    <x v="1"/>
    <x v="3"/>
    <x v="4"/>
    <x v="2"/>
    <s v="Michael Suyama"/>
  </r>
  <r>
    <n v="10704"/>
    <n v="24"/>
    <n v="4.5"/>
    <n v="35"/>
    <n v="0"/>
    <x v="428"/>
    <x v="1"/>
    <x v="3"/>
    <x v="6"/>
    <x v="2"/>
    <s v="Michael Suyama"/>
  </r>
  <r>
    <n v="10704"/>
    <n v="48"/>
    <n v="12.75"/>
    <n v="24"/>
    <n v="0"/>
    <x v="588"/>
    <x v="1"/>
    <x v="3"/>
    <x v="5"/>
    <x v="2"/>
    <s v="Michael Suyama"/>
  </r>
  <r>
    <n v="10705"/>
    <n v="31"/>
    <n v="12.5"/>
    <n v="20"/>
    <n v="0"/>
    <x v="544"/>
    <x v="1"/>
    <x v="3"/>
    <x v="0"/>
    <x v="5"/>
    <s v="Anne Dodsworth"/>
  </r>
  <r>
    <n v="10705"/>
    <n v="32"/>
    <n v="32"/>
    <n v="4"/>
    <n v="0"/>
    <x v="470"/>
    <x v="1"/>
    <x v="3"/>
    <x v="0"/>
    <x v="5"/>
    <s v="Anne Dodsworth"/>
  </r>
  <r>
    <n v="10706"/>
    <n v="16"/>
    <n v="17.45"/>
    <n v="20"/>
    <n v="0"/>
    <x v="808"/>
    <x v="1"/>
    <x v="3"/>
    <x v="5"/>
    <x v="8"/>
    <s v="Laura Callahan"/>
  </r>
  <r>
    <n v="10706"/>
    <n v="43"/>
    <n v="46"/>
    <n v="24"/>
    <n v="0"/>
    <x v="717"/>
    <x v="1"/>
    <x v="3"/>
    <x v="6"/>
    <x v="8"/>
    <s v="Laura Callahan"/>
  </r>
  <r>
    <n v="10706"/>
    <n v="59"/>
    <n v="55"/>
    <n v="8"/>
    <n v="0"/>
    <x v="137"/>
    <x v="1"/>
    <x v="3"/>
    <x v="0"/>
    <x v="8"/>
    <s v="Laura Callahan"/>
  </r>
  <r>
    <n v="10707"/>
    <n v="55"/>
    <n v="24"/>
    <n v="21"/>
    <n v="0"/>
    <x v="326"/>
    <x v="1"/>
    <x v="3"/>
    <x v="7"/>
    <x v="13"/>
    <s v="Margaret Peacock"/>
  </r>
  <r>
    <n v="10707"/>
    <n v="57"/>
    <n v="19.5"/>
    <n v="40"/>
    <n v="0"/>
    <x v="34"/>
    <x v="1"/>
    <x v="3"/>
    <x v="1"/>
    <x v="13"/>
    <s v="Margaret Peacock"/>
  </r>
  <r>
    <n v="10707"/>
    <n v="70"/>
    <n v="15"/>
    <n v="28"/>
    <n v="0.15"/>
    <x v="809"/>
    <x v="1"/>
    <x v="3"/>
    <x v="6"/>
    <x v="13"/>
    <s v="Margaret Peacock"/>
  </r>
  <r>
    <n v="10708"/>
    <n v="5"/>
    <n v="21.35"/>
    <n v="4"/>
    <n v="0"/>
    <x v="810"/>
    <x v="1"/>
    <x v="3"/>
    <x v="4"/>
    <x v="8"/>
    <s v="Michael Suyama"/>
  </r>
  <r>
    <n v="10708"/>
    <n v="36"/>
    <n v="19"/>
    <n v="5"/>
    <n v="0"/>
    <x v="744"/>
    <x v="1"/>
    <x v="3"/>
    <x v="3"/>
    <x v="8"/>
    <s v="Michael Suyama"/>
  </r>
  <r>
    <n v="10709"/>
    <n v="8"/>
    <n v="40"/>
    <n v="40"/>
    <n v="0"/>
    <x v="194"/>
    <x v="1"/>
    <x v="3"/>
    <x v="4"/>
    <x v="2"/>
    <s v="Nancy Davolio"/>
  </r>
  <r>
    <n v="10709"/>
    <n v="51"/>
    <n v="53"/>
    <n v="28"/>
    <n v="0"/>
    <x v="811"/>
    <x v="1"/>
    <x v="3"/>
    <x v="2"/>
    <x v="2"/>
    <s v="Nancy Davolio"/>
  </r>
  <r>
    <n v="10709"/>
    <n v="60"/>
    <n v="34"/>
    <n v="10"/>
    <n v="0"/>
    <x v="107"/>
    <x v="1"/>
    <x v="3"/>
    <x v="0"/>
    <x v="2"/>
    <s v="Nancy Davolio"/>
  </r>
  <r>
    <n v="10710"/>
    <n v="19"/>
    <n v="9.1999999999999993"/>
    <n v="5"/>
    <n v="0"/>
    <x v="682"/>
    <x v="1"/>
    <x v="3"/>
    <x v="5"/>
    <x v="11"/>
    <s v="Nancy Davolio"/>
  </r>
  <r>
    <n v="10710"/>
    <n v="47"/>
    <n v="9.5"/>
    <n v="5"/>
    <n v="0"/>
    <x v="12"/>
    <x v="1"/>
    <x v="3"/>
    <x v="5"/>
    <x v="11"/>
    <s v="Nancy Davolio"/>
  </r>
  <r>
    <n v="10711"/>
    <n v="19"/>
    <n v="9.1999999999999993"/>
    <n v="12"/>
    <n v="0"/>
    <x v="435"/>
    <x v="1"/>
    <x v="3"/>
    <x v="5"/>
    <x v="8"/>
    <s v="Steven Buchanan"/>
  </r>
  <r>
    <n v="10711"/>
    <n v="41"/>
    <n v="9.65"/>
    <n v="42"/>
    <n v="0"/>
    <x v="812"/>
    <x v="1"/>
    <x v="3"/>
    <x v="3"/>
    <x v="8"/>
    <s v="Steven Buchanan"/>
  </r>
  <r>
    <n v="10711"/>
    <n v="53"/>
    <n v="32.799999999999997"/>
    <n v="120"/>
    <n v="0"/>
    <x v="813"/>
    <x v="1"/>
    <x v="3"/>
    <x v="7"/>
    <x v="8"/>
    <s v="Steven Buchanan"/>
  </r>
  <r>
    <n v="10712"/>
    <n v="53"/>
    <n v="32.799999999999997"/>
    <n v="3"/>
    <n v="0.05"/>
    <x v="814"/>
    <x v="1"/>
    <x v="3"/>
    <x v="7"/>
    <x v="14"/>
    <s v="Janet Leverling"/>
  </r>
  <r>
    <n v="10712"/>
    <n v="56"/>
    <n v="38"/>
    <n v="30"/>
    <n v="0"/>
    <x v="581"/>
    <x v="1"/>
    <x v="3"/>
    <x v="1"/>
    <x v="14"/>
    <s v="Janet Leverling"/>
  </r>
  <r>
    <n v="10713"/>
    <n v="10"/>
    <n v="31"/>
    <n v="18"/>
    <n v="0"/>
    <x v="596"/>
    <x v="1"/>
    <x v="3"/>
    <x v="3"/>
    <x v="8"/>
    <s v="Nancy Davolio"/>
  </r>
  <r>
    <n v="10713"/>
    <n v="26"/>
    <n v="31.23"/>
    <n v="30"/>
    <n v="0"/>
    <x v="815"/>
    <x v="1"/>
    <x v="3"/>
    <x v="5"/>
    <x v="8"/>
    <s v="Nancy Davolio"/>
  </r>
  <r>
    <n v="10713"/>
    <n v="45"/>
    <n v="9.5"/>
    <n v="110"/>
    <n v="0"/>
    <x v="550"/>
    <x v="1"/>
    <x v="3"/>
    <x v="3"/>
    <x v="8"/>
    <s v="Nancy Davolio"/>
  </r>
  <r>
    <n v="10713"/>
    <n v="46"/>
    <n v="12"/>
    <n v="24"/>
    <n v="0"/>
    <x v="38"/>
    <x v="1"/>
    <x v="3"/>
    <x v="3"/>
    <x v="8"/>
    <s v="Nancy Davolio"/>
  </r>
  <r>
    <n v="10714"/>
    <n v="2"/>
    <n v="19"/>
    <n v="30"/>
    <n v="0.25"/>
    <x v="557"/>
    <x v="1"/>
    <x v="3"/>
    <x v="6"/>
    <x v="8"/>
    <s v="Steven Buchanan"/>
  </r>
  <r>
    <n v="10714"/>
    <n v="17"/>
    <n v="39"/>
    <n v="27"/>
    <n v="0.25"/>
    <x v="816"/>
    <x v="1"/>
    <x v="3"/>
    <x v="7"/>
    <x v="8"/>
    <s v="Steven Buchanan"/>
  </r>
  <r>
    <n v="10714"/>
    <n v="47"/>
    <n v="9.5"/>
    <n v="50"/>
    <n v="0.25"/>
    <x v="817"/>
    <x v="1"/>
    <x v="3"/>
    <x v="5"/>
    <x v="8"/>
    <s v="Steven Buchanan"/>
  </r>
  <r>
    <n v="10714"/>
    <n v="56"/>
    <n v="38"/>
    <n v="18"/>
    <n v="0.25"/>
    <x v="542"/>
    <x v="1"/>
    <x v="3"/>
    <x v="1"/>
    <x v="8"/>
    <s v="Steven Buchanan"/>
  </r>
  <r>
    <n v="10714"/>
    <n v="58"/>
    <n v="13.25"/>
    <n v="12"/>
    <n v="0.25"/>
    <x v="818"/>
    <x v="1"/>
    <x v="3"/>
    <x v="3"/>
    <x v="8"/>
    <s v="Steven Buchanan"/>
  </r>
  <r>
    <n v="10715"/>
    <n v="10"/>
    <n v="31"/>
    <n v="21"/>
    <n v="0"/>
    <x v="371"/>
    <x v="1"/>
    <x v="3"/>
    <x v="3"/>
    <x v="0"/>
    <s v="Janet Leverling"/>
  </r>
  <r>
    <n v="10715"/>
    <n v="71"/>
    <n v="21.5"/>
    <n v="30"/>
    <n v="0"/>
    <x v="819"/>
    <x v="1"/>
    <x v="3"/>
    <x v="0"/>
    <x v="0"/>
    <s v="Janet Leverling"/>
  </r>
  <r>
    <n v="10716"/>
    <n v="21"/>
    <n v="10"/>
    <n v="5"/>
    <n v="0"/>
    <x v="820"/>
    <x v="1"/>
    <x v="3"/>
    <x v="5"/>
    <x v="20"/>
    <s v="Margaret Peacock"/>
  </r>
  <r>
    <n v="10716"/>
    <n v="51"/>
    <n v="53"/>
    <n v="7"/>
    <n v="0"/>
    <x v="821"/>
    <x v="1"/>
    <x v="3"/>
    <x v="2"/>
    <x v="20"/>
    <s v="Margaret Peacock"/>
  </r>
  <r>
    <n v="10716"/>
    <n v="61"/>
    <n v="28.5"/>
    <n v="10"/>
    <n v="0"/>
    <x v="314"/>
    <x v="1"/>
    <x v="3"/>
    <x v="4"/>
    <x v="20"/>
    <s v="Margaret Peacock"/>
  </r>
  <r>
    <n v="10717"/>
    <n v="21"/>
    <n v="10"/>
    <n v="32"/>
    <n v="0.05"/>
    <x v="19"/>
    <x v="1"/>
    <x v="3"/>
    <x v="5"/>
    <x v="1"/>
    <s v="Nancy Davolio"/>
  </r>
  <r>
    <n v="10717"/>
    <n v="54"/>
    <n v="7.45"/>
    <n v="15"/>
    <n v="0"/>
    <x v="539"/>
    <x v="1"/>
    <x v="3"/>
    <x v="7"/>
    <x v="1"/>
    <s v="Nancy Davolio"/>
  </r>
  <r>
    <n v="10717"/>
    <n v="69"/>
    <n v="36"/>
    <n v="25"/>
    <n v="0.05"/>
    <x v="822"/>
    <x v="1"/>
    <x v="3"/>
    <x v="0"/>
    <x v="1"/>
    <s v="Nancy Davolio"/>
  </r>
  <r>
    <n v="10718"/>
    <n v="12"/>
    <n v="38"/>
    <n v="36"/>
    <n v="0"/>
    <x v="823"/>
    <x v="1"/>
    <x v="3"/>
    <x v="0"/>
    <x v="1"/>
    <s v="Nancy Davolio"/>
  </r>
  <r>
    <n v="10718"/>
    <n v="16"/>
    <n v="17.45"/>
    <n v="20"/>
    <n v="0"/>
    <x v="808"/>
    <x v="1"/>
    <x v="3"/>
    <x v="5"/>
    <x v="1"/>
    <s v="Nancy Davolio"/>
  </r>
  <r>
    <n v="10718"/>
    <n v="36"/>
    <n v="19"/>
    <n v="40"/>
    <n v="0"/>
    <x v="679"/>
    <x v="1"/>
    <x v="3"/>
    <x v="3"/>
    <x v="1"/>
    <s v="Nancy Davolio"/>
  </r>
  <r>
    <n v="10718"/>
    <n v="62"/>
    <n v="49.3"/>
    <n v="20"/>
    <n v="0"/>
    <x v="824"/>
    <x v="1"/>
    <x v="3"/>
    <x v="5"/>
    <x v="1"/>
    <s v="Nancy Davolio"/>
  </r>
  <r>
    <n v="10719"/>
    <n v="18"/>
    <n v="62.5"/>
    <n v="12"/>
    <n v="0.25"/>
    <x v="825"/>
    <x v="1"/>
    <x v="3"/>
    <x v="3"/>
    <x v="8"/>
    <s v="Laura Callahan"/>
  </r>
  <r>
    <n v="10719"/>
    <n v="30"/>
    <n v="25.89"/>
    <n v="3"/>
    <n v="0.25"/>
    <x v="826"/>
    <x v="1"/>
    <x v="3"/>
    <x v="3"/>
    <x v="8"/>
    <s v="Laura Callahan"/>
  </r>
  <r>
    <n v="10719"/>
    <n v="54"/>
    <n v="7.45"/>
    <n v="40"/>
    <n v="0.25"/>
    <x v="731"/>
    <x v="1"/>
    <x v="3"/>
    <x v="7"/>
    <x v="8"/>
    <s v="Laura Callahan"/>
  </r>
  <r>
    <n v="10720"/>
    <n v="35"/>
    <n v="18"/>
    <n v="21"/>
    <n v="0"/>
    <x v="827"/>
    <x v="1"/>
    <x v="3"/>
    <x v="6"/>
    <x v="2"/>
    <s v="Laura Callahan"/>
  </r>
  <r>
    <n v="10720"/>
    <n v="71"/>
    <n v="21.5"/>
    <n v="8"/>
    <n v="0"/>
    <x v="828"/>
    <x v="1"/>
    <x v="3"/>
    <x v="0"/>
    <x v="2"/>
    <s v="Laura Callahan"/>
  </r>
  <r>
    <n v="10721"/>
    <n v="44"/>
    <n v="19.45"/>
    <n v="50"/>
    <n v="0.05"/>
    <x v="829"/>
    <x v="1"/>
    <x v="3"/>
    <x v="4"/>
    <x v="1"/>
    <s v="Steven Buchanan"/>
  </r>
  <r>
    <n v="10722"/>
    <n v="2"/>
    <n v="19"/>
    <n v="3"/>
    <n v="0"/>
    <x v="830"/>
    <x v="1"/>
    <x v="3"/>
    <x v="6"/>
    <x v="8"/>
    <s v="Laura Callahan"/>
  </r>
  <r>
    <n v="10722"/>
    <n v="31"/>
    <n v="12.5"/>
    <n v="50"/>
    <n v="0"/>
    <x v="831"/>
    <x v="1"/>
    <x v="3"/>
    <x v="0"/>
    <x v="8"/>
    <s v="Laura Callahan"/>
  </r>
  <r>
    <n v="10722"/>
    <n v="68"/>
    <n v="12.5"/>
    <n v="45"/>
    <n v="0"/>
    <x v="825"/>
    <x v="1"/>
    <x v="3"/>
    <x v="5"/>
    <x v="8"/>
    <s v="Laura Callahan"/>
  </r>
  <r>
    <n v="10722"/>
    <n v="75"/>
    <n v="7.75"/>
    <n v="42"/>
    <n v="0"/>
    <x v="93"/>
    <x v="1"/>
    <x v="3"/>
    <x v="6"/>
    <x v="8"/>
    <s v="Laura Callahan"/>
  </r>
  <r>
    <n v="10723"/>
    <n v="26"/>
    <n v="31.23"/>
    <n v="15"/>
    <n v="0"/>
    <x v="779"/>
    <x v="1"/>
    <x v="3"/>
    <x v="5"/>
    <x v="8"/>
    <s v="Janet Leverling"/>
  </r>
  <r>
    <n v="10724"/>
    <n v="10"/>
    <n v="31"/>
    <n v="16"/>
    <n v="0"/>
    <x v="342"/>
    <x v="1"/>
    <x v="3"/>
    <x v="3"/>
    <x v="16"/>
    <s v="Laura Callahan"/>
  </r>
  <r>
    <n v="10724"/>
    <n v="61"/>
    <n v="28.5"/>
    <n v="5"/>
    <n v="0"/>
    <x v="65"/>
    <x v="1"/>
    <x v="3"/>
    <x v="4"/>
    <x v="16"/>
    <s v="Laura Callahan"/>
  </r>
  <r>
    <n v="10725"/>
    <n v="41"/>
    <n v="9.65"/>
    <n v="12"/>
    <n v="0"/>
    <x v="832"/>
    <x v="1"/>
    <x v="3"/>
    <x v="3"/>
    <x v="2"/>
    <s v="Margaret Peacock"/>
  </r>
  <r>
    <n v="10725"/>
    <n v="52"/>
    <n v="7"/>
    <n v="4"/>
    <n v="0"/>
    <x v="833"/>
    <x v="1"/>
    <x v="3"/>
    <x v="1"/>
    <x v="2"/>
    <s v="Margaret Peacock"/>
  </r>
  <r>
    <n v="10725"/>
    <n v="55"/>
    <n v="24"/>
    <n v="6"/>
    <n v="0"/>
    <x v="171"/>
    <x v="1"/>
    <x v="3"/>
    <x v="7"/>
    <x v="2"/>
    <s v="Margaret Peacock"/>
  </r>
  <r>
    <n v="10726"/>
    <n v="4"/>
    <n v="22"/>
    <n v="25"/>
    <n v="0"/>
    <x v="711"/>
    <x v="1"/>
    <x v="4"/>
    <x v="4"/>
    <x v="13"/>
    <s v="Margaret Peacock"/>
  </r>
  <r>
    <n v="10726"/>
    <n v="11"/>
    <n v="21"/>
    <n v="5"/>
    <n v="0"/>
    <x v="563"/>
    <x v="1"/>
    <x v="4"/>
    <x v="0"/>
    <x v="13"/>
    <s v="Margaret Peacock"/>
  </r>
  <r>
    <n v="10727"/>
    <n v="17"/>
    <n v="39"/>
    <n v="20"/>
    <n v="0.05"/>
    <x v="646"/>
    <x v="1"/>
    <x v="4"/>
    <x v="7"/>
    <x v="11"/>
    <s v="Andrew Fuller"/>
  </r>
  <r>
    <n v="10727"/>
    <n v="56"/>
    <n v="38"/>
    <n v="10"/>
    <n v="0.05"/>
    <x v="834"/>
    <x v="1"/>
    <x v="4"/>
    <x v="1"/>
    <x v="11"/>
    <s v="Andrew Fuller"/>
  </r>
  <r>
    <n v="10727"/>
    <n v="59"/>
    <n v="55"/>
    <n v="10"/>
    <n v="0.05"/>
    <x v="835"/>
    <x v="1"/>
    <x v="4"/>
    <x v="0"/>
    <x v="11"/>
    <s v="Andrew Fuller"/>
  </r>
  <r>
    <n v="10728"/>
    <n v="30"/>
    <n v="25.89"/>
    <n v="15"/>
    <n v="0"/>
    <x v="549"/>
    <x v="1"/>
    <x v="4"/>
    <x v="3"/>
    <x v="2"/>
    <s v="Margaret Peacock"/>
  </r>
  <r>
    <n v="10728"/>
    <n v="40"/>
    <n v="18.399999999999999"/>
    <n v="6"/>
    <n v="0"/>
    <x v="435"/>
    <x v="1"/>
    <x v="4"/>
    <x v="3"/>
    <x v="2"/>
    <s v="Margaret Peacock"/>
  </r>
  <r>
    <n v="10728"/>
    <n v="55"/>
    <n v="24"/>
    <n v="12"/>
    <n v="0"/>
    <x v="38"/>
    <x v="1"/>
    <x v="4"/>
    <x v="7"/>
    <x v="2"/>
    <s v="Margaret Peacock"/>
  </r>
  <r>
    <n v="10728"/>
    <n v="60"/>
    <n v="34"/>
    <n v="15"/>
    <n v="0"/>
    <x v="672"/>
    <x v="1"/>
    <x v="4"/>
    <x v="0"/>
    <x v="2"/>
    <s v="Margaret Peacock"/>
  </r>
  <r>
    <n v="10729"/>
    <n v="1"/>
    <n v="18"/>
    <n v="50"/>
    <n v="0"/>
    <x v="547"/>
    <x v="1"/>
    <x v="4"/>
    <x v="6"/>
    <x v="5"/>
    <s v="Laura Callahan"/>
  </r>
  <r>
    <n v="10729"/>
    <n v="21"/>
    <n v="10"/>
    <n v="30"/>
    <n v="0"/>
    <x v="79"/>
    <x v="1"/>
    <x v="4"/>
    <x v="5"/>
    <x v="5"/>
    <s v="Laura Callahan"/>
  </r>
  <r>
    <n v="10729"/>
    <n v="50"/>
    <n v="16.25"/>
    <n v="40"/>
    <n v="0"/>
    <x v="836"/>
    <x v="1"/>
    <x v="4"/>
    <x v="5"/>
    <x v="5"/>
    <s v="Laura Callahan"/>
  </r>
  <r>
    <n v="10730"/>
    <n v="16"/>
    <n v="17.45"/>
    <n v="15"/>
    <n v="0.05"/>
    <x v="837"/>
    <x v="1"/>
    <x v="4"/>
    <x v="5"/>
    <x v="0"/>
    <s v="Steven Buchanan"/>
  </r>
  <r>
    <n v="10730"/>
    <n v="31"/>
    <n v="12.5"/>
    <n v="3"/>
    <n v="0.05"/>
    <x v="838"/>
    <x v="1"/>
    <x v="4"/>
    <x v="0"/>
    <x v="0"/>
    <s v="Steven Buchanan"/>
  </r>
  <r>
    <n v="10730"/>
    <n v="65"/>
    <n v="21.05"/>
    <n v="10"/>
    <n v="0.05"/>
    <x v="839"/>
    <x v="1"/>
    <x v="4"/>
    <x v="4"/>
    <x v="0"/>
    <s v="Steven Buchanan"/>
  </r>
  <r>
    <n v="10731"/>
    <n v="21"/>
    <n v="10"/>
    <n v="40"/>
    <n v="0.05"/>
    <x v="21"/>
    <x v="1"/>
    <x v="4"/>
    <x v="5"/>
    <x v="4"/>
    <s v="Robert King"/>
  </r>
  <r>
    <n v="10731"/>
    <n v="51"/>
    <n v="53"/>
    <n v="30"/>
    <n v="0.05"/>
    <x v="840"/>
    <x v="1"/>
    <x v="4"/>
    <x v="2"/>
    <x v="4"/>
    <s v="Robert King"/>
  </r>
  <r>
    <n v="10732"/>
    <n v="76"/>
    <n v="18"/>
    <n v="20"/>
    <n v="0"/>
    <x v="40"/>
    <x v="1"/>
    <x v="4"/>
    <x v="6"/>
    <x v="0"/>
    <s v="Janet Leverling"/>
  </r>
  <r>
    <n v="10733"/>
    <n v="14"/>
    <n v="23.25"/>
    <n v="16"/>
    <n v="0"/>
    <x v="73"/>
    <x v="1"/>
    <x v="4"/>
    <x v="2"/>
    <x v="9"/>
    <s v="Nancy Davolio"/>
  </r>
  <r>
    <n v="10733"/>
    <n v="28"/>
    <n v="45.6"/>
    <n v="20"/>
    <n v="0"/>
    <x v="353"/>
    <x v="1"/>
    <x v="4"/>
    <x v="2"/>
    <x v="9"/>
    <s v="Nancy Davolio"/>
  </r>
  <r>
    <n v="10733"/>
    <n v="52"/>
    <n v="7"/>
    <n v="25"/>
    <n v="0"/>
    <x v="841"/>
    <x v="1"/>
    <x v="4"/>
    <x v="1"/>
    <x v="9"/>
    <s v="Nancy Davolio"/>
  </r>
  <r>
    <n v="10734"/>
    <n v="6"/>
    <n v="25"/>
    <n v="30"/>
    <n v="0"/>
    <x v="763"/>
    <x v="1"/>
    <x v="4"/>
    <x v="4"/>
    <x v="2"/>
    <s v="Andrew Fuller"/>
  </r>
  <r>
    <n v="10734"/>
    <n v="30"/>
    <n v="25.89"/>
    <n v="15"/>
    <n v="0"/>
    <x v="549"/>
    <x v="1"/>
    <x v="4"/>
    <x v="3"/>
    <x v="2"/>
    <s v="Andrew Fuller"/>
  </r>
  <r>
    <n v="10734"/>
    <n v="76"/>
    <n v="18"/>
    <n v="20"/>
    <n v="0"/>
    <x v="40"/>
    <x v="1"/>
    <x v="4"/>
    <x v="6"/>
    <x v="2"/>
    <s v="Andrew Fuller"/>
  </r>
  <r>
    <n v="10735"/>
    <n v="61"/>
    <n v="28.5"/>
    <n v="20"/>
    <n v="0.1"/>
    <x v="542"/>
    <x v="1"/>
    <x v="4"/>
    <x v="4"/>
    <x v="8"/>
    <s v="Michael Suyama"/>
  </r>
  <r>
    <n v="10735"/>
    <n v="77"/>
    <n v="13"/>
    <n v="2"/>
    <n v="0.1"/>
    <x v="842"/>
    <x v="1"/>
    <x v="4"/>
    <x v="4"/>
    <x v="8"/>
    <s v="Michael Suyama"/>
  </r>
  <r>
    <n v="10736"/>
    <n v="65"/>
    <n v="21.05"/>
    <n v="40"/>
    <n v="0"/>
    <x v="843"/>
    <x v="1"/>
    <x v="4"/>
    <x v="4"/>
    <x v="14"/>
    <s v="Anne Dodsworth"/>
  </r>
  <r>
    <n v="10736"/>
    <n v="75"/>
    <n v="7.75"/>
    <n v="20"/>
    <n v="0"/>
    <x v="600"/>
    <x v="1"/>
    <x v="4"/>
    <x v="6"/>
    <x v="14"/>
    <s v="Anne Dodsworth"/>
  </r>
  <r>
    <n v="10737"/>
    <n v="13"/>
    <n v="6"/>
    <n v="4"/>
    <n v="0"/>
    <x v="451"/>
    <x v="1"/>
    <x v="4"/>
    <x v="3"/>
    <x v="0"/>
    <s v="Andrew Fuller"/>
  </r>
  <r>
    <n v="10737"/>
    <n v="41"/>
    <n v="9.65"/>
    <n v="12"/>
    <n v="0"/>
    <x v="832"/>
    <x v="1"/>
    <x v="4"/>
    <x v="3"/>
    <x v="0"/>
    <s v="Andrew Fuller"/>
  </r>
  <r>
    <n v="10738"/>
    <n v="16"/>
    <n v="17.45"/>
    <n v="3"/>
    <n v="0"/>
    <x v="768"/>
    <x v="1"/>
    <x v="4"/>
    <x v="5"/>
    <x v="0"/>
    <s v="Andrew Fuller"/>
  </r>
  <r>
    <n v="10739"/>
    <n v="36"/>
    <n v="19"/>
    <n v="6"/>
    <n v="0"/>
    <x v="56"/>
    <x v="1"/>
    <x v="4"/>
    <x v="3"/>
    <x v="0"/>
    <s v="Janet Leverling"/>
  </r>
  <r>
    <n v="10739"/>
    <n v="52"/>
    <n v="7"/>
    <n v="18"/>
    <n v="0"/>
    <x v="459"/>
    <x v="1"/>
    <x v="4"/>
    <x v="1"/>
    <x v="0"/>
    <s v="Janet Leverling"/>
  </r>
  <r>
    <n v="10740"/>
    <n v="28"/>
    <n v="45.6"/>
    <n v="5"/>
    <n v="0.2"/>
    <x v="844"/>
    <x v="1"/>
    <x v="4"/>
    <x v="2"/>
    <x v="8"/>
    <s v="Margaret Peacock"/>
  </r>
  <r>
    <n v="10740"/>
    <n v="35"/>
    <n v="18"/>
    <n v="35"/>
    <n v="0.2"/>
    <x v="326"/>
    <x v="1"/>
    <x v="4"/>
    <x v="6"/>
    <x v="8"/>
    <s v="Margaret Peacock"/>
  </r>
  <r>
    <n v="10740"/>
    <n v="45"/>
    <n v="9.5"/>
    <n v="40"/>
    <n v="0.2"/>
    <x v="19"/>
    <x v="1"/>
    <x v="4"/>
    <x v="3"/>
    <x v="8"/>
    <s v="Margaret Peacock"/>
  </r>
  <r>
    <n v="10740"/>
    <n v="56"/>
    <n v="38"/>
    <n v="14"/>
    <n v="0.2"/>
    <x v="845"/>
    <x v="1"/>
    <x v="4"/>
    <x v="1"/>
    <x v="8"/>
    <s v="Margaret Peacock"/>
  </r>
  <r>
    <n v="10741"/>
    <n v="2"/>
    <n v="19"/>
    <n v="15"/>
    <n v="0.2"/>
    <x v="463"/>
    <x v="1"/>
    <x v="4"/>
    <x v="6"/>
    <x v="13"/>
    <s v="Margaret Peacock"/>
  </r>
  <r>
    <n v="10742"/>
    <n v="3"/>
    <n v="10"/>
    <n v="20"/>
    <n v="0"/>
    <x v="14"/>
    <x v="1"/>
    <x v="4"/>
    <x v="4"/>
    <x v="16"/>
    <s v="Janet Leverling"/>
  </r>
  <r>
    <n v="10742"/>
    <n v="60"/>
    <n v="34"/>
    <n v="50"/>
    <n v="0"/>
    <x v="846"/>
    <x v="1"/>
    <x v="4"/>
    <x v="0"/>
    <x v="16"/>
    <s v="Janet Leverling"/>
  </r>
  <r>
    <n v="10742"/>
    <n v="72"/>
    <n v="34.799999999999997"/>
    <n v="35"/>
    <n v="0"/>
    <x v="847"/>
    <x v="1"/>
    <x v="4"/>
    <x v="0"/>
    <x v="16"/>
    <s v="Janet Leverling"/>
  </r>
  <r>
    <n v="10743"/>
    <n v="46"/>
    <n v="12"/>
    <n v="28"/>
    <n v="0.05"/>
    <x v="577"/>
    <x v="1"/>
    <x v="4"/>
    <x v="3"/>
    <x v="13"/>
    <s v="Nancy Davolio"/>
  </r>
  <r>
    <n v="10744"/>
    <n v="40"/>
    <n v="18.399999999999999"/>
    <n v="50"/>
    <n v="0.2"/>
    <x v="151"/>
    <x v="1"/>
    <x v="4"/>
    <x v="3"/>
    <x v="17"/>
    <s v="Michael Suyama"/>
  </r>
  <r>
    <n v="10745"/>
    <n v="18"/>
    <n v="62.5"/>
    <n v="24"/>
    <n v="0"/>
    <x v="445"/>
    <x v="1"/>
    <x v="4"/>
    <x v="3"/>
    <x v="1"/>
    <s v="Anne Dodsworth"/>
  </r>
  <r>
    <n v="10745"/>
    <n v="44"/>
    <n v="19.45"/>
    <n v="16"/>
    <n v="0"/>
    <x v="848"/>
    <x v="1"/>
    <x v="4"/>
    <x v="4"/>
    <x v="1"/>
    <s v="Anne Dodsworth"/>
  </r>
  <r>
    <n v="10745"/>
    <n v="59"/>
    <n v="55"/>
    <n v="45"/>
    <n v="0"/>
    <x v="849"/>
    <x v="1"/>
    <x v="4"/>
    <x v="0"/>
    <x v="1"/>
    <s v="Anne Dodsworth"/>
  </r>
  <r>
    <n v="10745"/>
    <n v="72"/>
    <n v="34.799999999999997"/>
    <n v="7"/>
    <n v="0"/>
    <x v="850"/>
    <x v="1"/>
    <x v="4"/>
    <x v="0"/>
    <x v="1"/>
    <s v="Anne Dodsworth"/>
  </r>
  <r>
    <n v="10746"/>
    <n v="13"/>
    <n v="6"/>
    <n v="6"/>
    <n v="0"/>
    <x v="114"/>
    <x v="1"/>
    <x v="4"/>
    <x v="3"/>
    <x v="4"/>
    <s v="Nancy Davolio"/>
  </r>
  <r>
    <n v="10746"/>
    <n v="42"/>
    <n v="14"/>
    <n v="28"/>
    <n v="0"/>
    <x v="851"/>
    <x v="1"/>
    <x v="4"/>
    <x v="1"/>
    <x v="4"/>
    <s v="Nancy Davolio"/>
  </r>
  <r>
    <n v="10746"/>
    <n v="62"/>
    <n v="49.3"/>
    <n v="9"/>
    <n v="0"/>
    <x v="609"/>
    <x v="1"/>
    <x v="4"/>
    <x v="5"/>
    <x v="4"/>
    <s v="Nancy Davolio"/>
  </r>
  <r>
    <n v="10746"/>
    <n v="69"/>
    <n v="36"/>
    <n v="40"/>
    <n v="0"/>
    <x v="99"/>
    <x v="1"/>
    <x v="4"/>
    <x v="0"/>
    <x v="4"/>
    <s v="Nancy Davolio"/>
  </r>
  <r>
    <n v="10747"/>
    <n v="31"/>
    <n v="12.5"/>
    <n v="8"/>
    <n v="0"/>
    <x v="187"/>
    <x v="1"/>
    <x v="4"/>
    <x v="0"/>
    <x v="6"/>
    <s v="Michael Suyama"/>
  </r>
  <r>
    <n v="10747"/>
    <n v="41"/>
    <n v="9.65"/>
    <n v="35"/>
    <n v="0"/>
    <x v="852"/>
    <x v="1"/>
    <x v="4"/>
    <x v="3"/>
    <x v="6"/>
    <s v="Michael Suyama"/>
  </r>
  <r>
    <n v="10747"/>
    <n v="63"/>
    <n v="43.9"/>
    <n v="9"/>
    <n v="0"/>
    <x v="853"/>
    <x v="1"/>
    <x v="4"/>
    <x v="4"/>
    <x v="6"/>
    <s v="Michael Suyama"/>
  </r>
  <r>
    <n v="10747"/>
    <n v="69"/>
    <n v="36"/>
    <n v="30"/>
    <n v="0"/>
    <x v="854"/>
    <x v="1"/>
    <x v="4"/>
    <x v="0"/>
    <x v="6"/>
    <s v="Michael Suyama"/>
  </r>
  <r>
    <n v="10748"/>
    <n v="23"/>
    <n v="9"/>
    <n v="44"/>
    <n v="0"/>
    <x v="186"/>
    <x v="1"/>
    <x v="4"/>
    <x v="1"/>
    <x v="8"/>
    <s v="Janet Leverling"/>
  </r>
  <r>
    <n v="10748"/>
    <n v="40"/>
    <n v="18.399999999999999"/>
    <n v="40"/>
    <n v="0"/>
    <x v="151"/>
    <x v="1"/>
    <x v="4"/>
    <x v="3"/>
    <x v="8"/>
    <s v="Janet Leverling"/>
  </r>
  <r>
    <n v="10748"/>
    <n v="56"/>
    <n v="38"/>
    <n v="28"/>
    <n v="0"/>
    <x v="671"/>
    <x v="1"/>
    <x v="4"/>
    <x v="1"/>
    <x v="8"/>
    <s v="Janet Leverling"/>
  </r>
  <r>
    <n v="10749"/>
    <n v="56"/>
    <n v="38"/>
    <n v="15"/>
    <n v="0"/>
    <x v="422"/>
    <x v="1"/>
    <x v="4"/>
    <x v="1"/>
    <x v="13"/>
    <s v="Margaret Peacock"/>
  </r>
  <r>
    <n v="10749"/>
    <n v="59"/>
    <n v="55"/>
    <n v="6"/>
    <n v="0"/>
    <x v="855"/>
    <x v="1"/>
    <x v="4"/>
    <x v="0"/>
    <x v="13"/>
    <s v="Margaret Peacock"/>
  </r>
  <r>
    <n v="10749"/>
    <n v="76"/>
    <n v="18"/>
    <n v="10"/>
    <n v="0"/>
    <x v="229"/>
    <x v="1"/>
    <x v="4"/>
    <x v="6"/>
    <x v="13"/>
    <s v="Margaret Peacock"/>
  </r>
  <r>
    <n v="10750"/>
    <n v="14"/>
    <n v="23.25"/>
    <n v="5"/>
    <n v="0.15"/>
    <x v="856"/>
    <x v="1"/>
    <x v="4"/>
    <x v="2"/>
    <x v="10"/>
    <s v="Anne Dodsworth"/>
  </r>
  <r>
    <n v="10750"/>
    <n v="45"/>
    <n v="9.5"/>
    <n v="40"/>
    <n v="0.15"/>
    <x v="527"/>
    <x v="1"/>
    <x v="4"/>
    <x v="3"/>
    <x v="10"/>
    <s v="Anne Dodsworth"/>
  </r>
  <r>
    <n v="10750"/>
    <n v="59"/>
    <n v="55"/>
    <n v="25"/>
    <n v="0.15"/>
    <x v="857"/>
    <x v="1"/>
    <x v="4"/>
    <x v="0"/>
    <x v="10"/>
    <s v="Anne Dodsworth"/>
  </r>
  <r>
    <n v="10751"/>
    <n v="26"/>
    <n v="31.23"/>
    <n v="12"/>
    <n v="0.1"/>
    <x v="858"/>
    <x v="1"/>
    <x v="4"/>
    <x v="5"/>
    <x v="4"/>
    <s v="Janet Leverling"/>
  </r>
  <r>
    <n v="10751"/>
    <n v="30"/>
    <n v="25.89"/>
    <n v="30"/>
    <n v="0"/>
    <x v="729"/>
    <x v="1"/>
    <x v="4"/>
    <x v="3"/>
    <x v="4"/>
    <s v="Janet Leverling"/>
  </r>
  <r>
    <n v="10751"/>
    <n v="50"/>
    <n v="16.25"/>
    <n v="20"/>
    <n v="0.1"/>
    <x v="785"/>
    <x v="1"/>
    <x v="4"/>
    <x v="5"/>
    <x v="4"/>
    <s v="Janet Leverling"/>
  </r>
  <r>
    <n v="10751"/>
    <n v="73"/>
    <n v="15"/>
    <n v="15"/>
    <n v="0"/>
    <x v="686"/>
    <x v="1"/>
    <x v="4"/>
    <x v="3"/>
    <x v="4"/>
    <s v="Janet Leverling"/>
  </r>
  <r>
    <n v="10752"/>
    <n v="1"/>
    <n v="18"/>
    <n v="8"/>
    <n v="0"/>
    <x v="171"/>
    <x v="1"/>
    <x v="4"/>
    <x v="6"/>
    <x v="13"/>
    <s v="Andrew Fuller"/>
  </r>
  <r>
    <n v="10752"/>
    <n v="69"/>
    <n v="36"/>
    <n v="3"/>
    <n v="0"/>
    <x v="446"/>
    <x v="1"/>
    <x v="4"/>
    <x v="0"/>
    <x v="13"/>
    <s v="Andrew Fuller"/>
  </r>
  <r>
    <n v="10753"/>
    <n v="45"/>
    <n v="9.5"/>
    <n v="4"/>
    <n v="0"/>
    <x v="220"/>
    <x v="1"/>
    <x v="4"/>
    <x v="3"/>
    <x v="11"/>
    <s v="Janet Leverling"/>
  </r>
  <r>
    <n v="10753"/>
    <n v="74"/>
    <n v="10"/>
    <n v="5"/>
    <n v="0"/>
    <x v="820"/>
    <x v="1"/>
    <x v="4"/>
    <x v="2"/>
    <x v="11"/>
    <s v="Janet Leverling"/>
  </r>
  <r>
    <n v="10754"/>
    <n v="40"/>
    <n v="18.399999999999999"/>
    <n v="3"/>
    <n v="0"/>
    <x v="859"/>
    <x v="1"/>
    <x v="4"/>
    <x v="3"/>
    <x v="11"/>
    <s v="Michael Suyama"/>
  </r>
  <r>
    <n v="10755"/>
    <n v="47"/>
    <n v="9.5"/>
    <n v="30"/>
    <n v="0.25"/>
    <x v="676"/>
    <x v="1"/>
    <x v="4"/>
    <x v="5"/>
    <x v="0"/>
    <s v="Margaret Peacock"/>
  </r>
  <r>
    <n v="10755"/>
    <n v="56"/>
    <n v="38"/>
    <n v="30"/>
    <n v="0.25"/>
    <x v="822"/>
    <x v="1"/>
    <x v="4"/>
    <x v="1"/>
    <x v="0"/>
    <s v="Margaret Peacock"/>
  </r>
  <r>
    <n v="10755"/>
    <n v="57"/>
    <n v="19.5"/>
    <n v="14"/>
    <n v="0.25"/>
    <x v="860"/>
    <x v="1"/>
    <x v="4"/>
    <x v="1"/>
    <x v="0"/>
    <s v="Margaret Peacock"/>
  </r>
  <r>
    <n v="10755"/>
    <n v="69"/>
    <n v="36"/>
    <n v="25"/>
    <n v="0.25"/>
    <x v="861"/>
    <x v="1"/>
    <x v="4"/>
    <x v="0"/>
    <x v="0"/>
    <s v="Margaret Peacock"/>
  </r>
  <r>
    <n v="10756"/>
    <n v="18"/>
    <n v="62.5"/>
    <n v="21"/>
    <n v="0.2"/>
    <x v="705"/>
    <x v="1"/>
    <x v="4"/>
    <x v="3"/>
    <x v="8"/>
    <s v="Laura Callahan"/>
  </r>
  <r>
    <n v="10756"/>
    <n v="36"/>
    <n v="19"/>
    <n v="20"/>
    <n v="0.2"/>
    <x v="19"/>
    <x v="1"/>
    <x v="4"/>
    <x v="3"/>
    <x v="8"/>
    <s v="Laura Callahan"/>
  </r>
  <r>
    <n v="10756"/>
    <n v="68"/>
    <n v="12.5"/>
    <n v="6"/>
    <n v="0.2"/>
    <x v="148"/>
    <x v="1"/>
    <x v="4"/>
    <x v="5"/>
    <x v="8"/>
    <s v="Laura Callahan"/>
  </r>
  <r>
    <n v="10756"/>
    <n v="69"/>
    <n v="36"/>
    <n v="20"/>
    <n v="0.2"/>
    <x v="242"/>
    <x v="1"/>
    <x v="4"/>
    <x v="0"/>
    <x v="8"/>
    <s v="Laura Callahan"/>
  </r>
  <r>
    <n v="10757"/>
    <n v="34"/>
    <n v="14"/>
    <n v="30"/>
    <n v="0"/>
    <x v="484"/>
    <x v="1"/>
    <x v="4"/>
    <x v="6"/>
    <x v="8"/>
    <s v="Michael Suyama"/>
  </r>
  <r>
    <n v="10757"/>
    <n v="59"/>
    <n v="55"/>
    <n v="7"/>
    <n v="0"/>
    <x v="862"/>
    <x v="1"/>
    <x v="4"/>
    <x v="0"/>
    <x v="8"/>
    <s v="Michael Suyama"/>
  </r>
  <r>
    <n v="10757"/>
    <n v="62"/>
    <n v="49.3"/>
    <n v="30"/>
    <n v="0"/>
    <x v="863"/>
    <x v="1"/>
    <x v="4"/>
    <x v="5"/>
    <x v="8"/>
    <s v="Michael Suyama"/>
  </r>
  <r>
    <n v="10757"/>
    <n v="64"/>
    <n v="33.25"/>
    <n v="24"/>
    <n v="0"/>
    <x v="272"/>
    <x v="1"/>
    <x v="4"/>
    <x v="1"/>
    <x v="8"/>
    <s v="Michael Suyama"/>
  </r>
  <r>
    <n v="10758"/>
    <n v="26"/>
    <n v="31.23"/>
    <n v="20"/>
    <n v="0"/>
    <x v="864"/>
    <x v="1"/>
    <x v="4"/>
    <x v="5"/>
    <x v="4"/>
    <s v="Janet Leverling"/>
  </r>
  <r>
    <n v="10758"/>
    <n v="52"/>
    <n v="7"/>
    <n v="60"/>
    <n v="0"/>
    <x v="484"/>
    <x v="1"/>
    <x v="4"/>
    <x v="1"/>
    <x v="4"/>
    <s v="Janet Leverling"/>
  </r>
  <r>
    <n v="10758"/>
    <n v="70"/>
    <n v="15"/>
    <n v="40"/>
    <n v="0"/>
    <x v="113"/>
    <x v="1"/>
    <x v="4"/>
    <x v="6"/>
    <x v="4"/>
    <s v="Janet Leverling"/>
  </r>
  <r>
    <n v="10759"/>
    <n v="32"/>
    <n v="32"/>
    <n v="10"/>
    <n v="0"/>
    <x v="317"/>
    <x v="1"/>
    <x v="4"/>
    <x v="0"/>
    <x v="7"/>
    <s v="Janet Leverling"/>
  </r>
  <r>
    <n v="10760"/>
    <n v="25"/>
    <n v="14"/>
    <n v="12"/>
    <n v="0.25"/>
    <x v="459"/>
    <x v="1"/>
    <x v="5"/>
    <x v="5"/>
    <x v="3"/>
    <s v="Margaret Peacock"/>
  </r>
  <r>
    <n v="10760"/>
    <n v="27"/>
    <n v="43.9"/>
    <n v="40"/>
    <n v="0"/>
    <x v="865"/>
    <x v="1"/>
    <x v="5"/>
    <x v="5"/>
    <x v="3"/>
    <s v="Margaret Peacock"/>
  </r>
  <r>
    <n v="10760"/>
    <n v="43"/>
    <n v="46"/>
    <n v="30"/>
    <n v="0.25"/>
    <x v="866"/>
    <x v="1"/>
    <x v="5"/>
    <x v="6"/>
    <x v="3"/>
    <s v="Margaret Peacock"/>
  </r>
  <r>
    <n v="10761"/>
    <n v="25"/>
    <n v="14"/>
    <n v="35"/>
    <n v="0.25"/>
    <x v="867"/>
    <x v="1"/>
    <x v="5"/>
    <x v="5"/>
    <x v="8"/>
    <s v="Steven Buchanan"/>
  </r>
  <r>
    <n v="10761"/>
    <n v="75"/>
    <n v="7.75"/>
    <n v="18"/>
    <n v="0"/>
    <x v="868"/>
    <x v="1"/>
    <x v="5"/>
    <x v="6"/>
    <x v="8"/>
    <s v="Steven Buchanan"/>
  </r>
  <r>
    <n v="10762"/>
    <n v="39"/>
    <n v="18"/>
    <n v="16"/>
    <n v="0"/>
    <x v="38"/>
    <x v="1"/>
    <x v="5"/>
    <x v="6"/>
    <x v="9"/>
    <s v="Janet Leverling"/>
  </r>
  <r>
    <n v="10762"/>
    <n v="47"/>
    <n v="9.5"/>
    <n v="30"/>
    <n v="0"/>
    <x v="314"/>
    <x v="1"/>
    <x v="5"/>
    <x v="5"/>
    <x v="9"/>
    <s v="Janet Leverling"/>
  </r>
  <r>
    <n v="10762"/>
    <n v="51"/>
    <n v="53"/>
    <n v="28"/>
    <n v="0"/>
    <x v="811"/>
    <x v="1"/>
    <x v="5"/>
    <x v="2"/>
    <x v="9"/>
    <s v="Janet Leverling"/>
  </r>
  <r>
    <n v="10762"/>
    <n v="56"/>
    <n v="38"/>
    <n v="60"/>
    <n v="0"/>
    <x v="869"/>
    <x v="1"/>
    <x v="5"/>
    <x v="1"/>
    <x v="9"/>
    <s v="Janet Leverling"/>
  </r>
  <r>
    <n v="10763"/>
    <n v="21"/>
    <n v="10"/>
    <n v="40"/>
    <n v="0"/>
    <x v="62"/>
    <x v="1"/>
    <x v="5"/>
    <x v="5"/>
    <x v="0"/>
    <s v="Janet Leverling"/>
  </r>
  <r>
    <n v="10763"/>
    <n v="22"/>
    <n v="21"/>
    <n v="6"/>
    <n v="0"/>
    <x v="459"/>
    <x v="1"/>
    <x v="5"/>
    <x v="1"/>
    <x v="0"/>
    <s v="Janet Leverling"/>
  </r>
  <r>
    <n v="10763"/>
    <n v="24"/>
    <n v="4.5"/>
    <n v="20"/>
    <n v="0"/>
    <x v="239"/>
    <x v="1"/>
    <x v="5"/>
    <x v="6"/>
    <x v="0"/>
    <s v="Janet Leverling"/>
  </r>
  <r>
    <n v="10764"/>
    <n v="3"/>
    <n v="10"/>
    <n v="20"/>
    <n v="0.1"/>
    <x v="229"/>
    <x v="1"/>
    <x v="5"/>
    <x v="4"/>
    <x v="6"/>
    <s v="Michael Suyama"/>
  </r>
  <r>
    <n v="10764"/>
    <n v="39"/>
    <n v="18"/>
    <n v="130"/>
    <n v="0.1"/>
    <x v="870"/>
    <x v="1"/>
    <x v="5"/>
    <x v="6"/>
    <x v="6"/>
    <s v="Michael Suyama"/>
  </r>
  <r>
    <n v="10765"/>
    <n v="65"/>
    <n v="21.05"/>
    <n v="80"/>
    <n v="0.1"/>
    <x v="871"/>
    <x v="1"/>
    <x v="5"/>
    <x v="4"/>
    <x v="1"/>
    <s v="Janet Leverling"/>
  </r>
  <r>
    <n v="10766"/>
    <n v="2"/>
    <n v="19"/>
    <n v="40"/>
    <n v="0"/>
    <x v="679"/>
    <x v="1"/>
    <x v="5"/>
    <x v="6"/>
    <x v="1"/>
    <s v="Margaret Peacock"/>
  </r>
  <r>
    <n v="10766"/>
    <n v="7"/>
    <n v="30"/>
    <n v="35"/>
    <n v="0"/>
    <x v="705"/>
    <x v="1"/>
    <x v="5"/>
    <x v="2"/>
    <x v="1"/>
    <s v="Margaret Peacock"/>
  </r>
  <r>
    <n v="10766"/>
    <n v="68"/>
    <n v="12.5"/>
    <n v="40"/>
    <n v="0"/>
    <x v="485"/>
    <x v="1"/>
    <x v="5"/>
    <x v="5"/>
    <x v="1"/>
    <s v="Margaret Peacock"/>
  </r>
  <r>
    <n v="10767"/>
    <n v="42"/>
    <n v="14"/>
    <n v="2"/>
    <n v="0"/>
    <x v="833"/>
    <x v="1"/>
    <x v="5"/>
    <x v="1"/>
    <x v="3"/>
    <s v="Margaret Peacock"/>
  </r>
  <r>
    <n v="10768"/>
    <n v="22"/>
    <n v="21"/>
    <n v="4"/>
    <n v="0"/>
    <x v="263"/>
    <x v="1"/>
    <x v="5"/>
    <x v="1"/>
    <x v="13"/>
    <s v="Janet Leverling"/>
  </r>
  <r>
    <n v="10768"/>
    <n v="31"/>
    <n v="12.5"/>
    <n v="50"/>
    <n v="0"/>
    <x v="831"/>
    <x v="1"/>
    <x v="5"/>
    <x v="0"/>
    <x v="13"/>
    <s v="Janet Leverling"/>
  </r>
  <r>
    <n v="10768"/>
    <n v="60"/>
    <n v="34"/>
    <n v="15"/>
    <n v="0"/>
    <x v="672"/>
    <x v="1"/>
    <x v="5"/>
    <x v="0"/>
    <x v="13"/>
    <s v="Janet Leverling"/>
  </r>
  <r>
    <n v="10768"/>
    <n v="71"/>
    <n v="21.5"/>
    <n v="12"/>
    <n v="0"/>
    <x v="306"/>
    <x v="1"/>
    <x v="5"/>
    <x v="0"/>
    <x v="13"/>
    <s v="Janet Leverling"/>
  </r>
  <r>
    <n v="10769"/>
    <n v="41"/>
    <n v="9.65"/>
    <n v="30"/>
    <n v="0.05"/>
    <x v="872"/>
    <x v="1"/>
    <x v="5"/>
    <x v="3"/>
    <x v="17"/>
    <s v="Janet Leverling"/>
  </r>
  <r>
    <n v="10769"/>
    <n v="52"/>
    <n v="7"/>
    <n v="15"/>
    <n v="0.05"/>
    <x v="873"/>
    <x v="1"/>
    <x v="5"/>
    <x v="1"/>
    <x v="17"/>
    <s v="Janet Leverling"/>
  </r>
  <r>
    <n v="10769"/>
    <n v="61"/>
    <n v="28.5"/>
    <n v="20"/>
    <n v="0"/>
    <x v="422"/>
    <x v="1"/>
    <x v="5"/>
    <x v="4"/>
    <x v="17"/>
    <s v="Janet Leverling"/>
  </r>
  <r>
    <n v="10769"/>
    <n v="62"/>
    <n v="49.3"/>
    <n v="15"/>
    <n v="0"/>
    <x v="695"/>
    <x v="1"/>
    <x v="5"/>
    <x v="5"/>
    <x v="17"/>
    <s v="Janet Leverling"/>
  </r>
  <r>
    <n v="10770"/>
    <n v="11"/>
    <n v="21"/>
    <n v="15"/>
    <n v="0.25"/>
    <x v="874"/>
    <x v="1"/>
    <x v="5"/>
    <x v="0"/>
    <x v="2"/>
    <s v="Laura Callahan"/>
  </r>
  <r>
    <n v="10771"/>
    <n v="71"/>
    <n v="21.5"/>
    <n v="16"/>
    <n v="0"/>
    <x v="69"/>
    <x v="1"/>
    <x v="5"/>
    <x v="0"/>
    <x v="6"/>
    <s v="Anne Dodsworth"/>
  </r>
  <r>
    <n v="10772"/>
    <n v="29"/>
    <n v="123.79"/>
    <n v="18"/>
    <n v="0"/>
    <x v="875"/>
    <x v="1"/>
    <x v="5"/>
    <x v="7"/>
    <x v="1"/>
    <s v="Janet Leverling"/>
  </r>
  <r>
    <n v="10772"/>
    <n v="59"/>
    <n v="55"/>
    <n v="25"/>
    <n v="0"/>
    <x v="796"/>
    <x v="1"/>
    <x v="5"/>
    <x v="0"/>
    <x v="1"/>
    <s v="Janet Leverling"/>
  </r>
  <r>
    <n v="10773"/>
    <n v="17"/>
    <n v="39"/>
    <n v="33"/>
    <n v="0"/>
    <x v="876"/>
    <x v="1"/>
    <x v="5"/>
    <x v="7"/>
    <x v="6"/>
    <s v="Nancy Davolio"/>
  </r>
  <r>
    <n v="10773"/>
    <n v="31"/>
    <n v="12.5"/>
    <n v="70"/>
    <n v="0.2"/>
    <x v="877"/>
    <x v="1"/>
    <x v="5"/>
    <x v="0"/>
    <x v="6"/>
    <s v="Nancy Davolio"/>
  </r>
  <r>
    <n v="10773"/>
    <n v="75"/>
    <n v="7.75"/>
    <n v="7"/>
    <n v="0.2"/>
    <x v="878"/>
    <x v="1"/>
    <x v="5"/>
    <x v="6"/>
    <x v="6"/>
    <s v="Nancy Davolio"/>
  </r>
  <r>
    <n v="10774"/>
    <n v="31"/>
    <n v="12.5"/>
    <n v="2"/>
    <n v="0.25"/>
    <x v="879"/>
    <x v="1"/>
    <x v="5"/>
    <x v="0"/>
    <x v="9"/>
    <s v="Margaret Peacock"/>
  </r>
  <r>
    <n v="10774"/>
    <n v="66"/>
    <n v="17"/>
    <n v="50"/>
    <n v="0"/>
    <x v="880"/>
    <x v="1"/>
    <x v="5"/>
    <x v="4"/>
    <x v="9"/>
    <s v="Margaret Peacock"/>
  </r>
  <r>
    <n v="10775"/>
    <n v="10"/>
    <n v="31"/>
    <n v="6"/>
    <n v="0"/>
    <x v="83"/>
    <x v="1"/>
    <x v="5"/>
    <x v="3"/>
    <x v="8"/>
    <s v="Robert King"/>
  </r>
  <r>
    <n v="10775"/>
    <n v="67"/>
    <n v="14"/>
    <n v="3"/>
    <n v="0"/>
    <x v="95"/>
    <x v="1"/>
    <x v="5"/>
    <x v="6"/>
    <x v="8"/>
    <s v="Robert King"/>
  </r>
  <r>
    <n v="10776"/>
    <n v="31"/>
    <n v="12.5"/>
    <n v="16"/>
    <n v="0.05"/>
    <x v="480"/>
    <x v="1"/>
    <x v="5"/>
    <x v="0"/>
    <x v="6"/>
    <s v="Nancy Davolio"/>
  </r>
  <r>
    <n v="10776"/>
    <n v="42"/>
    <n v="14"/>
    <n v="12"/>
    <n v="0.05"/>
    <x v="234"/>
    <x v="1"/>
    <x v="5"/>
    <x v="1"/>
    <x v="6"/>
    <s v="Nancy Davolio"/>
  </r>
  <r>
    <n v="10776"/>
    <n v="45"/>
    <n v="9.5"/>
    <n v="27"/>
    <n v="0.05"/>
    <x v="881"/>
    <x v="1"/>
    <x v="5"/>
    <x v="3"/>
    <x v="6"/>
    <s v="Nancy Davolio"/>
  </r>
  <r>
    <n v="10776"/>
    <n v="51"/>
    <n v="53"/>
    <n v="120"/>
    <n v="0.05"/>
    <x v="882"/>
    <x v="1"/>
    <x v="5"/>
    <x v="2"/>
    <x v="6"/>
    <s v="Nancy Davolio"/>
  </r>
  <r>
    <n v="10777"/>
    <n v="42"/>
    <n v="14"/>
    <n v="20"/>
    <n v="0.2"/>
    <x v="102"/>
    <x v="1"/>
    <x v="5"/>
    <x v="1"/>
    <x v="2"/>
    <s v="Robert King"/>
  </r>
  <r>
    <n v="10778"/>
    <n v="41"/>
    <n v="9.65"/>
    <n v="10"/>
    <n v="0"/>
    <x v="529"/>
    <x v="1"/>
    <x v="5"/>
    <x v="3"/>
    <x v="9"/>
    <s v="Janet Leverling"/>
  </r>
  <r>
    <n v="10779"/>
    <n v="16"/>
    <n v="17.45"/>
    <n v="20"/>
    <n v="0"/>
    <x v="808"/>
    <x v="1"/>
    <x v="5"/>
    <x v="5"/>
    <x v="1"/>
    <s v="Janet Leverling"/>
  </r>
  <r>
    <n v="10779"/>
    <n v="62"/>
    <n v="49.3"/>
    <n v="20"/>
    <n v="0"/>
    <x v="824"/>
    <x v="1"/>
    <x v="5"/>
    <x v="5"/>
    <x v="1"/>
    <s v="Janet Leverling"/>
  </r>
  <r>
    <n v="10780"/>
    <n v="70"/>
    <n v="15"/>
    <n v="35"/>
    <n v="0"/>
    <x v="806"/>
    <x v="1"/>
    <x v="5"/>
    <x v="6"/>
    <x v="5"/>
    <s v="Andrew Fuller"/>
  </r>
  <r>
    <n v="10780"/>
    <n v="77"/>
    <n v="13"/>
    <n v="15"/>
    <n v="0"/>
    <x v="298"/>
    <x v="1"/>
    <x v="5"/>
    <x v="4"/>
    <x v="5"/>
    <s v="Andrew Fuller"/>
  </r>
  <r>
    <n v="10781"/>
    <n v="54"/>
    <n v="7.45"/>
    <n v="3"/>
    <n v="0.2"/>
    <x v="883"/>
    <x v="1"/>
    <x v="5"/>
    <x v="7"/>
    <x v="10"/>
    <s v="Andrew Fuller"/>
  </r>
  <r>
    <n v="10781"/>
    <n v="56"/>
    <n v="38"/>
    <n v="20"/>
    <n v="0.2"/>
    <x v="28"/>
    <x v="1"/>
    <x v="5"/>
    <x v="1"/>
    <x v="10"/>
    <s v="Andrew Fuller"/>
  </r>
  <r>
    <n v="10781"/>
    <n v="74"/>
    <n v="10"/>
    <n v="35"/>
    <n v="0"/>
    <x v="619"/>
    <x v="1"/>
    <x v="5"/>
    <x v="2"/>
    <x v="10"/>
    <s v="Andrew Fuller"/>
  </r>
  <r>
    <n v="10782"/>
    <n v="31"/>
    <n v="12.5"/>
    <n v="1"/>
    <n v="0"/>
    <x v="884"/>
    <x v="1"/>
    <x v="5"/>
    <x v="0"/>
    <x v="20"/>
    <s v="Anne Dodsworth"/>
  </r>
  <r>
    <n v="10783"/>
    <n v="31"/>
    <n v="12.5"/>
    <n v="10"/>
    <n v="0"/>
    <x v="753"/>
    <x v="1"/>
    <x v="5"/>
    <x v="0"/>
    <x v="2"/>
    <s v="Margaret Peacock"/>
  </r>
  <r>
    <n v="10783"/>
    <n v="38"/>
    <n v="263.5"/>
    <n v="5"/>
    <n v="0"/>
    <x v="885"/>
    <x v="1"/>
    <x v="5"/>
    <x v="6"/>
    <x v="2"/>
    <s v="Margaret Peacock"/>
  </r>
  <r>
    <n v="10784"/>
    <n v="36"/>
    <n v="19"/>
    <n v="30"/>
    <n v="0"/>
    <x v="422"/>
    <x v="1"/>
    <x v="5"/>
    <x v="3"/>
    <x v="11"/>
    <s v="Margaret Peacock"/>
  </r>
  <r>
    <n v="10784"/>
    <n v="39"/>
    <n v="18"/>
    <n v="2"/>
    <n v="0.15"/>
    <x v="886"/>
    <x v="1"/>
    <x v="5"/>
    <x v="6"/>
    <x v="11"/>
    <s v="Margaret Peacock"/>
  </r>
  <r>
    <n v="10784"/>
    <n v="72"/>
    <n v="34.799999999999997"/>
    <n v="30"/>
    <n v="0.15"/>
    <x v="887"/>
    <x v="1"/>
    <x v="5"/>
    <x v="0"/>
    <x v="11"/>
    <s v="Margaret Peacock"/>
  </r>
  <r>
    <n v="10785"/>
    <n v="10"/>
    <n v="31"/>
    <n v="10"/>
    <n v="0"/>
    <x v="182"/>
    <x v="1"/>
    <x v="5"/>
    <x v="3"/>
    <x v="5"/>
    <s v="Nancy Davolio"/>
  </r>
  <r>
    <n v="10785"/>
    <n v="75"/>
    <n v="7.75"/>
    <n v="10"/>
    <n v="0"/>
    <x v="888"/>
    <x v="1"/>
    <x v="5"/>
    <x v="6"/>
    <x v="5"/>
    <s v="Nancy Davolio"/>
  </r>
  <r>
    <n v="10786"/>
    <n v="8"/>
    <n v="40"/>
    <n v="30"/>
    <n v="0.2"/>
    <x v="531"/>
    <x v="1"/>
    <x v="5"/>
    <x v="4"/>
    <x v="2"/>
    <s v="Laura Callahan"/>
  </r>
  <r>
    <n v="10786"/>
    <n v="30"/>
    <n v="25.89"/>
    <n v="15"/>
    <n v="0.2"/>
    <x v="889"/>
    <x v="1"/>
    <x v="5"/>
    <x v="3"/>
    <x v="2"/>
    <s v="Laura Callahan"/>
  </r>
  <r>
    <n v="10786"/>
    <n v="75"/>
    <n v="7.75"/>
    <n v="42"/>
    <n v="0.2"/>
    <x v="890"/>
    <x v="1"/>
    <x v="5"/>
    <x v="6"/>
    <x v="2"/>
    <s v="Laura Callahan"/>
  </r>
  <r>
    <n v="10787"/>
    <n v="2"/>
    <n v="19"/>
    <n v="15"/>
    <n v="0.05"/>
    <x v="891"/>
    <x v="1"/>
    <x v="5"/>
    <x v="6"/>
    <x v="0"/>
    <s v="Andrew Fuller"/>
  </r>
  <r>
    <n v="10787"/>
    <n v="29"/>
    <n v="123.79"/>
    <n v="20"/>
    <n v="0.05"/>
    <x v="892"/>
    <x v="1"/>
    <x v="5"/>
    <x v="7"/>
    <x v="0"/>
    <s v="Andrew Fuller"/>
  </r>
  <r>
    <n v="10788"/>
    <n v="19"/>
    <n v="9.1999999999999993"/>
    <n v="50"/>
    <n v="0.05"/>
    <x v="893"/>
    <x v="1"/>
    <x v="5"/>
    <x v="5"/>
    <x v="1"/>
    <s v="Nancy Davolio"/>
  </r>
  <r>
    <n v="10788"/>
    <n v="75"/>
    <n v="7.75"/>
    <n v="40"/>
    <n v="0.05"/>
    <x v="894"/>
    <x v="1"/>
    <x v="5"/>
    <x v="6"/>
    <x v="1"/>
    <s v="Nancy Davolio"/>
  </r>
  <r>
    <n v="10789"/>
    <n v="18"/>
    <n v="62.5"/>
    <n v="30"/>
    <n v="0"/>
    <x v="895"/>
    <x v="1"/>
    <x v="5"/>
    <x v="3"/>
    <x v="0"/>
    <s v="Nancy Davolio"/>
  </r>
  <r>
    <n v="10789"/>
    <n v="35"/>
    <n v="18"/>
    <n v="15"/>
    <n v="0"/>
    <x v="351"/>
    <x v="1"/>
    <x v="5"/>
    <x v="6"/>
    <x v="0"/>
    <s v="Nancy Davolio"/>
  </r>
  <r>
    <n v="10789"/>
    <n v="63"/>
    <n v="43.9"/>
    <n v="30"/>
    <n v="0"/>
    <x v="896"/>
    <x v="1"/>
    <x v="5"/>
    <x v="4"/>
    <x v="0"/>
    <s v="Nancy Davolio"/>
  </r>
  <r>
    <n v="10789"/>
    <n v="68"/>
    <n v="12.5"/>
    <n v="18"/>
    <n v="0"/>
    <x v="686"/>
    <x v="1"/>
    <x v="5"/>
    <x v="5"/>
    <x v="0"/>
    <s v="Nancy Davolio"/>
  </r>
  <r>
    <n v="10790"/>
    <n v="7"/>
    <n v="30"/>
    <n v="3"/>
    <n v="0.15"/>
    <x v="897"/>
    <x v="1"/>
    <x v="5"/>
    <x v="2"/>
    <x v="2"/>
    <s v="Michael Suyama"/>
  </r>
  <r>
    <n v="10790"/>
    <n v="56"/>
    <n v="38"/>
    <n v="20"/>
    <n v="0.15"/>
    <x v="898"/>
    <x v="1"/>
    <x v="5"/>
    <x v="1"/>
    <x v="2"/>
    <s v="Michael Suyama"/>
  </r>
  <r>
    <n v="10791"/>
    <n v="29"/>
    <n v="123.79"/>
    <n v="14"/>
    <n v="0.05"/>
    <x v="899"/>
    <x v="1"/>
    <x v="5"/>
    <x v="7"/>
    <x v="1"/>
    <s v="Michael Suyama"/>
  </r>
  <r>
    <n v="10791"/>
    <n v="41"/>
    <n v="9.65"/>
    <n v="20"/>
    <n v="0.05"/>
    <x v="900"/>
    <x v="1"/>
    <x v="5"/>
    <x v="3"/>
    <x v="1"/>
    <s v="Michael Suyama"/>
  </r>
  <r>
    <n v="10792"/>
    <n v="2"/>
    <n v="19"/>
    <n v="10"/>
    <n v="0"/>
    <x v="480"/>
    <x v="1"/>
    <x v="5"/>
    <x v="6"/>
    <x v="18"/>
    <s v="Nancy Davolio"/>
  </r>
  <r>
    <n v="10792"/>
    <n v="54"/>
    <n v="7.45"/>
    <n v="3"/>
    <n v="0"/>
    <x v="901"/>
    <x v="1"/>
    <x v="5"/>
    <x v="7"/>
    <x v="18"/>
    <s v="Nancy Davolio"/>
  </r>
  <r>
    <n v="10792"/>
    <n v="68"/>
    <n v="12.5"/>
    <n v="15"/>
    <n v="0"/>
    <x v="680"/>
    <x v="1"/>
    <x v="5"/>
    <x v="5"/>
    <x v="18"/>
    <s v="Nancy Davolio"/>
  </r>
  <r>
    <n v="10793"/>
    <n v="41"/>
    <n v="9.65"/>
    <n v="14"/>
    <n v="0"/>
    <x v="582"/>
    <x v="1"/>
    <x v="5"/>
    <x v="3"/>
    <x v="13"/>
    <s v="Janet Leverling"/>
  </r>
  <r>
    <n v="10793"/>
    <n v="52"/>
    <n v="7"/>
    <n v="8"/>
    <n v="0"/>
    <x v="902"/>
    <x v="1"/>
    <x v="5"/>
    <x v="1"/>
    <x v="13"/>
    <s v="Janet Leverling"/>
  </r>
  <r>
    <n v="10794"/>
    <n v="14"/>
    <n v="23.25"/>
    <n v="15"/>
    <n v="0.2"/>
    <x v="282"/>
    <x v="1"/>
    <x v="5"/>
    <x v="2"/>
    <x v="2"/>
    <s v="Michael Suyama"/>
  </r>
  <r>
    <n v="10794"/>
    <n v="54"/>
    <n v="7.45"/>
    <n v="6"/>
    <n v="0.2"/>
    <x v="903"/>
    <x v="1"/>
    <x v="5"/>
    <x v="7"/>
    <x v="2"/>
    <s v="Michael Suyama"/>
  </r>
  <r>
    <n v="10795"/>
    <n v="16"/>
    <n v="17.45"/>
    <n v="65"/>
    <n v="0"/>
    <x v="904"/>
    <x v="1"/>
    <x v="5"/>
    <x v="5"/>
    <x v="6"/>
    <s v="Laura Callahan"/>
  </r>
  <r>
    <n v="10795"/>
    <n v="17"/>
    <n v="39"/>
    <n v="35"/>
    <n v="0.25"/>
    <x v="905"/>
    <x v="1"/>
    <x v="5"/>
    <x v="7"/>
    <x v="6"/>
    <s v="Laura Callahan"/>
  </r>
  <r>
    <n v="10796"/>
    <n v="26"/>
    <n v="31.23"/>
    <n v="21"/>
    <n v="0.2"/>
    <x v="906"/>
    <x v="1"/>
    <x v="5"/>
    <x v="5"/>
    <x v="5"/>
    <s v="Janet Leverling"/>
  </r>
  <r>
    <n v="10796"/>
    <n v="44"/>
    <n v="19.45"/>
    <n v="10"/>
    <n v="0"/>
    <x v="607"/>
    <x v="1"/>
    <x v="5"/>
    <x v="4"/>
    <x v="5"/>
    <s v="Janet Leverling"/>
  </r>
  <r>
    <n v="10796"/>
    <n v="64"/>
    <n v="33.25"/>
    <n v="35"/>
    <n v="0.2"/>
    <x v="776"/>
    <x v="1"/>
    <x v="5"/>
    <x v="1"/>
    <x v="5"/>
    <s v="Janet Leverling"/>
  </r>
  <r>
    <n v="10796"/>
    <n v="69"/>
    <n v="36"/>
    <n v="24"/>
    <n v="0.2"/>
    <x v="367"/>
    <x v="1"/>
    <x v="5"/>
    <x v="0"/>
    <x v="5"/>
    <s v="Janet Leverling"/>
  </r>
  <r>
    <n v="10797"/>
    <n v="11"/>
    <n v="21"/>
    <n v="20"/>
    <n v="0"/>
    <x v="484"/>
    <x v="1"/>
    <x v="5"/>
    <x v="0"/>
    <x v="1"/>
    <s v="Robert King"/>
  </r>
  <r>
    <n v="10798"/>
    <n v="62"/>
    <n v="49.3"/>
    <n v="2"/>
    <n v="0"/>
    <x v="907"/>
    <x v="1"/>
    <x v="5"/>
    <x v="5"/>
    <x v="13"/>
    <s v="Andrew Fuller"/>
  </r>
  <r>
    <n v="10798"/>
    <n v="72"/>
    <n v="34.799999999999997"/>
    <n v="10"/>
    <n v="0"/>
    <x v="908"/>
    <x v="1"/>
    <x v="5"/>
    <x v="0"/>
    <x v="13"/>
    <s v="Andrew Fuller"/>
  </r>
  <r>
    <n v="10799"/>
    <n v="13"/>
    <n v="6"/>
    <n v="20"/>
    <n v="0.15"/>
    <x v="909"/>
    <x v="1"/>
    <x v="5"/>
    <x v="3"/>
    <x v="1"/>
    <s v="Anne Dodsworth"/>
  </r>
  <r>
    <n v="10799"/>
    <n v="24"/>
    <n v="4.5"/>
    <n v="20"/>
    <n v="0.15"/>
    <x v="897"/>
    <x v="1"/>
    <x v="5"/>
    <x v="6"/>
    <x v="1"/>
    <s v="Anne Dodsworth"/>
  </r>
  <r>
    <n v="10799"/>
    <n v="59"/>
    <n v="55"/>
    <n v="25"/>
    <n v="0"/>
    <x v="796"/>
    <x v="1"/>
    <x v="5"/>
    <x v="0"/>
    <x v="1"/>
    <s v="Anne Dodsworth"/>
  </r>
  <r>
    <n v="10800"/>
    <n v="11"/>
    <n v="21"/>
    <n v="50"/>
    <n v="0.1"/>
    <x v="554"/>
    <x v="1"/>
    <x v="5"/>
    <x v="0"/>
    <x v="13"/>
    <s v="Nancy Davolio"/>
  </r>
  <r>
    <n v="10800"/>
    <n v="51"/>
    <n v="53"/>
    <n v="10"/>
    <n v="0.1"/>
    <x v="910"/>
    <x v="1"/>
    <x v="5"/>
    <x v="2"/>
    <x v="13"/>
    <s v="Nancy Davolio"/>
  </r>
  <r>
    <n v="10800"/>
    <n v="54"/>
    <n v="7.45"/>
    <n v="7"/>
    <n v="0.1"/>
    <x v="911"/>
    <x v="1"/>
    <x v="5"/>
    <x v="7"/>
    <x v="13"/>
    <s v="Nancy Davolio"/>
  </r>
  <r>
    <n v="10801"/>
    <n v="17"/>
    <n v="39"/>
    <n v="40"/>
    <n v="0.25"/>
    <x v="376"/>
    <x v="1"/>
    <x v="5"/>
    <x v="7"/>
    <x v="12"/>
    <s v="Margaret Peacock"/>
  </r>
  <r>
    <n v="10801"/>
    <n v="29"/>
    <n v="123.79"/>
    <n v="20"/>
    <n v="0.25"/>
    <x v="912"/>
    <x v="1"/>
    <x v="5"/>
    <x v="7"/>
    <x v="12"/>
    <s v="Margaret Peacock"/>
  </r>
  <r>
    <n v="10802"/>
    <n v="30"/>
    <n v="25.89"/>
    <n v="25"/>
    <n v="0.25"/>
    <x v="913"/>
    <x v="1"/>
    <x v="5"/>
    <x v="3"/>
    <x v="17"/>
    <s v="Margaret Peacock"/>
  </r>
  <r>
    <n v="10802"/>
    <n v="51"/>
    <n v="53"/>
    <n v="30"/>
    <n v="0.25"/>
    <x v="914"/>
    <x v="1"/>
    <x v="5"/>
    <x v="2"/>
    <x v="17"/>
    <s v="Margaret Peacock"/>
  </r>
  <r>
    <n v="10802"/>
    <n v="55"/>
    <n v="24"/>
    <n v="60"/>
    <n v="0.25"/>
    <x v="854"/>
    <x v="1"/>
    <x v="5"/>
    <x v="7"/>
    <x v="17"/>
    <s v="Margaret Peacock"/>
  </r>
  <r>
    <n v="10802"/>
    <n v="62"/>
    <n v="49.3"/>
    <n v="5"/>
    <n v="0.25"/>
    <x v="915"/>
    <x v="1"/>
    <x v="5"/>
    <x v="5"/>
    <x v="17"/>
    <s v="Margaret Peacock"/>
  </r>
  <r>
    <n v="10803"/>
    <n v="19"/>
    <n v="9.1999999999999993"/>
    <n v="24"/>
    <n v="0.05"/>
    <x v="916"/>
    <x v="1"/>
    <x v="5"/>
    <x v="5"/>
    <x v="2"/>
    <s v="Margaret Peacock"/>
  </r>
  <r>
    <n v="10803"/>
    <n v="25"/>
    <n v="14"/>
    <n v="15"/>
    <n v="0.05"/>
    <x v="489"/>
    <x v="1"/>
    <x v="5"/>
    <x v="5"/>
    <x v="2"/>
    <s v="Margaret Peacock"/>
  </r>
  <r>
    <n v="10803"/>
    <n v="59"/>
    <n v="55"/>
    <n v="15"/>
    <n v="0.05"/>
    <x v="917"/>
    <x v="1"/>
    <x v="5"/>
    <x v="0"/>
    <x v="2"/>
    <s v="Margaret Peacock"/>
  </r>
  <r>
    <n v="10804"/>
    <n v="10"/>
    <n v="31"/>
    <n v="36"/>
    <n v="0"/>
    <x v="918"/>
    <x v="1"/>
    <x v="5"/>
    <x v="3"/>
    <x v="13"/>
    <s v="Michael Suyama"/>
  </r>
  <r>
    <n v="10804"/>
    <n v="28"/>
    <n v="45.6"/>
    <n v="24"/>
    <n v="0"/>
    <x v="385"/>
    <x v="1"/>
    <x v="5"/>
    <x v="2"/>
    <x v="13"/>
    <s v="Michael Suyama"/>
  </r>
  <r>
    <n v="10804"/>
    <n v="49"/>
    <n v="20"/>
    <n v="4"/>
    <n v="0.15"/>
    <x v="323"/>
    <x v="1"/>
    <x v="5"/>
    <x v="5"/>
    <x v="13"/>
    <s v="Michael Suyama"/>
  </r>
  <r>
    <n v="10805"/>
    <n v="34"/>
    <n v="14"/>
    <n v="10"/>
    <n v="0"/>
    <x v="365"/>
    <x v="1"/>
    <x v="5"/>
    <x v="6"/>
    <x v="8"/>
    <s v="Andrew Fuller"/>
  </r>
  <r>
    <n v="10805"/>
    <n v="38"/>
    <n v="263.5"/>
    <n v="10"/>
    <n v="0"/>
    <x v="919"/>
    <x v="1"/>
    <x v="5"/>
    <x v="6"/>
    <x v="8"/>
    <s v="Andrew Fuller"/>
  </r>
  <r>
    <n v="10806"/>
    <n v="2"/>
    <n v="19"/>
    <n v="20"/>
    <n v="0.25"/>
    <x v="314"/>
    <x v="1"/>
    <x v="5"/>
    <x v="6"/>
    <x v="0"/>
    <s v="Janet Leverling"/>
  </r>
  <r>
    <n v="10806"/>
    <n v="65"/>
    <n v="21.05"/>
    <n v="2"/>
    <n v="0"/>
    <x v="920"/>
    <x v="1"/>
    <x v="5"/>
    <x v="4"/>
    <x v="0"/>
    <s v="Janet Leverling"/>
  </r>
  <r>
    <n v="10806"/>
    <n v="74"/>
    <n v="10"/>
    <n v="15"/>
    <n v="0.25"/>
    <x v="921"/>
    <x v="1"/>
    <x v="5"/>
    <x v="2"/>
    <x v="0"/>
    <s v="Janet Leverling"/>
  </r>
  <r>
    <n v="10807"/>
    <n v="40"/>
    <n v="18.399999999999999"/>
    <n v="1"/>
    <n v="0"/>
    <x v="922"/>
    <x v="1"/>
    <x v="5"/>
    <x v="3"/>
    <x v="11"/>
    <s v="Margaret Peacock"/>
  </r>
  <r>
    <n v="10808"/>
    <n v="56"/>
    <n v="38"/>
    <n v="20"/>
    <n v="0.15"/>
    <x v="898"/>
    <x v="2"/>
    <x v="6"/>
    <x v="1"/>
    <x v="8"/>
    <s v="Andrew Fuller"/>
  </r>
  <r>
    <n v="10808"/>
    <n v="76"/>
    <n v="18"/>
    <n v="50"/>
    <n v="0.15"/>
    <x v="923"/>
    <x v="2"/>
    <x v="6"/>
    <x v="6"/>
    <x v="8"/>
    <s v="Andrew Fuller"/>
  </r>
  <r>
    <n v="10809"/>
    <n v="52"/>
    <n v="7"/>
    <n v="20"/>
    <n v="0"/>
    <x v="365"/>
    <x v="2"/>
    <x v="6"/>
    <x v="1"/>
    <x v="2"/>
    <s v="Robert King"/>
  </r>
  <r>
    <n v="10810"/>
    <n v="13"/>
    <n v="6"/>
    <n v="7"/>
    <n v="0"/>
    <x v="95"/>
    <x v="2"/>
    <x v="6"/>
    <x v="3"/>
    <x v="16"/>
    <s v="Andrew Fuller"/>
  </r>
  <r>
    <n v="10810"/>
    <n v="25"/>
    <n v="14"/>
    <n v="5"/>
    <n v="0"/>
    <x v="691"/>
    <x v="2"/>
    <x v="6"/>
    <x v="5"/>
    <x v="16"/>
    <s v="Andrew Fuller"/>
  </r>
  <r>
    <n v="10810"/>
    <n v="70"/>
    <n v="15"/>
    <n v="5"/>
    <n v="0"/>
    <x v="530"/>
    <x v="2"/>
    <x v="6"/>
    <x v="6"/>
    <x v="16"/>
    <s v="Andrew Fuller"/>
  </r>
  <r>
    <n v="10811"/>
    <n v="19"/>
    <n v="9.1999999999999993"/>
    <n v="15"/>
    <n v="0"/>
    <x v="924"/>
    <x v="2"/>
    <x v="6"/>
    <x v="5"/>
    <x v="5"/>
    <s v="Laura Callahan"/>
  </r>
  <r>
    <n v="10811"/>
    <n v="23"/>
    <n v="9"/>
    <n v="18"/>
    <n v="0"/>
    <x v="663"/>
    <x v="2"/>
    <x v="6"/>
    <x v="1"/>
    <x v="5"/>
    <s v="Laura Callahan"/>
  </r>
  <r>
    <n v="10811"/>
    <n v="40"/>
    <n v="18.399999999999999"/>
    <n v="30"/>
    <n v="0"/>
    <x v="119"/>
    <x v="2"/>
    <x v="6"/>
    <x v="3"/>
    <x v="5"/>
    <s v="Laura Callahan"/>
  </r>
  <r>
    <n v="10812"/>
    <n v="31"/>
    <n v="12.5"/>
    <n v="16"/>
    <n v="0.1"/>
    <x v="229"/>
    <x v="2"/>
    <x v="6"/>
    <x v="0"/>
    <x v="11"/>
    <s v="Steven Buchanan"/>
  </r>
  <r>
    <n v="10812"/>
    <n v="72"/>
    <n v="34.799999999999997"/>
    <n v="40"/>
    <n v="0.1"/>
    <x v="925"/>
    <x v="2"/>
    <x v="6"/>
    <x v="0"/>
    <x v="11"/>
    <s v="Steven Buchanan"/>
  </r>
  <r>
    <n v="10812"/>
    <n v="77"/>
    <n v="13"/>
    <n v="20"/>
    <n v="0"/>
    <x v="481"/>
    <x v="2"/>
    <x v="6"/>
    <x v="4"/>
    <x v="11"/>
    <s v="Steven Buchanan"/>
  </r>
  <r>
    <n v="10813"/>
    <n v="2"/>
    <n v="19"/>
    <n v="12"/>
    <n v="0.2"/>
    <x v="844"/>
    <x v="2"/>
    <x v="6"/>
    <x v="6"/>
    <x v="2"/>
    <s v="Nancy Davolio"/>
  </r>
  <r>
    <n v="10813"/>
    <n v="46"/>
    <n v="12"/>
    <n v="35"/>
    <n v="0"/>
    <x v="484"/>
    <x v="2"/>
    <x v="6"/>
    <x v="3"/>
    <x v="2"/>
    <s v="Nancy Davolio"/>
  </r>
  <r>
    <n v="10814"/>
    <n v="41"/>
    <n v="9.65"/>
    <n v="20"/>
    <n v="0"/>
    <x v="926"/>
    <x v="2"/>
    <x v="6"/>
    <x v="3"/>
    <x v="0"/>
    <s v="Janet Leverling"/>
  </r>
  <r>
    <n v="10814"/>
    <n v="43"/>
    <n v="46"/>
    <n v="20"/>
    <n v="0.15"/>
    <x v="927"/>
    <x v="2"/>
    <x v="6"/>
    <x v="6"/>
    <x v="0"/>
    <s v="Janet Leverling"/>
  </r>
  <r>
    <n v="10814"/>
    <n v="48"/>
    <n v="12.75"/>
    <n v="8"/>
    <n v="0.15"/>
    <x v="928"/>
    <x v="2"/>
    <x v="6"/>
    <x v="5"/>
    <x v="0"/>
    <s v="Janet Leverling"/>
  </r>
  <r>
    <n v="10814"/>
    <n v="61"/>
    <n v="28.5"/>
    <n v="30"/>
    <n v="0.15"/>
    <x v="929"/>
    <x v="2"/>
    <x v="6"/>
    <x v="4"/>
    <x v="0"/>
    <s v="Janet Leverling"/>
  </r>
  <r>
    <n v="10815"/>
    <n v="33"/>
    <n v="2.5"/>
    <n v="16"/>
    <n v="0"/>
    <x v="66"/>
    <x v="2"/>
    <x v="6"/>
    <x v="0"/>
    <x v="8"/>
    <s v="Andrew Fuller"/>
  </r>
  <r>
    <n v="10816"/>
    <n v="38"/>
    <n v="263.5"/>
    <n v="30"/>
    <n v="0.05"/>
    <x v="930"/>
    <x v="2"/>
    <x v="6"/>
    <x v="6"/>
    <x v="8"/>
    <s v="Margaret Peacock"/>
  </r>
  <r>
    <n v="10816"/>
    <n v="62"/>
    <n v="49.3"/>
    <n v="20"/>
    <n v="0.05"/>
    <x v="594"/>
    <x v="2"/>
    <x v="6"/>
    <x v="5"/>
    <x v="8"/>
    <s v="Margaret Peacock"/>
  </r>
  <r>
    <n v="10817"/>
    <n v="26"/>
    <n v="31.23"/>
    <n v="40"/>
    <n v="0.15"/>
    <x v="931"/>
    <x v="2"/>
    <x v="6"/>
    <x v="5"/>
    <x v="1"/>
    <s v="Janet Leverling"/>
  </r>
  <r>
    <n v="10817"/>
    <n v="38"/>
    <n v="263.5"/>
    <n v="30"/>
    <n v="0"/>
    <x v="568"/>
    <x v="2"/>
    <x v="6"/>
    <x v="6"/>
    <x v="1"/>
    <s v="Janet Leverling"/>
  </r>
  <r>
    <n v="10817"/>
    <n v="40"/>
    <n v="18.399999999999999"/>
    <n v="60"/>
    <n v="0.15"/>
    <x v="932"/>
    <x v="2"/>
    <x v="6"/>
    <x v="3"/>
    <x v="1"/>
    <s v="Janet Leverling"/>
  </r>
  <r>
    <n v="10817"/>
    <n v="62"/>
    <n v="49.3"/>
    <n v="25"/>
    <n v="0.15"/>
    <x v="933"/>
    <x v="2"/>
    <x v="6"/>
    <x v="5"/>
    <x v="1"/>
    <s v="Janet Leverling"/>
  </r>
  <r>
    <n v="10818"/>
    <n v="32"/>
    <n v="32"/>
    <n v="20"/>
    <n v="0"/>
    <x v="16"/>
    <x v="2"/>
    <x v="6"/>
    <x v="0"/>
    <x v="11"/>
    <s v="Robert King"/>
  </r>
  <r>
    <n v="10818"/>
    <n v="41"/>
    <n v="9.65"/>
    <n v="20"/>
    <n v="0"/>
    <x v="926"/>
    <x v="2"/>
    <x v="6"/>
    <x v="3"/>
    <x v="11"/>
    <s v="Robert King"/>
  </r>
  <r>
    <n v="10819"/>
    <n v="43"/>
    <n v="46"/>
    <n v="7"/>
    <n v="0"/>
    <x v="934"/>
    <x v="2"/>
    <x v="6"/>
    <x v="6"/>
    <x v="20"/>
    <s v="Andrew Fuller"/>
  </r>
  <r>
    <n v="10819"/>
    <n v="75"/>
    <n v="7.75"/>
    <n v="20"/>
    <n v="0"/>
    <x v="600"/>
    <x v="2"/>
    <x v="6"/>
    <x v="6"/>
    <x v="20"/>
    <s v="Andrew Fuller"/>
  </r>
  <r>
    <n v="10820"/>
    <n v="56"/>
    <n v="38"/>
    <n v="30"/>
    <n v="0"/>
    <x v="581"/>
    <x v="2"/>
    <x v="6"/>
    <x v="1"/>
    <x v="8"/>
    <s v="Janet Leverling"/>
  </r>
  <r>
    <n v="10821"/>
    <n v="35"/>
    <n v="18"/>
    <n v="20"/>
    <n v="0"/>
    <x v="40"/>
    <x v="2"/>
    <x v="6"/>
    <x v="6"/>
    <x v="8"/>
    <s v="Nancy Davolio"/>
  </r>
  <r>
    <n v="10821"/>
    <n v="51"/>
    <n v="53"/>
    <n v="6"/>
    <n v="0"/>
    <x v="560"/>
    <x v="2"/>
    <x v="6"/>
    <x v="2"/>
    <x v="8"/>
    <s v="Nancy Davolio"/>
  </r>
  <r>
    <n v="10822"/>
    <n v="62"/>
    <n v="49.3"/>
    <n v="3"/>
    <n v="0"/>
    <x v="495"/>
    <x v="2"/>
    <x v="6"/>
    <x v="5"/>
    <x v="8"/>
    <s v="Michael Suyama"/>
  </r>
  <r>
    <n v="10822"/>
    <n v="70"/>
    <n v="15"/>
    <n v="6"/>
    <n v="0"/>
    <x v="239"/>
    <x v="2"/>
    <x v="6"/>
    <x v="6"/>
    <x v="8"/>
    <s v="Michael Suyama"/>
  </r>
  <r>
    <n v="10823"/>
    <n v="11"/>
    <n v="21"/>
    <n v="20"/>
    <n v="0.1"/>
    <x v="827"/>
    <x v="2"/>
    <x v="6"/>
    <x v="0"/>
    <x v="5"/>
    <s v="Steven Buchanan"/>
  </r>
  <r>
    <n v="10823"/>
    <n v="57"/>
    <n v="19.5"/>
    <n v="15"/>
    <n v="0"/>
    <x v="785"/>
    <x v="2"/>
    <x v="6"/>
    <x v="1"/>
    <x v="5"/>
    <s v="Steven Buchanan"/>
  </r>
  <r>
    <n v="10823"/>
    <n v="59"/>
    <n v="55"/>
    <n v="40"/>
    <n v="0.1"/>
    <x v="270"/>
    <x v="2"/>
    <x v="6"/>
    <x v="0"/>
    <x v="5"/>
    <s v="Steven Buchanan"/>
  </r>
  <r>
    <n v="10823"/>
    <n v="77"/>
    <n v="13"/>
    <n v="15"/>
    <n v="0.1"/>
    <x v="115"/>
    <x v="2"/>
    <x v="6"/>
    <x v="4"/>
    <x v="5"/>
    <s v="Steven Buchanan"/>
  </r>
  <r>
    <n v="10824"/>
    <n v="41"/>
    <n v="9.65"/>
    <n v="12"/>
    <n v="0"/>
    <x v="832"/>
    <x v="2"/>
    <x v="6"/>
    <x v="3"/>
    <x v="9"/>
    <s v="Laura Callahan"/>
  </r>
  <r>
    <n v="10824"/>
    <n v="70"/>
    <n v="15"/>
    <n v="9"/>
    <n v="0"/>
    <x v="135"/>
    <x v="2"/>
    <x v="6"/>
    <x v="6"/>
    <x v="9"/>
    <s v="Laura Callahan"/>
  </r>
  <r>
    <n v="10825"/>
    <n v="26"/>
    <n v="31.23"/>
    <n v="12"/>
    <n v="0"/>
    <x v="935"/>
    <x v="2"/>
    <x v="6"/>
    <x v="5"/>
    <x v="1"/>
    <s v="Nancy Davolio"/>
  </r>
  <r>
    <n v="10825"/>
    <n v="53"/>
    <n v="32.799999999999997"/>
    <n v="20"/>
    <n v="0"/>
    <x v="936"/>
    <x v="2"/>
    <x v="6"/>
    <x v="7"/>
    <x v="1"/>
    <s v="Nancy Davolio"/>
  </r>
  <r>
    <n v="10826"/>
    <n v="31"/>
    <n v="12.5"/>
    <n v="35"/>
    <n v="0"/>
    <x v="569"/>
    <x v="2"/>
    <x v="6"/>
    <x v="0"/>
    <x v="0"/>
    <s v="Michael Suyama"/>
  </r>
  <r>
    <n v="10826"/>
    <n v="57"/>
    <n v="19.5"/>
    <n v="15"/>
    <n v="0"/>
    <x v="785"/>
    <x v="2"/>
    <x v="6"/>
    <x v="1"/>
    <x v="0"/>
    <s v="Michael Suyama"/>
  </r>
  <r>
    <n v="10827"/>
    <n v="10"/>
    <n v="31"/>
    <n v="15"/>
    <n v="0"/>
    <x v="937"/>
    <x v="2"/>
    <x v="6"/>
    <x v="3"/>
    <x v="0"/>
    <s v="Nancy Davolio"/>
  </r>
  <r>
    <n v="10827"/>
    <n v="39"/>
    <n v="18"/>
    <n v="21"/>
    <n v="0"/>
    <x v="827"/>
    <x v="2"/>
    <x v="6"/>
    <x v="6"/>
    <x v="0"/>
    <s v="Nancy Davolio"/>
  </r>
  <r>
    <n v="10828"/>
    <n v="20"/>
    <n v="81"/>
    <n v="5"/>
    <n v="0"/>
    <x v="652"/>
    <x v="2"/>
    <x v="6"/>
    <x v="5"/>
    <x v="20"/>
    <s v="Anne Dodsworth"/>
  </r>
  <r>
    <n v="10828"/>
    <n v="38"/>
    <n v="263.5"/>
    <n v="2"/>
    <n v="0"/>
    <x v="938"/>
    <x v="2"/>
    <x v="6"/>
    <x v="6"/>
    <x v="20"/>
    <s v="Anne Dodsworth"/>
  </r>
  <r>
    <n v="10829"/>
    <n v="2"/>
    <n v="19"/>
    <n v="10"/>
    <n v="0"/>
    <x v="480"/>
    <x v="2"/>
    <x v="6"/>
    <x v="6"/>
    <x v="13"/>
    <s v="Anne Dodsworth"/>
  </r>
  <r>
    <n v="10829"/>
    <n v="8"/>
    <n v="40"/>
    <n v="20"/>
    <n v="0"/>
    <x v="939"/>
    <x v="2"/>
    <x v="6"/>
    <x v="4"/>
    <x v="13"/>
    <s v="Anne Dodsworth"/>
  </r>
  <r>
    <n v="10829"/>
    <n v="13"/>
    <n v="6"/>
    <n v="10"/>
    <n v="0"/>
    <x v="148"/>
    <x v="2"/>
    <x v="6"/>
    <x v="3"/>
    <x v="13"/>
    <s v="Anne Dodsworth"/>
  </r>
  <r>
    <n v="10829"/>
    <n v="60"/>
    <n v="34"/>
    <n v="21"/>
    <n v="0"/>
    <x v="940"/>
    <x v="2"/>
    <x v="6"/>
    <x v="0"/>
    <x v="13"/>
    <s v="Anne Dodsworth"/>
  </r>
  <r>
    <n v="10830"/>
    <n v="6"/>
    <n v="25"/>
    <n v="6"/>
    <n v="0"/>
    <x v="565"/>
    <x v="2"/>
    <x v="6"/>
    <x v="4"/>
    <x v="2"/>
    <s v="Margaret Peacock"/>
  </r>
  <r>
    <n v="10830"/>
    <n v="39"/>
    <n v="18"/>
    <n v="28"/>
    <n v="0"/>
    <x v="326"/>
    <x v="2"/>
    <x v="6"/>
    <x v="6"/>
    <x v="2"/>
    <s v="Margaret Peacock"/>
  </r>
  <r>
    <n v="10830"/>
    <n v="60"/>
    <n v="34"/>
    <n v="30"/>
    <n v="0"/>
    <x v="746"/>
    <x v="2"/>
    <x v="6"/>
    <x v="0"/>
    <x v="2"/>
    <s v="Margaret Peacock"/>
  </r>
  <r>
    <n v="10830"/>
    <n v="68"/>
    <n v="12.5"/>
    <n v="24"/>
    <n v="0"/>
    <x v="79"/>
    <x v="2"/>
    <x v="6"/>
    <x v="5"/>
    <x v="2"/>
    <s v="Margaret Peacock"/>
  </r>
  <r>
    <n v="10831"/>
    <n v="19"/>
    <n v="9.1999999999999993"/>
    <n v="2"/>
    <n v="0"/>
    <x v="922"/>
    <x v="2"/>
    <x v="6"/>
    <x v="5"/>
    <x v="19"/>
    <s v="Janet Leverling"/>
  </r>
  <r>
    <n v="10831"/>
    <n v="35"/>
    <n v="18"/>
    <n v="8"/>
    <n v="0"/>
    <x v="171"/>
    <x v="2"/>
    <x v="6"/>
    <x v="6"/>
    <x v="19"/>
    <s v="Janet Leverling"/>
  </r>
  <r>
    <n v="10831"/>
    <n v="38"/>
    <n v="263.5"/>
    <n v="8"/>
    <n v="0"/>
    <x v="254"/>
    <x v="2"/>
    <x v="6"/>
    <x v="6"/>
    <x v="19"/>
    <s v="Janet Leverling"/>
  </r>
  <r>
    <n v="10831"/>
    <n v="43"/>
    <n v="46"/>
    <n v="9"/>
    <n v="0"/>
    <x v="941"/>
    <x v="2"/>
    <x v="6"/>
    <x v="6"/>
    <x v="19"/>
    <s v="Janet Leverling"/>
  </r>
  <r>
    <n v="10832"/>
    <n v="13"/>
    <n v="6"/>
    <n v="3"/>
    <n v="0.2"/>
    <x v="942"/>
    <x v="2"/>
    <x v="6"/>
    <x v="3"/>
    <x v="0"/>
    <s v="Andrew Fuller"/>
  </r>
  <r>
    <n v="10832"/>
    <n v="25"/>
    <n v="14"/>
    <n v="10"/>
    <n v="0.2"/>
    <x v="172"/>
    <x v="2"/>
    <x v="6"/>
    <x v="5"/>
    <x v="0"/>
    <s v="Andrew Fuller"/>
  </r>
  <r>
    <n v="10832"/>
    <n v="44"/>
    <n v="19.45"/>
    <n v="16"/>
    <n v="0.2"/>
    <x v="943"/>
    <x v="2"/>
    <x v="6"/>
    <x v="4"/>
    <x v="0"/>
    <s v="Andrew Fuller"/>
  </r>
  <r>
    <n v="10832"/>
    <n v="64"/>
    <n v="33.25"/>
    <n v="3"/>
    <n v="0"/>
    <x v="873"/>
    <x v="2"/>
    <x v="6"/>
    <x v="1"/>
    <x v="0"/>
    <s v="Andrew Fuller"/>
  </r>
  <r>
    <n v="10833"/>
    <n v="7"/>
    <n v="30"/>
    <n v="20"/>
    <n v="0.1"/>
    <x v="311"/>
    <x v="2"/>
    <x v="6"/>
    <x v="2"/>
    <x v="1"/>
    <s v="Michael Suyama"/>
  </r>
  <r>
    <n v="10833"/>
    <n v="31"/>
    <n v="12.5"/>
    <n v="9"/>
    <n v="0.1"/>
    <x v="614"/>
    <x v="2"/>
    <x v="6"/>
    <x v="0"/>
    <x v="1"/>
    <s v="Michael Suyama"/>
  </r>
  <r>
    <n v="10833"/>
    <n v="53"/>
    <n v="32.799999999999997"/>
    <n v="9"/>
    <n v="0.1"/>
    <x v="944"/>
    <x v="2"/>
    <x v="6"/>
    <x v="7"/>
    <x v="1"/>
    <s v="Michael Suyama"/>
  </r>
  <r>
    <n v="10834"/>
    <n v="29"/>
    <n v="123.79"/>
    <n v="8"/>
    <n v="0.05"/>
    <x v="945"/>
    <x v="2"/>
    <x v="6"/>
    <x v="7"/>
    <x v="2"/>
    <s v="Nancy Davolio"/>
  </r>
  <r>
    <n v="10834"/>
    <n v="30"/>
    <n v="25.89"/>
    <n v="20"/>
    <n v="0.05"/>
    <x v="946"/>
    <x v="2"/>
    <x v="6"/>
    <x v="3"/>
    <x v="2"/>
    <s v="Nancy Davolio"/>
  </r>
  <r>
    <n v="10835"/>
    <n v="59"/>
    <n v="55"/>
    <n v="15"/>
    <n v="0"/>
    <x v="947"/>
    <x v="2"/>
    <x v="6"/>
    <x v="0"/>
    <x v="1"/>
    <s v="Nancy Davolio"/>
  </r>
  <r>
    <n v="10835"/>
    <n v="77"/>
    <n v="13"/>
    <n v="2"/>
    <n v="0.2"/>
    <x v="32"/>
    <x v="2"/>
    <x v="6"/>
    <x v="4"/>
    <x v="1"/>
    <s v="Nancy Davolio"/>
  </r>
  <r>
    <n v="10836"/>
    <n v="22"/>
    <n v="21"/>
    <n v="52"/>
    <n v="0"/>
    <x v="252"/>
    <x v="2"/>
    <x v="6"/>
    <x v="1"/>
    <x v="6"/>
    <s v="Robert King"/>
  </r>
  <r>
    <n v="10836"/>
    <n v="35"/>
    <n v="18"/>
    <n v="6"/>
    <n v="0"/>
    <x v="446"/>
    <x v="2"/>
    <x v="6"/>
    <x v="6"/>
    <x v="6"/>
    <s v="Robert King"/>
  </r>
  <r>
    <n v="10836"/>
    <n v="57"/>
    <n v="19.5"/>
    <n v="24"/>
    <n v="0"/>
    <x v="118"/>
    <x v="2"/>
    <x v="6"/>
    <x v="1"/>
    <x v="6"/>
    <s v="Robert King"/>
  </r>
  <r>
    <n v="10836"/>
    <n v="60"/>
    <n v="34"/>
    <n v="60"/>
    <n v="0"/>
    <x v="948"/>
    <x v="2"/>
    <x v="6"/>
    <x v="0"/>
    <x v="6"/>
    <s v="Robert King"/>
  </r>
  <r>
    <n v="10836"/>
    <n v="64"/>
    <n v="33.25"/>
    <n v="30"/>
    <n v="0"/>
    <x v="599"/>
    <x v="2"/>
    <x v="6"/>
    <x v="1"/>
    <x v="6"/>
    <s v="Robert King"/>
  </r>
  <r>
    <n v="10837"/>
    <n v="13"/>
    <n v="6"/>
    <n v="6"/>
    <n v="0"/>
    <x v="114"/>
    <x v="2"/>
    <x v="6"/>
    <x v="3"/>
    <x v="9"/>
    <s v="Anne Dodsworth"/>
  </r>
  <r>
    <n v="10837"/>
    <n v="40"/>
    <n v="18.399999999999999"/>
    <n v="25"/>
    <n v="0"/>
    <x v="949"/>
    <x v="2"/>
    <x v="6"/>
    <x v="3"/>
    <x v="9"/>
    <s v="Anne Dodsworth"/>
  </r>
  <r>
    <n v="10837"/>
    <n v="47"/>
    <n v="9.5"/>
    <n v="40"/>
    <n v="0.25"/>
    <x v="314"/>
    <x v="2"/>
    <x v="6"/>
    <x v="5"/>
    <x v="9"/>
    <s v="Anne Dodsworth"/>
  </r>
  <r>
    <n v="10837"/>
    <n v="76"/>
    <n v="18"/>
    <n v="21"/>
    <n v="0.25"/>
    <x v="718"/>
    <x v="2"/>
    <x v="6"/>
    <x v="6"/>
    <x v="9"/>
    <s v="Anne Dodsworth"/>
  </r>
  <r>
    <n v="10838"/>
    <n v="1"/>
    <n v="18"/>
    <n v="4"/>
    <n v="0.25"/>
    <x v="303"/>
    <x v="2"/>
    <x v="6"/>
    <x v="6"/>
    <x v="5"/>
    <s v="Janet Leverling"/>
  </r>
  <r>
    <n v="10838"/>
    <n v="18"/>
    <n v="62.5"/>
    <n v="25"/>
    <n v="0.25"/>
    <x v="950"/>
    <x v="2"/>
    <x v="6"/>
    <x v="3"/>
    <x v="5"/>
    <s v="Janet Leverling"/>
  </r>
  <r>
    <n v="10838"/>
    <n v="36"/>
    <n v="19"/>
    <n v="50"/>
    <n v="0.25"/>
    <x v="494"/>
    <x v="2"/>
    <x v="6"/>
    <x v="3"/>
    <x v="5"/>
    <s v="Janet Leverling"/>
  </r>
  <r>
    <n v="10839"/>
    <n v="58"/>
    <n v="13.25"/>
    <n v="30"/>
    <n v="0.1"/>
    <x v="951"/>
    <x v="2"/>
    <x v="6"/>
    <x v="3"/>
    <x v="2"/>
    <s v="Janet Leverling"/>
  </r>
  <r>
    <n v="10839"/>
    <n v="72"/>
    <n v="34.799999999999997"/>
    <n v="15"/>
    <n v="0.1"/>
    <x v="952"/>
    <x v="2"/>
    <x v="6"/>
    <x v="0"/>
    <x v="2"/>
    <s v="Janet Leverling"/>
  </r>
  <r>
    <n v="10840"/>
    <n v="25"/>
    <n v="14"/>
    <n v="6"/>
    <n v="0.2"/>
    <x v="953"/>
    <x v="2"/>
    <x v="6"/>
    <x v="5"/>
    <x v="5"/>
    <s v="Margaret Peacock"/>
  </r>
  <r>
    <n v="10840"/>
    <n v="39"/>
    <n v="18"/>
    <n v="10"/>
    <n v="0.2"/>
    <x v="171"/>
    <x v="2"/>
    <x v="6"/>
    <x v="6"/>
    <x v="5"/>
    <s v="Margaret Peacock"/>
  </r>
  <r>
    <n v="10841"/>
    <n v="10"/>
    <n v="31"/>
    <n v="16"/>
    <n v="0"/>
    <x v="342"/>
    <x v="2"/>
    <x v="6"/>
    <x v="3"/>
    <x v="3"/>
    <s v="Steven Buchanan"/>
  </r>
  <r>
    <n v="10841"/>
    <n v="56"/>
    <n v="38"/>
    <n v="30"/>
    <n v="0"/>
    <x v="581"/>
    <x v="2"/>
    <x v="6"/>
    <x v="1"/>
    <x v="3"/>
    <s v="Steven Buchanan"/>
  </r>
  <r>
    <n v="10841"/>
    <n v="59"/>
    <n v="55"/>
    <n v="50"/>
    <n v="0"/>
    <x v="954"/>
    <x v="2"/>
    <x v="6"/>
    <x v="0"/>
    <x v="3"/>
    <s v="Steven Buchanan"/>
  </r>
  <r>
    <n v="10841"/>
    <n v="77"/>
    <n v="13"/>
    <n v="15"/>
    <n v="0"/>
    <x v="298"/>
    <x v="2"/>
    <x v="6"/>
    <x v="4"/>
    <x v="3"/>
    <s v="Steven Buchanan"/>
  </r>
  <r>
    <n v="10842"/>
    <n v="11"/>
    <n v="21"/>
    <n v="15"/>
    <n v="0"/>
    <x v="591"/>
    <x v="2"/>
    <x v="6"/>
    <x v="0"/>
    <x v="7"/>
    <s v="Nancy Davolio"/>
  </r>
  <r>
    <n v="10842"/>
    <n v="43"/>
    <n v="46"/>
    <n v="5"/>
    <n v="0"/>
    <x v="955"/>
    <x v="2"/>
    <x v="6"/>
    <x v="6"/>
    <x v="7"/>
    <s v="Nancy Davolio"/>
  </r>
  <r>
    <n v="10842"/>
    <n v="68"/>
    <n v="12.5"/>
    <n v="20"/>
    <n v="0"/>
    <x v="544"/>
    <x v="2"/>
    <x v="6"/>
    <x v="5"/>
    <x v="7"/>
    <s v="Nancy Davolio"/>
  </r>
  <r>
    <n v="10842"/>
    <n v="70"/>
    <n v="15"/>
    <n v="12"/>
    <n v="0"/>
    <x v="229"/>
    <x v="2"/>
    <x v="6"/>
    <x v="6"/>
    <x v="7"/>
    <s v="Nancy Davolio"/>
  </r>
  <r>
    <n v="10843"/>
    <n v="51"/>
    <n v="53"/>
    <n v="4"/>
    <n v="0.25"/>
    <x v="281"/>
    <x v="2"/>
    <x v="6"/>
    <x v="2"/>
    <x v="0"/>
    <s v="Margaret Peacock"/>
  </r>
  <r>
    <n v="10844"/>
    <n v="22"/>
    <n v="21"/>
    <n v="35"/>
    <n v="0"/>
    <x v="51"/>
    <x v="2"/>
    <x v="6"/>
    <x v="1"/>
    <x v="6"/>
    <s v="Laura Callahan"/>
  </r>
  <r>
    <n v="10845"/>
    <n v="23"/>
    <n v="9"/>
    <n v="70"/>
    <n v="0.1"/>
    <x v="956"/>
    <x v="2"/>
    <x v="6"/>
    <x v="1"/>
    <x v="1"/>
    <s v="Laura Callahan"/>
  </r>
  <r>
    <n v="10845"/>
    <n v="35"/>
    <n v="18"/>
    <n v="25"/>
    <n v="0.1"/>
    <x v="652"/>
    <x v="2"/>
    <x v="6"/>
    <x v="6"/>
    <x v="1"/>
    <s v="Laura Callahan"/>
  </r>
  <r>
    <n v="10845"/>
    <n v="42"/>
    <n v="14"/>
    <n v="42"/>
    <n v="0.1"/>
    <x v="133"/>
    <x v="2"/>
    <x v="6"/>
    <x v="1"/>
    <x v="1"/>
    <s v="Laura Callahan"/>
  </r>
  <r>
    <n v="10845"/>
    <n v="58"/>
    <n v="13.25"/>
    <n v="60"/>
    <n v="0.1"/>
    <x v="957"/>
    <x v="2"/>
    <x v="6"/>
    <x v="3"/>
    <x v="1"/>
    <s v="Laura Callahan"/>
  </r>
  <r>
    <n v="10845"/>
    <n v="64"/>
    <n v="33.25"/>
    <n v="48"/>
    <n v="0"/>
    <x v="510"/>
    <x v="2"/>
    <x v="6"/>
    <x v="1"/>
    <x v="1"/>
    <s v="Laura Callahan"/>
  </r>
  <r>
    <n v="10846"/>
    <n v="4"/>
    <n v="22"/>
    <n v="21"/>
    <n v="0"/>
    <x v="958"/>
    <x v="2"/>
    <x v="6"/>
    <x v="4"/>
    <x v="3"/>
    <s v="Andrew Fuller"/>
  </r>
  <r>
    <n v="10846"/>
    <n v="70"/>
    <n v="15"/>
    <n v="30"/>
    <n v="0"/>
    <x v="295"/>
    <x v="2"/>
    <x v="6"/>
    <x v="6"/>
    <x v="3"/>
    <s v="Andrew Fuller"/>
  </r>
  <r>
    <n v="10846"/>
    <n v="74"/>
    <n v="10"/>
    <n v="20"/>
    <n v="0"/>
    <x v="14"/>
    <x v="2"/>
    <x v="6"/>
    <x v="2"/>
    <x v="3"/>
    <s v="Andrew Fuller"/>
  </r>
  <r>
    <n v="10847"/>
    <n v="1"/>
    <n v="18"/>
    <n v="80"/>
    <n v="0.2"/>
    <x v="959"/>
    <x v="2"/>
    <x v="6"/>
    <x v="6"/>
    <x v="8"/>
    <s v="Margaret Peacock"/>
  </r>
  <r>
    <n v="10847"/>
    <n v="19"/>
    <n v="9.1999999999999993"/>
    <n v="12"/>
    <n v="0.2"/>
    <x v="960"/>
    <x v="2"/>
    <x v="6"/>
    <x v="5"/>
    <x v="8"/>
    <s v="Margaret Peacock"/>
  </r>
  <r>
    <n v="10847"/>
    <n v="37"/>
    <n v="26"/>
    <n v="60"/>
    <n v="0.2"/>
    <x v="130"/>
    <x v="2"/>
    <x v="6"/>
    <x v="3"/>
    <x v="8"/>
    <s v="Margaret Peacock"/>
  </r>
  <r>
    <n v="10847"/>
    <n v="45"/>
    <n v="9.5"/>
    <n v="36"/>
    <n v="0.2"/>
    <x v="467"/>
    <x v="2"/>
    <x v="6"/>
    <x v="3"/>
    <x v="8"/>
    <s v="Margaret Peacock"/>
  </r>
  <r>
    <n v="10847"/>
    <n v="60"/>
    <n v="34"/>
    <n v="45"/>
    <n v="0.2"/>
    <x v="961"/>
    <x v="2"/>
    <x v="6"/>
    <x v="0"/>
    <x v="8"/>
    <s v="Margaret Peacock"/>
  </r>
  <r>
    <n v="10847"/>
    <n v="71"/>
    <n v="21.5"/>
    <n v="55"/>
    <n v="0.2"/>
    <x v="962"/>
    <x v="2"/>
    <x v="6"/>
    <x v="0"/>
    <x v="8"/>
    <s v="Margaret Peacock"/>
  </r>
  <r>
    <n v="10848"/>
    <n v="5"/>
    <n v="21.35"/>
    <n v="30"/>
    <n v="0"/>
    <x v="963"/>
    <x v="2"/>
    <x v="6"/>
    <x v="4"/>
    <x v="13"/>
    <s v="Robert King"/>
  </r>
  <r>
    <n v="10848"/>
    <n v="9"/>
    <n v="97"/>
    <n v="3"/>
    <n v="0"/>
    <x v="964"/>
    <x v="2"/>
    <x v="6"/>
    <x v="7"/>
    <x v="13"/>
    <s v="Robert King"/>
  </r>
  <r>
    <n v="10849"/>
    <n v="3"/>
    <n v="10"/>
    <n v="49"/>
    <n v="0"/>
    <x v="611"/>
    <x v="2"/>
    <x v="6"/>
    <x v="4"/>
    <x v="1"/>
    <s v="Anne Dodsworth"/>
  </r>
  <r>
    <n v="10849"/>
    <n v="26"/>
    <n v="31.23"/>
    <n v="18"/>
    <n v="0.15"/>
    <x v="965"/>
    <x v="2"/>
    <x v="6"/>
    <x v="5"/>
    <x v="1"/>
    <s v="Anne Dodsworth"/>
  </r>
  <r>
    <n v="10850"/>
    <n v="25"/>
    <n v="14"/>
    <n v="20"/>
    <n v="0.15"/>
    <x v="966"/>
    <x v="2"/>
    <x v="6"/>
    <x v="5"/>
    <x v="0"/>
    <s v="Nancy Davolio"/>
  </r>
  <r>
    <n v="10850"/>
    <n v="33"/>
    <n v="2.5"/>
    <n v="4"/>
    <n v="0.15"/>
    <x v="967"/>
    <x v="2"/>
    <x v="6"/>
    <x v="0"/>
    <x v="0"/>
    <s v="Nancy Davolio"/>
  </r>
  <r>
    <n v="10850"/>
    <n v="70"/>
    <n v="15"/>
    <n v="30"/>
    <n v="0.15"/>
    <x v="968"/>
    <x v="2"/>
    <x v="6"/>
    <x v="6"/>
    <x v="0"/>
    <s v="Nancy Davolio"/>
  </r>
  <r>
    <n v="10851"/>
    <n v="2"/>
    <n v="19"/>
    <n v="5"/>
    <n v="0.05"/>
    <x v="969"/>
    <x v="2"/>
    <x v="6"/>
    <x v="6"/>
    <x v="2"/>
    <s v="Steven Buchanan"/>
  </r>
  <r>
    <n v="10851"/>
    <n v="25"/>
    <n v="14"/>
    <n v="10"/>
    <n v="0.05"/>
    <x v="970"/>
    <x v="2"/>
    <x v="6"/>
    <x v="5"/>
    <x v="2"/>
    <s v="Steven Buchanan"/>
  </r>
  <r>
    <n v="10851"/>
    <n v="57"/>
    <n v="19.5"/>
    <n v="10"/>
    <n v="0.05"/>
    <x v="971"/>
    <x v="2"/>
    <x v="6"/>
    <x v="1"/>
    <x v="2"/>
    <s v="Steven Buchanan"/>
  </r>
  <r>
    <n v="10851"/>
    <n v="59"/>
    <n v="55"/>
    <n v="42"/>
    <n v="0.05"/>
    <x v="972"/>
    <x v="2"/>
    <x v="6"/>
    <x v="0"/>
    <x v="2"/>
    <s v="Steven Buchanan"/>
  </r>
  <r>
    <n v="10852"/>
    <n v="2"/>
    <n v="19"/>
    <n v="15"/>
    <n v="0"/>
    <x v="314"/>
    <x v="2"/>
    <x v="6"/>
    <x v="6"/>
    <x v="8"/>
    <s v="Laura Callahan"/>
  </r>
  <r>
    <n v="10852"/>
    <n v="17"/>
    <n v="39"/>
    <n v="6"/>
    <n v="0"/>
    <x v="633"/>
    <x v="2"/>
    <x v="6"/>
    <x v="7"/>
    <x v="8"/>
    <s v="Laura Callahan"/>
  </r>
  <r>
    <n v="10852"/>
    <n v="62"/>
    <n v="49.3"/>
    <n v="50"/>
    <n v="0"/>
    <x v="973"/>
    <x v="2"/>
    <x v="6"/>
    <x v="5"/>
    <x v="8"/>
    <s v="Laura Callahan"/>
  </r>
  <r>
    <n v="10853"/>
    <n v="18"/>
    <n v="62.5"/>
    <n v="10"/>
    <n v="0"/>
    <x v="831"/>
    <x v="2"/>
    <x v="6"/>
    <x v="3"/>
    <x v="1"/>
    <s v="Anne Dodsworth"/>
  </r>
  <r>
    <n v="10854"/>
    <n v="10"/>
    <n v="31"/>
    <n v="100"/>
    <n v="0.15"/>
    <x v="919"/>
    <x v="2"/>
    <x v="6"/>
    <x v="3"/>
    <x v="6"/>
    <s v="Janet Leverling"/>
  </r>
  <r>
    <n v="10854"/>
    <n v="13"/>
    <n v="6"/>
    <n v="65"/>
    <n v="0.15"/>
    <x v="974"/>
    <x v="2"/>
    <x v="6"/>
    <x v="3"/>
    <x v="6"/>
    <s v="Janet Leverling"/>
  </r>
  <r>
    <n v="10855"/>
    <n v="16"/>
    <n v="17.45"/>
    <n v="50"/>
    <n v="0"/>
    <x v="515"/>
    <x v="2"/>
    <x v="6"/>
    <x v="5"/>
    <x v="8"/>
    <s v="Janet Leverling"/>
  </r>
  <r>
    <n v="10855"/>
    <n v="31"/>
    <n v="12.5"/>
    <n v="14"/>
    <n v="0"/>
    <x v="841"/>
    <x v="2"/>
    <x v="6"/>
    <x v="0"/>
    <x v="8"/>
    <s v="Janet Leverling"/>
  </r>
  <r>
    <n v="10855"/>
    <n v="56"/>
    <n v="38"/>
    <n v="24"/>
    <n v="0"/>
    <x v="353"/>
    <x v="2"/>
    <x v="6"/>
    <x v="1"/>
    <x v="8"/>
    <s v="Janet Leverling"/>
  </r>
  <r>
    <n v="10855"/>
    <n v="65"/>
    <n v="21.05"/>
    <n v="15"/>
    <n v="0.15"/>
    <x v="758"/>
    <x v="2"/>
    <x v="6"/>
    <x v="4"/>
    <x v="8"/>
    <s v="Janet Leverling"/>
  </r>
  <r>
    <n v="10856"/>
    <n v="2"/>
    <n v="19"/>
    <n v="20"/>
    <n v="0"/>
    <x v="21"/>
    <x v="2"/>
    <x v="6"/>
    <x v="6"/>
    <x v="7"/>
    <s v="Janet Leverling"/>
  </r>
  <r>
    <n v="10856"/>
    <n v="42"/>
    <n v="14"/>
    <n v="20"/>
    <n v="0"/>
    <x v="521"/>
    <x v="2"/>
    <x v="6"/>
    <x v="1"/>
    <x v="7"/>
    <s v="Janet Leverling"/>
  </r>
  <r>
    <n v="10857"/>
    <n v="3"/>
    <n v="10"/>
    <n v="30"/>
    <n v="0"/>
    <x v="79"/>
    <x v="2"/>
    <x v="6"/>
    <x v="4"/>
    <x v="9"/>
    <s v="Laura Callahan"/>
  </r>
  <r>
    <n v="10857"/>
    <n v="26"/>
    <n v="31.23"/>
    <n v="35"/>
    <n v="0.25"/>
    <x v="975"/>
    <x v="2"/>
    <x v="6"/>
    <x v="5"/>
    <x v="9"/>
    <s v="Laura Callahan"/>
  </r>
  <r>
    <n v="10857"/>
    <n v="29"/>
    <n v="123.79"/>
    <n v="10"/>
    <n v="0.25"/>
    <x v="976"/>
    <x v="2"/>
    <x v="6"/>
    <x v="7"/>
    <x v="9"/>
    <s v="Laura Callahan"/>
  </r>
  <r>
    <n v="10858"/>
    <n v="7"/>
    <n v="30"/>
    <n v="5"/>
    <n v="0"/>
    <x v="565"/>
    <x v="2"/>
    <x v="6"/>
    <x v="2"/>
    <x v="0"/>
    <s v="Andrew Fuller"/>
  </r>
  <r>
    <n v="10858"/>
    <n v="27"/>
    <n v="43.9"/>
    <n v="10"/>
    <n v="0"/>
    <x v="977"/>
    <x v="2"/>
    <x v="6"/>
    <x v="5"/>
    <x v="0"/>
    <s v="Andrew Fuller"/>
  </r>
  <r>
    <n v="10858"/>
    <n v="70"/>
    <n v="15"/>
    <n v="4"/>
    <n v="0"/>
    <x v="148"/>
    <x v="2"/>
    <x v="6"/>
    <x v="6"/>
    <x v="0"/>
    <s v="Andrew Fuller"/>
  </r>
  <r>
    <n v="10859"/>
    <n v="24"/>
    <n v="4.5"/>
    <n v="40"/>
    <n v="0.25"/>
    <x v="135"/>
    <x v="2"/>
    <x v="6"/>
    <x v="6"/>
    <x v="1"/>
    <s v="Nancy Davolio"/>
  </r>
  <r>
    <n v="10859"/>
    <n v="54"/>
    <n v="7.45"/>
    <n v="35"/>
    <n v="0.25"/>
    <x v="978"/>
    <x v="2"/>
    <x v="6"/>
    <x v="7"/>
    <x v="1"/>
    <s v="Nancy Davolio"/>
  </r>
  <r>
    <n v="10859"/>
    <n v="64"/>
    <n v="33.25"/>
    <n v="30"/>
    <n v="0.25"/>
    <x v="979"/>
    <x v="2"/>
    <x v="6"/>
    <x v="1"/>
    <x v="1"/>
    <s v="Nancy Davolio"/>
  </r>
  <r>
    <n v="10860"/>
    <n v="51"/>
    <n v="53"/>
    <n v="3"/>
    <n v="0"/>
    <x v="281"/>
    <x v="2"/>
    <x v="6"/>
    <x v="2"/>
    <x v="0"/>
    <s v="Janet Leverling"/>
  </r>
  <r>
    <n v="10860"/>
    <n v="76"/>
    <n v="18"/>
    <n v="20"/>
    <n v="0"/>
    <x v="40"/>
    <x v="2"/>
    <x v="6"/>
    <x v="6"/>
    <x v="0"/>
    <s v="Janet Leverling"/>
  </r>
  <r>
    <n v="10861"/>
    <n v="17"/>
    <n v="39"/>
    <n v="42"/>
    <n v="0"/>
    <x v="980"/>
    <x v="2"/>
    <x v="6"/>
    <x v="7"/>
    <x v="8"/>
    <s v="Margaret Peacock"/>
  </r>
  <r>
    <n v="10861"/>
    <n v="18"/>
    <n v="62.5"/>
    <n v="20"/>
    <n v="0"/>
    <x v="721"/>
    <x v="2"/>
    <x v="6"/>
    <x v="3"/>
    <x v="8"/>
    <s v="Margaret Peacock"/>
  </r>
  <r>
    <n v="10861"/>
    <n v="21"/>
    <n v="10"/>
    <n v="40"/>
    <n v="0"/>
    <x v="62"/>
    <x v="2"/>
    <x v="6"/>
    <x v="5"/>
    <x v="8"/>
    <s v="Margaret Peacock"/>
  </r>
  <r>
    <n v="10861"/>
    <n v="33"/>
    <n v="2.5"/>
    <n v="35"/>
    <n v="0"/>
    <x v="981"/>
    <x v="2"/>
    <x v="6"/>
    <x v="0"/>
    <x v="8"/>
    <s v="Margaret Peacock"/>
  </r>
  <r>
    <n v="10861"/>
    <n v="62"/>
    <n v="49.3"/>
    <n v="3"/>
    <n v="0"/>
    <x v="495"/>
    <x v="2"/>
    <x v="6"/>
    <x v="5"/>
    <x v="8"/>
    <s v="Margaret Peacock"/>
  </r>
  <r>
    <n v="10862"/>
    <n v="11"/>
    <n v="21"/>
    <n v="25"/>
    <n v="0"/>
    <x v="806"/>
    <x v="2"/>
    <x v="6"/>
    <x v="0"/>
    <x v="1"/>
    <s v="Laura Callahan"/>
  </r>
  <r>
    <n v="10862"/>
    <n v="52"/>
    <n v="7"/>
    <n v="8"/>
    <n v="0"/>
    <x v="902"/>
    <x v="2"/>
    <x v="6"/>
    <x v="1"/>
    <x v="1"/>
    <s v="Laura Callahan"/>
  </r>
  <r>
    <n v="10863"/>
    <n v="1"/>
    <n v="18"/>
    <n v="20"/>
    <n v="0.15"/>
    <x v="588"/>
    <x v="2"/>
    <x v="7"/>
    <x v="6"/>
    <x v="5"/>
    <s v="Margaret Peacock"/>
  </r>
  <r>
    <n v="10863"/>
    <n v="58"/>
    <n v="13.25"/>
    <n v="12"/>
    <n v="0.15"/>
    <x v="982"/>
    <x v="2"/>
    <x v="7"/>
    <x v="3"/>
    <x v="5"/>
    <s v="Margaret Peacock"/>
  </r>
  <r>
    <n v="10864"/>
    <n v="35"/>
    <n v="18"/>
    <n v="4"/>
    <n v="0"/>
    <x v="197"/>
    <x v="2"/>
    <x v="7"/>
    <x v="6"/>
    <x v="13"/>
    <s v="Margaret Peacock"/>
  </r>
  <r>
    <n v="10864"/>
    <n v="67"/>
    <n v="14"/>
    <n v="15"/>
    <n v="0"/>
    <x v="578"/>
    <x v="2"/>
    <x v="7"/>
    <x v="6"/>
    <x v="13"/>
    <s v="Margaret Peacock"/>
  </r>
  <r>
    <n v="10865"/>
    <n v="38"/>
    <n v="263.5"/>
    <n v="60"/>
    <n v="0.05"/>
    <x v="983"/>
    <x v="2"/>
    <x v="7"/>
    <x v="6"/>
    <x v="1"/>
    <s v="Andrew Fuller"/>
  </r>
  <r>
    <n v="10865"/>
    <n v="39"/>
    <n v="18"/>
    <n v="80"/>
    <n v="0.05"/>
    <x v="823"/>
    <x v="2"/>
    <x v="7"/>
    <x v="6"/>
    <x v="1"/>
    <s v="Andrew Fuller"/>
  </r>
  <r>
    <n v="10866"/>
    <n v="2"/>
    <n v="19"/>
    <n v="21"/>
    <n v="0.25"/>
    <x v="574"/>
    <x v="2"/>
    <x v="7"/>
    <x v="6"/>
    <x v="9"/>
    <s v="Steven Buchanan"/>
  </r>
  <r>
    <n v="10866"/>
    <n v="24"/>
    <n v="4.5"/>
    <n v="6"/>
    <n v="0.25"/>
    <x v="984"/>
    <x v="2"/>
    <x v="7"/>
    <x v="6"/>
    <x v="9"/>
    <s v="Steven Buchanan"/>
  </r>
  <r>
    <n v="10866"/>
    <n v="30"/>
    <n v="25.89"/>
    <n v="40"/>
    <n v="0.25"/>
    <x v="985"/>
    <x v="2"/>
    <x v="7"/>
    <x v="3"/>
    <x v="9"/>
    <s v="Steven Buchanan"/>
  </r>
  <r>
    <n v="10867"/>
    <n v="53"/>
    <n v="32.799999999999997"/>
    <n v="3"/>
    <n v="0"/>
    <x v="986"/>
    <x v="2"/>
    <x v="7"/>
    <x v="7"/>
    <x v="8"/>
    <s v="Michael Suyama"/>
  </r>
  <r>
    <n v="10868"/>
    <n v="26"/>
    <n v="31.23"/>
    <n v="20"/>
    <n v="0"/>
    <x v="864"/>
    <x v="2"/>
    <x v="7"/>
    <x v="5"/>
    <x v="2"/>
    <s v="Robert King"/>
  </r>
  <r>
    <n v="10868"/>
    <n v="35"/>
    <n v="18"/>
    <n v="30"/>
    <n v="0"/>
    <x v="311"/>
    <x v="2"/>
    <x v="7"/>
    <x v="6"/>
    <x v="2"/>
    <s v="Robert King"/>
  </r>
  <r>
    <n v="10868"/>
    <n v="49"/>
    <n v="20"/>
    <n v="42"/>
    <n v="0.1"/>
    <x v="987"/>
    <x v="2"/>
    <x v="7"/>
    <x v="5"/>
    <x v="2"/>
    <s v="Robert King"/>
  </r>
  <r>
    <n v="10869"/>
    <n v="1"/>
    <n v="18"/>
    <n v="40"/>
    <n v="0"/>
    <x v="448"/>
    <x v="2"/>
    <x v="7"/>
    <x v="6"/>
    <x v="13"/>
    <s v="Steven Buchanan"/>
  </r>
  <r>
    <n v="10869"/>
    <n v="11"/>
    <n v="21"/>
    <n v="10"/>
    <n v="0"/>
    <x v="578"/>
    <x v="2"/>
    <x v="7"/>
    <x v="0"/>
    <x v="13"/>
    <s v="Steven Buchanan"/>
  </r>
  <r>
    <n v="10869"/>
    <n v="23"/>
    <n v="9"/>
    <n v="50"/>
    <n v="0"/>
    <x v="295"/>
    <x v="2"/>
    <x v="7"/>
    <x v="1"/>
    <x v="13"/>
    <s v="Steven Buchanan"/>
  </r>
  <r>
    <n v="10869"/>
    <n v="68"/>
    <n v="12.5"/>
    <n v="20"/>
    <n v="0"/>
    <x v="544"/>
    <x v="2"/>
    <x v="7"/>
    <x v="5"/>
    <x v="13"/>
    <s v="Steven Buchanan"/>
  </r>
  <r>
    <n v="10870"/>
    <n v="35"/>
    <n v="18"/>
    <n v="3"/>
    <n v="0"/>
    <x v="303"/>
    <x v="2"/>
    <x v="7"/>
    <x v="6"/>
    <x v="18"/>
    <s v="Steven Buchanan"/>
  </r>
  <r>
    <n v="10870"/>
    <n v="51"/>
    <n v="53"/>
    <n v="2"/>
    <n v="0"/>
    <x v="988"/>
    <x v="2"/>
    <x v="7"/>
    <x v="2"/>
    <x v="18"/>
    <s v="Steven Buchanan"/>
  </r>
  <r>
    <n v="10871"/>
    <n v="6"/>
    <n v="25"/>
    <n v="50"/>
    <n v="0.05"/>
    <x v="989"/>
    <x v="2"/>
    <x v="7"/>
    <x v="4"/>
    <x v="0"/>
    <s v="Anne Dodsworth"/>
  </r>
  <r>
    <n v="10871"/>
    <n v="16"/>
    <n v="17.45"/>
    <n v="12"/>
    <n v="0.05"/>
    <x v="990"/>
    <x v="2"/>
    <x v="7"/>
    <x v="5"/>
    <x v="0"/>
    <s v="Anne Dodsworth"/>
  </r>
  <r>
    <n v="10871"/>
    <n v="17"/>
    <n v="39"/>
    <n v="16"/>
    <n v="0.05"/>
    <x v="612"/>
    <x v="2"/>
    <x v="7"/>
    <x v="7"/>
    <x v="0"/>
    <s v="Anne Dodsworth"/>
  </r>
  <r>
    <n v="10872"/>
    <n v="55"/>
    <n v="24"/>
    <n v="10"/>
    <n v="0.05"/>
    <x v="463"/>
    <x v="2"/>
    <x v="7"/>
    <x v="7"/>
    <x v="12"/>
    <s v="Steven Buchanan"/>
  </r>
  <r>
    <n v="10872"/>
    <n v="62"/>
    <n v="49.3"/>
    <n v="20"/>
    <n v="0.05"/>
    <x v="594"/>
    <x v="2"/>
    <x v="7"/>
    <x v="5"/>
    <x v="12"/>
    <s v="Steven Buchanan"/>
  </r>
  <r>
    <n v="10872"/>
    <n v="64"/>
    <n v="33.25"/>
    <n v="15"/>
    <n v="0.05"/>
    <x v="991"/>
    <x v="2"/>
    <x v="7"/>
    <x v="1"/>
    <x v="12"/>
    <s v="Steven Buchanan"/>
  </r>
  <r>
    <n v="10872"/>
    <n v="65"/>
    <n v="21.05"/>
    <n v="21"/>
    <n v="0.05"/>
    <x v="992"/>
    <x v="2"/>
    <x v="7"/>
    <x v="4"/>
    <x v="12"/>
    <s v="Steven Buchanan"/>
  </r>
  <r>
    <n v="10873"/>
    <n v="21"/>
    <n v="10"/>
    <n v="20"/>
    <n v="0"/>
    <x v="14"/>
    <x v="2"/>
    <x v="7"/>
    <x v="5"/>
    <x v="10"/>
    <s v="Margaret Peacock"/>
  </r>
  <r>
    <n v="10873"/>
    <n v="28"/>
    <n v="45.6"/>
    <n v="3"/>
    <n v="0"/>
    <x v="498"/>
    <x v="2"/>
    <x v="7"/>
    <x v="2"/>
    <x v="10"/>
    <s v="Margaret Peacock"/>
  </r>
  <r>
    <n v="10874"/>
    <n v="10"/>
    <n v="31"/>
    <n v="10"/>
    <n v="0"/>
    <x v="182"/>
    <x v="2"/>
    <x v="7"/>
    <x v="3"/>
    <x v="12"/>
    <s v="Steven Buchanan"/>
  </r>
  <r>
    <n v="10875"/>
    <n v="19"/>
    <n v="9.1999999999999993"/>
    <n v="25"/>
    <n v="0"/>
    <x v="993"/>
    <x v="2"/>
    <x v="7"/>
    <x v="5"/>
    <x v="9"/>
    <s v="Margaret Peacock"/>
  </r>
  <r>
    <n v="10875"/>
    <n v="47"/>
    <n v="9.5"/>
    <n v="21"/>
    <n v="0.1"/>
    <x v="994"/>
    <x v="2"/>
    <x v="7"/>
    <x v="5"/>
    <x v="9"/>
    <s v="Margaret Peacock"/>
  </r>
  <r>
    <n v="10875"/>
    <n v="49"/>
    <n v="20"/>
    <n v="15"/>
    <n v="0"/>
    <x v="79"/>
    <x v="2"/>
    <x v="7"/>
    <x v="5"/>
    <x v="9"/>
    <s v="Margaret Peacock"/>
  </r>
  <r>
    <n v="10876"/>
    <n v="46"/>
    <n v="12"/>
    <n v="21"/>
    <n v="0"/>
    <x v="267"/>
    <x v="2"/>
    <x v="7"/>
    <x v="3"/>
    <x v="0"/>
    <s v="Robert King"/>
  </r>
  <r>
    <n v="10876"/>
    <n v="64"/>
    <n v="33.25"/>
    <n v="20"/>
    <n v="0"/>
    <x v="250"/>
    <x v="2"/>
    <x v="7"/>
    <x v="1"/>
    <x v="0"/>
    <s v="Robert King"/>
  </r>
  <r>
    <n v="10877"/>
    <n v="16"/>
    <n v="17.45"/>
    <n v="30"/>
    <n v="0.25"/>
    <x v="995"/>
    <x v="2"/>
    <x v="7"/>
    <x v="5"/>
    <x v="2"/>
    <s v="Nancy Davolio"/>
  </r>
  <r>
    <n v="10877"/>
    <n v="18"/>
    <n v="62.5"/>
    <n v="25"/>
    <n v="0"/>
    <x v="996"/>
    <x v="2"/>
    <x v="7"/>
    <x v="3"/>
    <x v="2"/>
    <s v="Nancy Davolio"/>
  </r>
  <r>
    <n v="10878"/>
    <n v="20"/>
    <n v="81"/>
    <n v="20"/>
    <n v="0.05"/>
    <x v="997"/>
    <x v="2"/>
    <x v="7"/>
    <x v="5"/>
    <x v="1"/>
    <s v="Margaret Peacock"/>
  </r>
  <r>
    <n v="10879"/>
    <n v="40"/>
    <n v="18.399999999999999"/>
    <n v="12"/>
    <n v="0"/>
    <x v="998"/>
    <x v="2"/>
    <x v="7"/>
    <x v="3"/>
    <x v="10"/>
    <s v="Janet Leverling"/>
  </r>
  <r>
    <n v="10879"/>
    <n v="65"/>
    <n v="21.05"/>
    <n v="10"/>
    <n v="0"/>
    <x v="760"/>
    <x v="2"/>
    <x v="7"/>
    <x v="4"/>
    <x v="10"/>
    <s v="Janet Leverling"/>
  </r>
  <r>
    <n v="10879"/>
    <n v="76"/>
    <n v="18"/>
    <n v="10"/>
    <n v="0"/>
    <x v="229"/>
    <x v="2"/>
    <x v="7"/>
    <x v="6"/>
    <x v="10"/>
    <s v="Janet Leverling"/>
  </r>
  <r>
    <n v="10880"/>
    <n v="23"/>
    <n v="9"/>
    <n v="30"/>
    <n v="0.2"/>
    <x v="45"/>
    <x v="2"/>
    <x v="7"/>
    <x v="1"/>
    <x v="9"/>
    <s v="Robert King"/>
  </r>
  <r>
    <n v="10880"/>
    <n v="61"/>
    <n v="28.5"/>
    <n v="30"/>
    <n v="0.2"/>
    <x v="999"/>
    <x v="2"/>
    <x v="7"/>
    <x v="4"/>
    <x v="9"/>
    <s v="Robert King"/>
  </r>
  <r>
    <n v="10880"/>
    <n v="70"/>
    <n v="15"/>
    <n v="50"/>
    <n v="0.2"/>
    <x v="113"/>
    <x v="2"/>
    <x v="7"/>
    <x v="6"/>
    <x v="9"/>
    <s v="Robert King"/>
  </r>
  <r>
    <n v="10881"/>
    <n v="73"/>
    <n v="15"/>
    <n v="10"/>
    <n v="0"/>
    <x v="565"/>
    <x v="2"/>
    <x v="7"/>
    <x v="3"/>
    <x v="20"/>
    <s v="Margaret Peacock"/>
  </r>
  <r>
    <n v="10882"/>
    <n v="42"/>
    <n v="14"/>
    <n v="25"/>
    <n v="0"/>
    <x v="619"/>
    <x v="2"/>
    <x v="7"/>
    <x v="1"/>
    <x v="8"/>
    <s v="Margaret Peacock"/>
  </r>
  <r>
    <n v="10882"/>
    <n v="49"/>
    <n v="20"/>
    <n v="20"/>
    <n v="0.15"/>
    <x v="107"/>
    <x v="2"/>
    <x v="7"/>
    <x v="5"/>
    <x v="8"/>
    <s v="Margaret Peacock"/>
  </r>
  <r>
    <n v="10882"/>
    <n v="54"/>
    <n v="7.45"/>
    <n v="32"/>
    <n v="0.15"/>
    <x v="1000"/>
    <x v="2"/>
    <x v="7"/>
    <x v="7"/>
    <x v="8"/>
    <s v="Margaret Peacock"/>
  </r>
  <r>
    <n v="10883"/>
    <n v="24"/>
    <n v="4.5"/>
    <n v="8"/>
    <n v="0"/>
    <x v="114"/>
    <x v="2"/>
    <x v="7"/>
    <x v="6"/>
    <x v="8"/>
    <s v="Laura Callahan"/>
  </r>
  <r>
    <n v="10884"/>
    <n v="21"/>
    <n v="10"/>
    <n v="40"/>
    <n v="0.05"/>
    <x v="21"/>
    <x v="2"/>
    <x v="7"/>
    <x v="5"/>
    <x v="8"/>
    <s v="Margaret Peacock"/>
  </r>
  <r>
    <n v="10884"/>
    <n v="56"/>
    <n v="38"/>
    <n v="21"/>
    <n v="0.05"/>
    <x v="1001"/>
    <x v="2"/>
    <x v="7"/>
    <x v="1"/>
    <x v="8"/>
    <s v="Margaret Peacock"/>
  </r>
  <r>
    <n v="10884"/>
    <n v="65"/>
    <n v="21.05"/>
    <n v="12"/>
    <n v="0.05"/>
    <x v="1002"/>
    <x v="2"/>
    <x v="7"/>
    <x v="4"/>
    <x v="8"/>
    <s v="Margaret Peacock"/>
  </r>
  <r>
    <n v="10885"/>
    <n v="2"/>
    <n v="19"/>
    <n v="20"/>
    <n v="0"/>
    <x v="21"/>
    <x v="2"/>
    <x v="7"/>
    <x v="6"/>
    <x v="3"/>
    <s v="Michael Suyama"/>
  </r>
  <r>
    <n v="10885"/>
    <n v="24"/>
    <n v="4.5"/>
    <n v="12"/>
    <n v="0"/>
    <x v="303"/>
    <x v="2"/>
    <x v="7"/>
    <x v="6"/>
    <x v="3"/>
    <s v="Michael Suyama"/>
  </r>
  <r>
    <n v="10885"/>
    <n v="70"/>
    <n v="15"/>
    <n v="30"/>
    <n v="0"/>
    <x v="295"/>
    <x v="2"/>
    <x v="7"/>
    <x v="6"/>
    <x v="3"/>
    <s v="Michael Suyama"/>
  </r>
  <r>
    <n v="10885"/>
    <n v="77"/>
    <n v="13"/>
    <n v="25"/>
    <n v="0"/>
    <x v="439"/>
    <x v="2"/>
    <x v="7"/>
    <x v="4"/>
    <x v="3"/>
    <s v="Michael Suyama"/>
  </r>
  <r>
    <n v="10886"/>
    <n v="10"/>
    <n v="31"/>
    <n v="70"/>
    <n v="0"/>
    <x v="673"/>
    <x v="2"/>
    <x v="7"/>
    <x v="3"/>
    <x v="2"/>
    <s v="Nancy Davolio"/>
  </r>
  <r>
    <n v="10886"/>
    <n v="31"/>
    <n v="12.5"/>
    <n v="35"/>
    <n v="0"/>
    <x v="569"/>
    <x v="2"/>
    <x v="7"/>
    <x v="0"/>
    <x v="2"/>
    <s v="Nancy Davolio"/>
  </r>
  <r>
    <n v="10886"/>
    <n v="77"/>
    <n v="13"/>
    <n v="40"/>
    <n v="0"/>
    <x v="372"/>
    <x v="2"/>
    <x v="7"/>
    <x v="4"/>
    <x v="2"/>
    <s v="Nancy Davolio"/>
  </r>
  <r>
    <n v="10887"/>
    <n v="25"/>
    <n v="14"/>
    <n v="5"/>
    <n v="0"/>
    <x v="691"/>
    <x v="2"/>
    <x v="7"/>
    <x v="5"/>
    <x v="12"/>
    <s v="Laura Callahan"/>
  </r>
  <r>
    <n v="10888"/>
    <n v="2"/>
    <n v="19"/>
    <n v="20"/>
    <n v="0"/>
    <x v="21"/>
    <x v="2"/>
    <x v="7"/>
    <x v="6"/>
    <x v="12"/>
    <s v="Nancy Davolio"/>
  </r>
  <r>
    <n v="10888"/>
    <n v="68"/>
    <n v="12.5"/>
    <n v="18"/>
    <n v="0"/>
    <x v="686"/>
    <x v="2"/>
    <x v="7"/>
    <x v="5"/>
    <x v="12"/>
    <s v="Nancy Davolio"/>
  </r>
  <r>
    <n v="10889"/>
    <n v="11"/>
    <n v="21"/>
    <n v="40"/>
    <n v="0"/>
    <x v="681"/>
    <x v="2"/>
    <x v="7"/>
    <x v="0"/>
    <x v="8"/>
    <s v="Anne Dodsworth"/>
  </r>
  <r>
    <n v="10889"/>
    <n v="38"/>
    <n v="263.5"/>
    <n v="40"/>
    <n v="0"/>
    <x v="349"/>
    <x v="2"/>
    <x v="7"/>
    <x v="6"/>
    <x v="8"/>
    <s v="Anne Dodsworth"/>
  </r>
  <r>
    <n v="10890"/>
    <n v="17"/>
    <n v="39"/>
    <n v="15"/>
    <n v="0"/>
    <x v="1003"/>
    <x v="2"/>
    <x v="7"/>
    <x v="7"/>
    <x v="0"/>
    <s v="Robert King"/>
  </r>
  <r>
    <n v="10890"/>
    <n v="34"/>
    <n v="14"/>
    <n v="10"/>
    <n v="0"/>
    <x v="365"/>
    <x v="2"/>
    <x v="7"/>
    <x v="6"/>
    <x v="0"/>
    <s v="Robert King"/>
  </r>
  <r>
    <n v="10890"/>
    <n v="41"/>
    <n v="9.65"/>
    <n v="14"/>
    <n v="0"/>
    <x v="582"/>
    <x v="2"/>
    <x v="7"/>
    <x v="3"/>
    <x v="0"/>
    <s v="Robert King"/>
  </r>
  <r>
    <n v="10891"/>
    <n v="30"/>
    <n v="25.89"/>
    <n v="15"/>
    <n v="0.05"/>
    <x v="1004"/>
    <x v="2"/>
    <x v="7"/>
    <x v="3"/>
    <x v="1"/>
    <s v="Robert King"/>
  </r>
  <r>
    <n v="10892"/>
    <n v="59"/>
    <n v="55"/>
    <n v="40"/>
    <n v="0.05"/>
    <x v="1005"/>
    <x v="2"/>
    <x v="7"/>
    <x v="0"/>
    <x v="3"/>
    <s v="Margaret Peacock"/>
  </r>
  <r>
    <n v="10893"/>
    <n v="8"/>
    <n v="40"/>
    <n v="30"/>
    <n v="0"/>
    <x v="1006"/>
    <x v="2"/>
    <x v="7"/>
    <x v="4"/>
    <x v="1"/>
    <s v="Anne Dodsworth"/>
  </r>
  <r>
    <n v="10893"/>
    <n v="24"/>
    <n v="4.5"/>
    <n v="10"/>
    <n v="0"/>
    <x v="603"/>
    <x v="2"/>
    <x v="7"/>
    <x v="6"/>
    <x v="1"/>
    <s v="Anne Dodsworth"/>
  </r>
  <r>
    <n v="10893"/>
    <n v="29"/>
    <n v="123.79"/>
    <n v="24"/>
    <n v="0"/>
    <x v="1007"/>
    <x v="2"/>
    <x v="7"/>
    <x v="7"/>
    <x v="1"/>
    <s v="Anne Dodsworth"/>
  </r>
  <r>
    <n v="10893"/>
    <n v="30"/>
    <n v="25.89"/>
    <n v="35"/>
    <n v="0"/>
    <x v="1008"/>
    <x v="2"/>
    <x v="7"/>
    <x v="3"/>
    <x v="1"/>
    <s v="Anne Dodsworth"/>
  </r>
  <r>
    <n v="10893"/>
    <n v="36"/>
    <n v="19"/>
    <n v="20"/>
    <n v="0"/>
    <x v="21"/>
    <x v="2"/>
    <x v="7"/>
    <x v="3"/>
    <x v="1"/>
    <s v="Anne Dodsworth"/>
  </r>
  <r>
    <n v="10894"/>
    <n v="13"/>
    <n v="6"/>
    <n v="28"/>
    <n v="0.05"/>
    <x v="234"/>
    <x v="2"/>
    <x v="7"/>
    <x v="3"/>
    <x v="8"/>
    <s v="Nancy Davolio"/>
  </r>
  <r>
    <n v="10894"/>
    <n v="69"/>
    <n v="36"/>
    <n v="50"/>
    <n v="0.05"/>
    <x v="745"/>
    <x v="2"/>
    <x v="7"/>
    <x v="0"/>
    <x v="8"/>
    <s v="Nancy Davolio"/>
  </r>
  <r>
    <n v="10894"/>
    <n v="75"/>
    <n v="7.75"/>
    <n v="120"/>
    <n v="0.05"/>
    <x v="1009"/>
    <x v="2"/>
    <x v="7"/>
    <x v="6"/>
    <x v="8"/>
    <s v="Nancy Davolio"/>
  </r>
  <r>
    <n v="10895"/>
    <n v="24"/>
    <n v="4.5"/>
    <n v="110"/>
    <n v="0"/>
    <x v="1010"/>
    <x v="2"/>
    <x v="7"/>
    <x v="6"/>
    <x v="6"/>
    <s v="Janet Leverling"/>
  </r>
  <r>
    <n v="10895"/>
    <n v="39"/>
    <n v="18"/>
    <n v="45"/>
    <n v="0"/>
    <x v="1011"/>
    <x v="2"/>
    <x v="7"/>
    <x v="6"/>
    <x v="6"/>
    <s v="Janet Leverling"/>
  </r>
  <r>
    <n v="10895"/>
    <n v="40"/>
    <n v="18.399999999999999"/>
    <n v="91"/>
    <n v="0"/>
    <x v="1012"/>
    <x v="2"/>
    <x v="7"/>
    <x v="3"/>
    <x v="6"/>
    <s v="Janet Leverling"/>
  </r>
  <r>
    <n v="10895"/>
    <n v="60"/>
    <n v="34"/>
    <n v="100"/>
    <n v="0"/>
    <x v="1013"/>
    <x v="2"/>
    <x v="7"/>
    <x v="0"/>
    <x v="6"/>
    <s v="Janet Leverling"/>
  </r>
  <r>
    <n v="10896"/>
    <n v="45"/>
    <n v="9.5"/>
    <n v="15"/>
    <n v="0"/>
    <x v="65"/>
    <x v="2"/>
    <x v="7"/>
    <x v="3"/>
    <x v="3"/>
    <s v="Robert King"/>
  </r>
  <r>
    <n v="10896"/>
    <n v="56"/>
    <n v="38"/>
    <n v="16"/>
    <n v="0"/>
    <x v="28"/>
    <x v="2"/>
    <x v="7"/>
    <x v="1"/>
    <x v="3"/>
    <s v="Robert King"/>
  </r>
  <r>
    <n v="10897"/>
    <n v="29"/>
    <n v="123.79"/>
    <n v="80"/>
    <n v="0"/>
    <x v="1014"/>
    <x v="2"/>
    <x v="7"/>
    <x v="7"/>
    <x v="14"/>
    <s v="Janet Leverling"/>
  </r>
  <r>
    <n v="10897"/>
    <n v="30"/>
    <n v="25.89"/>
    <n v="36"/>
    <n v="0"/>
    <x v="1015"/>
    <x v="2"/>
    <x v="7"/>
    <x v="3"/>
    <x v="14"/>
    <s v="Janet Leverling"/>
  </r>
  <r>
    <n v="10898"/>
    <n v="13"/>
    <n v="6"/>
    <n v="5"/>
    <n v="0"/>
    <x v="146"/>
    <x v="2"/>
    <x v="7"/>
    <x v="3"/>
    <x v="20"/>
    <s v="Margaret Peacock"/>
  </r>
  <r>
    <n v="10899"/>
    <n v="39"/>
    <n v="18"/>
    <n v="8"/>
    <n v="0.15"/>
    <x v="103"/>
    <x v="2"/>
    <x v="7"/>
    <x v="6"/>
    <x v="5"/>
    <s v="Steven Buchanan"/>
  </r>
  <r>
    <n v="10900"/>
    <n v="70"/>
    <n v="15"/>
    <n v="3"/>
    <n v="0.25"/>
    <x v="1016"/>
    <x v="2"/>
    <x v="7"/>
    <x v="6"/>
    <x v="2"/>
    <s v="Nancy Davolio"/>
  </r>
  <r>
    <n v="10901"/>
    <n v="41"/>
    <n v="9.65"/>
    <n v="30"/>
    <n v="0"/>
    <x v="1017"/>
    <x v="2"/>
    <x v="7"/>
    <x v="3"/>
    <x v="5"/>
    <s v="Margaret Peacock"/>
  </r>
  <r>
    <n v="10901"/>
    <n v="71"/>
    <n v="21.5"/>
    <n v="30"/>
    <n v="0"/>
    <x v="819"/>
    <x v="2"/>
    <x v="7"/>
    <x v="0"/>
    <x v="5"/>
    <s v="Margaret Peacock"/>
  </r>
  <r>
    <n v="10902"/>
    <n v="55"/>
    <n v="24"/>
    <n v="30"/>
    <n v="0.15"/>
    <x v="226"/>
    <x v="2"/>
    <x v="7"/>
    <x v="7"/>
    <x v="9"/>
    <s v="Nancy Davolio"/>
  </r>
  <r>
    <n v="10902"/>
    <n v="62"/>
    <n v="49.3"/>
    <n v="6"/>
    <n v="0.15"/>
    <x v="1018"/>
    <x v="2"/>
    <x v="7"/>
    <x v="5"/>
    <x v="9"/>
    <s v="Nancy Davolio"/>
  </r>
  <r>
    <n v="10903"/>
    <n v="13"/>
    <n v="6"/>
    <n v="40"/>
    <n v="0"/>
    <x v="49"/>
    <x v="2"/>
    <x v="7"/>
    <x v="3"/>
    <x v="2"/>
    <s v="Janet Leverling"/>
  </r>
  <r>
    <n v="10903"/>
    <n v="65"/>
    <n v="21.05"/>
    <n v="21"/>
    <n v="0"/>
    <x v="714"/>
    <x v="2"/>
    <x v="7"/>
    <x v="4"/>
    <x v="2"/>
    <s v="Janet Leverling"/>
  </r>
  <r>
    <n v="10903"/>
    <n v="68"/>
    <n v="12.5"/>
    <n v="20"/>
    <n v="0"/>
    <x v="544"/>
    <x v="2"/>
    <x v="7"/>
    <x v="5"/>
    <x v="2"/>
    <s v="Janet Leverling"/>
  </r>
  <r>
    <n v="10904"/>
    <n v="58"/>
    <n v="13.25"/>
    <n v="15"/>
    <n v="0"/>
    <x v="1019"/>
    <x v="2"/>
    <x v="7"/>
    <x v="3"/>
    <x v="8"/>
    <s v="Janet Leverling"/>
  </r>
  <r>
    <n v="10904"/>
    <n v="62"/>
    <n v="49.3"/>
    <n v="35"/>
    <n v="0"/>
    <x v="1020"/>
    <x v="2"/>
    <x v="7"/>
    <x v="5"/>
    <x v="8"/>
    <s v="Janet Leverling"/>
  </r>
  <r>
    <n v="10905"/>
    <n v="1"/>
    <n v="18"/>
    <n v="20"/>
    <n v="0.05"/>
    <x v="508"/>
    <x v="2"/>
    <x v="7"/>
    <x v="6"/>
    <x v="2"/>
    <s v="Anne Dodsworth"/>
  </r>
  <r>
    <n v="10906"/>
    <n v="61"/>
    <n v="28.5"/>
    <n v="15"/>
    <n v="0"/>
    <x v="557"/>
    <x v="2"/>
    <x v="7"/>
    <x v="4"/>
    <x v="18"/>
    <s v="Margaret Peacock"/>
  </r>
  <r>
    <n v="10907"/>
    <n v="75"/>
    <n v="7.75"/>
    <n v="14"/>
    <n v="0"/>
    <x v="1021"/>
    <x v="2"/>
    <x v="7"/>
    <x v="6"/>
    <x v="0"/>
    <s v="Michael Suyama"/>
  </r>
  <r>
    <n v="10908"/>
    <n v="7"/>
    <n v="30"/>
    <n v="20"/>
    <n v="0.05"/>
    <x v="422"/>
    <x v="2"/>
    <x v="7"/>
    <x v="2"/>
    <x v="11"/>
    <s v="Margaret Peacock"/>
  </r>
  <r>
    <n v="10908"/>
    <n v="52"/>
    <n v="7"/>
    <n v="14"/>
    <n v="0.05"/>
    <x v="1022"/>
    <x v="2"/>
    <x v="7"/>
    <x v="1"/>
    <x v="11"/>
    <s v="Margaret Peacock"/>
  </r>
  <r>
    <n v="10909"/>
    <n v="7"/>
    <n v="30"/>
    <n v="12"/>
    <n v="0"/>
    <x v="40"/>
    <x v="2"/>
    <x v="7"/>
    <x v="2"/>
    <x v="19"/>
    <s v="Nancy Davolio"/>
  </r>
  <r>
    <n v="10909"/>
    <n v="16"/>
    <n v="17.45"/>
    <n v="15"/>
    <n v="0"/>
    <x v="1023"/>
    <x v="2"/>
    <x v="7"/>
    <x v="5"/>
    <x v="19"/>
    <s v="Nancy Davolio"/>
  </r>
  <r>
    <n v="10909"/>
    <n v="41"/>
    <n v="9.65"/>
    <n v="5"/>
    <n v="0"/>
    <x v="1024"/>
    <x v="2"/>
    <x v="7"/>
    <x v="3"/>
    <x v="19"/>
    <s v="Nancy Davolio"/>
  </r>
  <r>
    <n v="10910"/>
    <n v="19"/>
    <n v="9.1999999999999993"/>
    <n v="12"/>
    <n v="0"/>
    <x v="435"/>
    <x v="2"/>
    <x v="7"/>
    <x v="5"/>
    <x v="10"/>
    <s v="Nancy Davolio"/>
  </r>
  <r>
    <n v="10910"/>
    <n v="49"/>
    <n v="20"/>
    <n v="10"/>
    <n v="0"/>
    <x v="14"/>
    <x v="2"/>
    <x v="7"/>
    <x v="5"/>
    <x v="10"/>
    <s v="Nancy Davolio"/>
  </r>
  <r>
    <n v="10910"/>
    <n v="61"/>
    <n v="28.5"/>
    <n v="5"/>
    <n v="0"/>
    <x v="65"/>
    <x v="2"/>
    <x v="7"/>
    <x v="4"/>
    <x v="10"/>
    <s v="Nancy Davolio"/>
  </r>
  <r>
    <n v="10911"/>
    <n v="1"/>
    <n v="18"/>
    <n v="10"/>
    <n v="0"/>
    <x v="229"/>
    <x v="2"/>
    <x v="7"/>
    <x v="6"/>
    <x v="12"/>
    <s v="Janet Leverling"/>
  </r>
  <r>
    <n v="10911"/>
    <n v="17"/>
    <n v="39"/>
    <n v="12"/>
    <n v="0"/>
    <x v="118"/>
    <x v="2"/>
    <x v="7"/>
    <x v="7"/>
    <x v="12"/>
    <s v="Janet Leverling"/>
  </r>
  <r>
    <n v="10911"/>
    <n v="67"/>
    <n v="14"/>
    <n v="15"/>
    <n v="0"/>
    <x v="578"/>
    <x v="2"/>
    <x v="7"/>
    <x v="6"/>
    <x v="12"/>
    <s v="Janet Leverling"/>
  </r>
  <r>
    <n v="10912"/>
    <n v="11"/>
    <n v="21"/>
    <n v="40"/>
    <n v="0.25"/>
    <x v="698"/>
    <x v="2"/>
    <x v="7"/>
    <x v="0"/>
    <x v="14"/>
    <s v="Andrew Fuller"/>
  </r>
  <r>
    <n v="10912"/>
    <n v="29"/>
    <n v="123.79"/>
    <n v="60"/>
    <n v="0.25"/>
    <x v="1025"/>
    <x v="2"/>
    <x v="7"/>
    <x v="7"/>
    <x v="14"/>
    <s v="Andrew Fuller"/>
  </r>
  <r>
    <n v="10913"/>
    <n v="4"/>
    <n v="22"/>
    <n v="30"/>
    <n v="0.25"/>
    <x v="1010"/>
    <x v="2"/>
    <x v="7"/>
    <x v="4"/>
    <x v="2"/>
    <s v="Margaret Peacock"/>
  </r>
  <r>
    <n v="10913"/>
    <n v="33"/>
    <n v="2.5"/>
    <n v="40"/>
    <n v="0.25"/>
    <x v="530"/>
    <x v="2"/>
    <x v="7"/>
    <x v="0"/>
    <x v="2"/>
    <s v="Margaret Peacock"/>
  </r>
  <r>
    <n v="10913"/>
    <n v="58"/>
    <n v="13.25"/>
    <n v="15"/>
    <n v="0"/>
    <x v="1019"/>
    <x v="2"/>
    <x v="7"/>
    <x v="3"/>
    <x v="2"/>
    <s v="Margaret Peacock"/>
  </r>
  <r>
    <n v="10914"/>
    <n v="71"/>
    <n v="21.5"/>
    <n v="25"/>
    <n v="0"/>
    <x v="1026"/>
    <x v="2"/>
    <x v="7"/>
    <x v="0"/>
    <x v="2"/>
    <s v="Michael Suyama"/>
  </r>
  <r>
    <n v="10915"/>
    <n v="17"/>
    <n v="39"/>
    <n v="10"/>
    <n v="0"/>
    <x v="240"/>
    <x v="2"/>
    <x v="7"/>
    <x v="7"/>
    <x v="7"/>
    <s v="Andrew Fuller"/>
  </r>
  <r>
    <n v="10915"/>
    <n v="33"/>
    <n v="2.5"/>
    <n v="30"/>
    <n v="0"/>
    <x v="530"/>
    <x v="2"/>
    <x v="7"/>
    <x v="0"/>
    <x v="7"/>
    <s v="Andrew Fuller"/>
  </r>
  <r>
    <n v="10915"/>
    <n v="54"/>
    <n v="7.45"/>
    <n v="10"/>
    <n v="0"/>
    <x v="1027"/>
    <x v="2"/>
    <x v="7"/>
    <x v="7"/>
    <x v="7"/>
    <s v="Andrew Fuller"/>
  </r>
  <r>
    <n v="10916"/>
    <n v="16"/>
    <n v="17.45"/>
    <n v="6"/>
    <n v="0"/>
    <x v="1028"/>
    <x v="2"/>
    <x v="7"/>
    <x v="5"/>
    <x v="20"/>
    <s v="Nancy Davolio"/>
  </r>
  <r>
    <n v="10916"/>
    <n v="32"/>
    <n v="32"/>
    <n v="6"/>
    <n v="0"/>
    <x v="300"/>
    <x v="2"/>
    <x v="7"/>
    <x v="0"/>
    <x v="20"/>
    <s v="Nancy Davolio"/>
  </r>
  <r>
    <n v="10916"/>
    <n v="57"/>
    <n v="19.5"/>
    <n v="20"/>
    <n v="0"/>
    <x v="240"/>
    <x v="2"/>
    <x v="7"/>
    <x v="1"/>
    <x v="20"/>
    <s v="Nancy Davolio"/>
  </r>
  <r>
    <n v="10917"/>
    <n v="30"/>
    <n v="25.89"/>
    <n v="1"/>
    <n v="0"/>
    <x v="1029"/>
    <x v="2"/>
    <x v="8"/>
    <x v="3"/>
    <x v="12"/>
    <s v="Margaret Peacock"/>
  </r>
  <r>
    <n v="10917"/>
    <n v="60"/>
    <n v="34"/>
    <n v="10"/>
    <n v="0"/>
    <x v="107"/>
    <x v="2"/>
    <x v="8"/>
    <x v="0"/>
    <x v="12"/>
    <s v="Margaret Peacock"/>
  </r>
  <r>
    <n v="10918"/>
    <n v="1"/>
    <n v="18"/>
    <n v="60"/>
    <n v="0.25"/>
    <x v="1011"/>
    <x v="2"/>
    <x v="8"/>
    <x v="6"/>
    <x v="16"/>
    <s v="Janet Leverling"/>
  </r>
  <r>
    <n v="10918"/>
    <n v="60"/>
    <n v="34"/>
    <n v="25"/>
    <n v="0.25"/>
    <x v="1030"/>
    <x v="2"/>
    <x v="8"/>
    <x v="0"/>
    <x v="16"/>
    <s v="Janet Leverling"/>
  </r>
  <r>
    <n v="10919"/>
    <n v="16"/>
    <n v="17.45"/>
    <n v="24"/>
    <n v="0"/>
    <x v="1031"/>
    <x v="2"/>
    <x v="8"/>
    <x v="5"/>
    <x v="5"/>
    <s v="Andrew Fuller"/>
  </r>
  <r>
    <n v="10919"/>
    <n v="25"/>
    <n v="14"/>
    <n v="24"/>
    <n v="0"/>
    <x v="10"/>
    <x v="2"/>
    <x v="8"/>
    <x v="5"/>
    <x v="5"/>
    <s v="Andrew Fuller"/>
  </r>
  <r>
    <n v="10919"/>
    <n v="40"/>
    <n v="18.399999999999999"/>
    <n v="20"/>
    <n v="0"/>
    <x v="533"/>
    <x v="2"/>
    <x v="8"/>
    <x v="3"/>
    <x v="5"/>
    <s v="Andrew Fuller"/>
  </r>
  <r>
    <n v="10920"/>
    <n v="50"/>
    <n v="16.25"/>
    <n v="24"/>
    <n v="0"/>
    <x v="240"/>
    <x v="2"/>
    <x v="8"/>
    <x v="5"/>
    <x v="13"/>
    <s v="Margaret Peacock"/>
  </r>
  <r>
    <n v="10921"/>
    <n v="35"/>
    <n v="18"/>
    <n v="10"/>
    <n v="0"/>
    <x v="229"/>
    <x v="2"/>
    <x v="8"/>
    <x v="6"/>
    <x v="17"/>
    <s v="Nancy Davolio"/>
  </r>
  <r>
    <n v="10921"/>
    <n v="63"/>
    <n v="43.9"/>
    <n v="40"/>
    <n v="0"/>
    <x v="865"/>
    <x v="2"/>
    <x v="8"/>
    <x v="4"/>
    <x v="17"/>
    <s v="Nancy Davolio"/>
  </r>
  <r>
    <n v="10922"/>
    <n v="17"/>
    <n v="39"/>
    <n v="15"/>
    <n v="0"/>
    <x v="1003"/>
    <x v="2"/>
    <x v="8"/>
    <x v="7"/>
    <x v="2"/>
    <s v="Steven Buchanan"/>
  </r>
  <r>
    <n v="10922"/>
    <n v="24"/>
    <n v="4.5"/>
    <n v="35"/>
    <n v="0"/>
    <x v="428"/>
    <x v="2"/>
    <x v="8"/>
    <x v="6"/>
    <x v="2"/>
    <s v="Steven Buchanan"/>
  </r>
  <r>
    <n v="10923"/>
    <n v="42"/>
    <n v="14"/>
    <n v="10"/>
    <n v="0.2"/>
    <x v="172"/>
    <x v="2"/>
    <x v="8"/>
    <x v="1"/>
    <x v="0"/>
    <s v="Robert King"/>
  </r>
  <r>
    <n v="10923"/>
    <n v="43"/>
    <n v="46"/>
    <n v="10"/>
    <n v="0.2"/>
    <x v="533"/>
    <x v="2"/>
    <x v="8"/>
    <x v="6"/>
    <x v="0"/>
    <s v="Robert King"/>
  </r>
  <r>
    <n v="10923"/>
    <n v="67"/>
    <n v="14"/>
    <n v="24"/>
    <n v="0.2"/>
    <x v="1032"/>
    <x v="2"/>
    <x v="8"/>
    <x v="6"/>
    <x v="0"/>
    <s v="Robert King"/>
  </r>
  <r>
    <n v="10924"/>
    <n v="10"/>
    <n v="31"/>
    <n v="20"/>
    <n v="0.1"/>
    <x v="596"/>
    <x v="2"/>
    <x v="8"/>
    <x v="3"/>
    <x v="9"/>
    <s v="Janet Leverling"/>
  </r>
  <r>
    <n v="10924"/>
    <n v="28"/>
    <n v="45.6"/>
    <n v="30"/>
    <n v="0.1"/>
    <x v="1033"/>
    <x v="2"/>
    <x v="8"/>
    <x v="2"/>
    <x v="9"/>
    <s v="Janet Leverling"/>
  </r>
  <r>
    <n v="10924"/>
    <n v="75"/>
    <n v="7.75"/>
    <n v="6"/>
    <n v="0"/>
    <x v="1034"/>
    <x v="2"/>
    <x v="8"/>
    <x v="6"/>
    <x v="9"/>
    <s v="Janet Leverling"/>
  </r>
  <r>
    <n v="10925"/>
    <n v="36"/>
    <n v="19"/>
    <n v="25"/>
    <n v="0.15"/>
    <x v="1035"/>
    <x v="2"/>
    <x v="8"/>
    <x v="3"/>
    <x v="2"/>
    <s v="Janet Leverling"/>
  </r>
  <r>
    <n v="10925"/>
    <n v="52"/>
    <n v="7"/>
    <n v="12"/>
    <n v="0.15"/>
    <x v="1036"/>
    <x v="2"/>
    <x v="8"/>
    <x v="1"/>
    <x v="2"/>
    <s v="Janet Leverling"/>
  </r>
  <r>
    <n v="10926"/>
    <n v="11"/>
    <n v="21"/>
    <n v="2"/>
    <n v="0"/>
    <x v="95"/>
    <x v="2"/>
    <x v="8"/>
    <x v="0"/>
    <x v="7"/>
    <s v="Margaret Peacock"/>
  </r>
  <r>
    <n v="10926"/>
    <n v="13"/>
    <n v="6"/>
    <n v="10"/>
    <n v="0"/>
    <x v="148"/>
    <x v="2"/>
    <x v="8"/>
    <x v="3"/>
    <x v="7"/>
    <s v="Margaret Peacock"/>
  </r>
  <r>
    <n v="10926"/>
    <n v="19"/>
    <n v="9.1999999999999993"/>
    <n v="7"/>
    <n v="0"/>
    <x v="770"/>
    <x v="2"/>
    <x v="8"/>
    <x v="5"/>
    <x v="7"/>
    <s v="Margaret Peacock"/>
  </r>
  <r>
    <n v="10926"/>
    <n v="72"/>
    <n v="34.799999999999997"/>
    <n v="10"/>
    <n v="0"/>
    <x v="908"/>
    <x v="2"/>
    <x v="8"/>
    <x v="0"/>
    <x v="7"/>
    <s v="Margaret Peacock"/>
  </r>
  <r>
    <n v="10927"/>
    <n v="20"/>
    <n v="81"/>
    <n v="5"/>
    <n v="0"/>
    <x v="652"/>
    <x v="2"/>
    <x v="8"/>
    <x v="5"/>
    <x v="0"/>
    <s v="Margaret Peacock"/>
  </r>
  <r>
    <n v="10927"/>
    <n v="52"/>
    <n v="7"/>
    <n v="5"/>
    <n v="0"/>
    <x v="627"/>
    <x v="2"/>
    <x v="8"/>
    <x v="1"/>
    <x v="0"/>
    <s v="Margaret Peacock"/>
  </r>
  <r>
    <n v="10927"/>
    <n v="76"/>
    <n v="18"/>
    <n v="20"/>
    <n v="0"/>
    <x v="40"/>
    <x v="2"/>
    <x v="8"/>
    <x v="6"/>
    <x v="0"/>
    <s v="Margaret Peacock"/>
  </r>
  <r>
    <n v="10928"/>
    <n v="47"/>
    <n v="9.5"/>
    <n v="5"/>
    <n v="0"/>
    <x v="12"/>
    <x v="2"/>
    <x v="8"/>
    <x v="5"/>
    <x v="12"/>
    <s v="Nancy Davolio"/>
  </r>
  <r>
    <n v="10928"/>
    <n v="76"/>
    <n v="18"/>
    <n v="5"/>
    <n v="0"/>
    <x v="239"/>
    <x v="2"/>
    <x v="8"/>
    <x v="6"/>
    <x v="12"/>
    <s v="Nancy Davolio"/>
  </r>
  <r>
    <n v="10929"/>
    <n v="21"/>
    <n v="10"/>
    <n v="60"/>
    <n v="0"/>
    <x v="113"/>
    <x v="2"/>
    <x v="8"/>
    <x v="5"/>
    <x v="1"/>
    <s v="Michael Suyama"/>
  </r>
  <r>
    <n v="10929"/>
    <n v="75"/>
    <n v="7.75"/>
    <n v="49"/>
    <n v="0"/>
    <x v="1037"/>
    <x v="2"/>
    <x v="8"/>
    <x v="6"/>
    <x v="1"/>
    <s v="Michael Suyama"/>
  </r>
  <r>
    <n v="10929"/>
    <n v="77"/>
    <n v="13"/>
    <n v="15"/>
    <n v="0"/>
    <x v="298"/>
    <x v="2"/>
    <x v="8"/>
    <x v="4"/>
    <x v="1"/>
    <s v="Michael Suyama"/>
  </r>
  <r>
    <n v="10930"/>
    <n v="21"/>
    <n v="10"/>
    <n v="36"/>
    <n v="0"/>
    <x v="40"/>
    <x v="2"/>
    <x v="8"/>
    <x v="5"/>
    <x v="3"/>
    <s v="Margaret Peacock"/>
  </r>
  <r>
    <n v="10930"/>
    <n v="27"/>
    <n v="43.9"/>
    <n v="25"/>
    <n v="0"/>
    <x v="1038"/>
    <x v="2"/>
    <x v="8"/>
    <x v="5"/>
    <x v="3"/>
    <s v="Margaret Peacock"/>
  </r>
  <r>
    <n v="10930"/>
    <n v="55"/>
    <n v="24"/>
    <n v="25"/>
    <n v="0.2"/>
    <x v="136"/>
    <x v="2"/>
    <x v="8"/>
    <x v="7"/>
    <x v="3"/>
    <s v="Margaret Peacock"/>
  </r>
  <r>
    <n v="10930"/>
    <n v="58"/>
    <n v="13.25"/>
    <n v="30"/>
    <n v="0.2"/>
    <x v="560"/>
    <x v="2"/>
    <x v="8"/>
    <x v="3"/>
    <x v="3"/>
    <s v="Margaret Peacock"/>
  </r>
  <r>
    <n v="10931"/>
    <n v="13"/>
    <n v="6"/>
    <n v="42"/>
    <n v="0.15"/>
    <x v="7"/>
    <x v="2"/>
    <x v="8"/>
    <x v="3"/>
    <x v="4"/>
    <s v="Margaret Peacock"/>
  </r>
  <r>
    <n v="10931"/>
    <n v="57"/>
    <n v="19.5"/>
    <n v="30"/>
    <n v="0"/>
    <x v="1003"/>
    <x v="2"/>
    <x v="8"/>
    <x v="1"/>
    <x v="4"/>
    <s v="Margaret Peacock"/>
  </r>
  <r>
    <n v="10932"/>
    <n v="16"/>
    <n v="17.45"/>
    <n v="30"/>
    <n v="0.1"/>
    <x v="734"/>
    <x v="2"/>
    <x v="8"/>
    <x v="5"/>
    <x v="0"/>
    <s v="Laura Callahan"/>
  </r>
  <r>
    <n v="10932"/>
    <n v="62"/>
    <n v="49.3"/>
    <n v="14"/>
    <n v="0.1"/>
    <x v="1039"/>
    <x v="2"/>
    <x v="8"/>
    <x v="5"/>
    <x v="0"/>
    <s v="Laura Callahan"/>
  </r>
  <r>
    <n v="10932"/>
    <n v="72"/>
    <n v="34.799999999999997"/>
    <n v="16"/>
    <n v="0"/>
    <x v="1040"/>
    <x v="2"/>
    <x v="8"/>
    <x v="0"/>
    <x v="0"/>
    <s v="Laura Callahan"/>
  </r>
  <r>
    <n v="10932"/>
    <n v="75"/>
    <n v="7.75"/>
    <n v="20"/>
    <n v="0.1"/>
    <x v="868"/>
    <x v="2"/>
    <x v="8"/>
    <x v="6"/>
    <x v="0"/>
    <s v="Laura Callahan"/>
  </r>
  <r>
    <n v="10933"/>
    <n v="53"/>
    <n v="32.799999999999997"/>
    <n v="2"/>
    <n v="0"/>
    <x v="1041"/>
    <x v="2"/>
    <x v="8"/>
    <x v="7"/>
    <x v="13"/>
    <s v="Michael Suyama"/>
  </r>
  <r>
    <n v="10933"/>
    <n v="61"/>
    <n v="28.5"/>
    <n v="30"/>
    <n v="0"/>
    <x v="822"/>
    <x v="2"/>
    <x v="8"/>
    <x v="4"/>
    <x v="13"/>
    <s v="Michael Suyama"/>
  </r>
  <r>
    <n v="10934"/>
    <n v="6"/>
    <n v="25"/>
    <n v="20"/>
    <n v="0"/>
    <x v="485"/>
    <x v="2"/>
    <x v="8"/>
    <x v="4"/>
    <x v="1"/>
    <s v="Janet Leverling"/>
  </r>
  <r>
    <n v="10935"/>
    <n v="1"/>
    <n v="18"/>
    <n v="21"/>
    <n v="0"/>
    <x v="827"/>
    <x v="2"/>
    <x v="8"/>
    <x v="6"/>
    <x v="2"/>
    <s v="Margaret Peacock"/>
  </r>
  <r>
    <n v="10935"/>
    <n v="18"/>
    <n v="62.5"/>
    <n v="4"/>
    <n v="0.25"/>
    <x v="680"/>
    <x v="2"/>
    <x v="8"/>
    <x v="3"/>
    <x v="2"/>
    <s v="Margaret Peacock"/>
  </r>
  <r>
    <n v="10935"/>
    <n v="23"/>
    <n v="9"/>
    <n v="8"/>
    <n v="0.25"/>
    <x v="303"/>
    <x v="2"/>
    <x v="8"/>
    <x v="1"/>
    <x v="2"/>
    <s v="Margaret Peacock"/>
  </r>
  <r>
    <n v="10936"/>
    <n v="36"/>
    <n v="19"/>
    <n v="30"/>
    <n v="0.2"/>
    <x v="58"/>
    <x v="2"/>
    <x v="8"/>
    <x v="3"/>
    <x v="8"/>
    <s v="Janet Leverling"/>
  </r>
  <r>
    <n v="10937"/>
    <n v="28"/>
    <n v="45.6"/>
    <n v="8"/>
    <n v="0"/>
    <x v="355"/>
    <x v="2"/>
    <x v="8"/>
    <x v="2"/>
    <x v="20"/>
    <s v="Robert King"/>
  </r>
  <r>
    <n v="10937"/>
    <n v="34"/>
    <n v="14"/>
    <n v="20"/>
    <n v="0"/>
    <x v="521"/>
    <x v="2"/>
    <x v="8"/>
    <x v="6"/>
    <x v="20"/>
    <s v="Robert King"/>
  </r>
  <r>
    <n v="10938"/>
    <n v="13"/>
    <n v="6"/>
    <n v="20"/>
    <n v="0.25"/>
    <x v="239"/>
    <x v="2"/>
    <x v="8"/>
    <x v="3"/>
    <x v="1"/>
    <s v="Janet Leverling"/>
  </r>
  <r>
    <n v="10938"/>
    <n v="43"/>
    <n v="46"/>
    <n v="24"/>
    <n v="0.25"/>
    <x v="1042"/>
    <x v="2"/>
    <x v="8"/>
    <x v="6"/>
    <x v="1"/>
    <s v="Janet Leverling"/>
  </r>
  <r>
    <n v="10938"/>
    <n v="60"/>
    <n v="34"/>
    <n v="49"/>
    <n v="0.25"/>
    <x v="1043"/>
    <x v="2"/>
    <x v="8"/>
    <x v="0"/>
    <x v="1"/>
    <s v="Janet Leverling"/>
  </r>
  <r>
    <n v="10938"/>
    <n v="71"/>
    <n v="21.5"/>
    <n v="35"/>
    <n v="0.25"/>
    <x v="1044"/>
    <x v="2"/>
    <x v="8"/>
    <x v="0"/>
    <x v="1"/>
    <s v="Janet Leverling"/>
  </r>
  <r>
    <n v="10939"/>
    <n v="2"/>
    <n v="19"/>
    <n v="10"/>
    <n v="0.15"/>
    <x v="1045"/>
    <x v="2"/>
    <x v="8"/>
    <x v="6"/>
    <x v="11"/>
    <s v="Andrew Fuller"/>
  </r>
  <r>
    <n v="10939"/>
    <n v="67"/>
    <n v="14"/>
    <n v="40"/>
    <n v="0.15"/>
    <x v="1046"/>
    <x v="2"/>
    <x v="8"/>
    <x v="6"/>
    <x v="11"/>
    <s v="Andrew Fuller"/>
  </r>
  <r>
    <n v="10940"/>
    <n v="7"/>
    <n v="30"/>
    <n v="8"/>
    <n v="0"/>
    <x v="49"/>
    <x v="2"/>
    <x v="8"/>
    <x v="2"/>
    <x v="0"/>
    <s v="Laura Callahan"/>
  </r>
  <r>
    <n v="10940"/>
    <n v="13"/>
    <n v="6"/>
    <n v="20"/>
    <n v="0"/>
    <x v="178"/>
    <x v="2"/>
    <x v="8"/>
    <x v="3"/>
    <x v="0"/>
    <s v="Laura Callahan"/>
  </r>
  <r>
    <n v="10941"/>
    <n v="31"/>
    <n v="12.5"/>
    <n v="44"/>
    <n v="0.25"/>
    <x v="1047"/>
    <x v="2"/>
    <x v="8"/>
    <x v="0"/>
    <x v="8"/>
    <s v="Robert King"/>
  </r>
  <r>
    <n v="10941"/>
    <n v="62"/>
    <n v="49.3"/>
    <n v="30"/>
    <n v="0.25"/>
    <x v="1048"/>
    <x v="2"/>
    <x v="8"/>
    <x v="5"/>
    <x v="8"/>
    <s v="Robert King"/>
  </r>
  <r>
    <n v="10941"/>
    <n v="68"/>
    <n v="12.5"/>
    <n v="80"/>
    <n v="0.25"/>
    <x v="763"/>
    <x v="2"/>
    <x v="8"/>
    <x v="5"/>
    <x v="8"/>
    <s v="Robert King"/>
  </r>
  <r>
    <n v="10941"/>
    <n v="72"/>
    <n v="34.799999999999997"/>
    <n v="50"/>
    <n v="0"/>
    <x v="1049"/>
    <x v="2"/>
    <x v="8"/>
    <x v="0"/>
    <x v="8"/>
    <s v="Robert King"/>
  </r>
  <r>
    <n v="10942"/>
    <n v="49"/>
    <n v="20"/>
    <n v="28"/>
    <n v="0"/>
    <x v="255"/>
    <x v="2"/>
    <x v="8"/>
    <x v="5"/>
    <x v="11"/>
    <s v="Anne Dodsworth"/>
  </r>
  <r>
    <n v="10943"/>
    <n v="13"/>
    <n v="6"/>
    <n v="15"/>
    <n v="0"/>
    <x v="239"/>
    <x v="2"/>
    <x v="8"/>
    <x v="3"/>
    <x v="13"/>
    <s v="Margaret Peacock"/>
  </r>
  <r>
    <n v="10943"/>
    <n v="22"/>
    <n v="21"/>
    <n v="21"/>
    <n v="0"/>
    <x v="1050"/>
    <x v="2"/>
    <x v="8"/>
    <x v="1"/>
    <x v="13"/>
    <s v="Margaret Peacock"/>
  </r>
  <r>
    <n v="10943"/>
    <n v="46"/>
    <n v="12"/>
    <n v="15"/>
    <n v="0"/>
    <x v="229"/>
    <x v="2"/>
    <x v="8"/>
    <x v="3"/>
    <x v="13"/>
    <s v="Margaret Peacock"/>
  </r>
  <r>
    <n v="10944"/>
    <n v="11"/>
    <n v="21"/>
    <n v="5"/>
    <n v="0.25"/>
    <x v="1051"/>
    <x v="2"/>
    <x v="8"/>
    <x v="0"/>
    <x v="16"/>
    <s v="Michael Suyama"/>
  </r>
  <r>
    <n v="10944"/>
    <n v="44"/>
    <n v="19.45"/>
    <n v="18"/>
    <n v="0.25"/>
    <x v="1052"/>
    <x v="2"/>
    <x v="8"/>
    <x v="4"/>
    <x v="16"/>
    <s v="Michael Suyama"/>
  </r>
  <r>
    <n v="10944"/>
    <n v="56"/>
    <n v="38"/>
    <n v="18"/>
    <n v="0"/>
    <x v="999"/>
    <x v="2"/>
    <x v="8"/>
    <x v="1"/>
    <x v="16"/>
    <s v="Michael Suyama"/>
  </r>
  <r>
    <n v="10945"/>
    <n v="13"/>
    <n v="6"/>
    <n v="20"/>
    <n v="0"/>
    <x v="178"/>
    <x v="2"/>
    <x v="8"/>
    <x v="3"/>
    <x v="1"/>
    <s v="Margaret Peacock"/>
  </r>
  <r>
    <n v="10945"/>
    <n v="31"/>
    <n v="12.5"/>
    <n v="10"/>
    <n v="0"/>
    <x v="753"/>
    <x v="2"/>
    <x v="8"/>
    <x v="0"/>
    <x v="1"/>
    <s v="Margaret Peacock"/>
  </r>
  <r>
    <n v="10946"/>
    <n v="10"/>
    <n v="31"/>
    <n v="25"/>
    <n v="0"/>
    <x v="742"/>
    <x v="2"/>
    <x v="8"/>
    <x v="3"/>
    <x v="17"/>
    <s v="Nancy Davolio"/>
  </r>
  <r>
    <n v="10946"/>
    <n v="24"/>
    <n v="4.5"/>
    <n v="25"/>
    <n v="0"/>
    <x v="921"/>
    <x v="2"/>
    <x v="8"/>
    <x v="6"/>
    <x v="17"/>
    <s v="Nancy Davolio"/>
  </r>
  <r>
    <n v="10946"/>
    <n v="77"/>
    <n v="13"/>
    <n v="40"/>
    <n v="0"/>
    <x v="372"/>
    <x v="2"/>
    <x v="8"/>
    <x v="4"/>
    <x v="17"/>
    <s v="Nancy Davolio"/>
  </r>
  <r>
    <n v="10947"/>
    <n v="59"/>
    <n v="55"/>
    <n v="4"/>
    <n v="0"/>
    <x v="522"/>
    <x v="2"/>
    <x v="8"/>
    <x v="0"/>
    <x v="13"/>
    <s v="Janet Leverling"/>
  </r>
  <r>
    <n v="10948"/>
    <n v="50"/>
    <n v="16.25"/>
    <n v="9"/>
    <n v="0"/>
    <x v="1053"/>
    <x v="2"/>
    <x v="8"/>
    <x v="5"/>
    <x v="12"/>
    <s v="Janet Leverling"/>
  </r>
  <r>
    <n v="10948"/>
    <n v="51"/>
    <n v="53"/>
    <n v="40"/>
    <n v="0"/>
    <x v="1054"/>
    <x v="2"/>
    <x v="8"/>
    <x v="2"/>
    <x v="12"/>
    <s v="Janet Leverling"/>
  </r>
  <r>
    <n v="10948"/>
    <n v="55"/>
    <n v="24"/>
    <n v="4"/>
    <n v="0"/>
    <x v="297"/>
    <x v="2"/>
    <x v="8"/>
    <x v="7"/>
    <x v="12"/>
    <s v="Janet Leverling"/>
  </r>
  <r>
    <n v="10949"/>
    <n v="6"/>
    <n v="25"/>
    <n v="12"/>
    <n v="0"/>
    <x v="79"/>
    <x v="2"/>
    <x v="8"/>
    <x v="4"/>
    <x v="16"/>
    <s v="Andrew Fuller"/>
  </r>
  <r>
    <n v="10949"/>
    <n v="10"/>
    <n v="31"/>
    <n v="30"/>
    <n v="0"/>
    <x v="1055"/>
    <x v="2"/>
    <x v="8"/>
    <x v="3"/>
    <x v="16"/>
    <s v="Andrew Fuller"/>
  </r>
  <r>
    <n v="10949"/>
    <n v="17"/>
    <n v="39"/>
    <n v="6"/>
    <n v="0"/>
    <x v="633"/>
    <x v="2"/>
    <x v="8"/>
    <x v="7"/>
    <x v="16"/>
    <s v="Andrew Fuller"/>
  </r>
  <r>
    <n v="10949"/>
    <n v="62"/>
    <n v="49.3"/>
    <n v="60"/>
    <n v="0"/>
    <x v="1056"/>
    <x v="2"/>
    <x v="8"/>
    <x v="5"/>
    <x v="16"/>
    <s v="Andrew Fuller"/>
  </r>
  <r>
    <n v="10950"/>
    <n v="4"/>
    <n v="22"/>
    <n v="5"/>
    <n v="0"/>
    <x v="548"/>
    <x v="2"/>
    <x v="8"/>
    <x v="4"/>
    <x v="11"/>
    <s v="Nancy Davolio"/>
  </r>
  <r>
    <n v="10951"/>
    <n v="33"/>
    <n v="2.5"/>
    <n v="15"/>
    <n v="0.05"/>
    <x v="838"/>
    <x v="2"/>
    <x v="8"/>
    <x v="0"/>
    <x v="4"/>
    <s v="Anne Dodsworth"/>
  </r>
  <r>
    <n v="10951"/>
    <n v="41"/>
    <n v="9.65"/>
    <n v="6"/>
    <n v="0.05"/>
    <x v="1057"/>
    <x v="2"/>
    <x v="8"/>
    <x v="3"/>
    <x v="4"/>
    <s v="Anne Dodsworth"/>
  </r>
  <r>
    <n v="10951"/>
    <n v="75"/>
    <n v="7.75"/>
    <n v="50"/>
    <n v="0.05"/>
    <x v="648"/>
    <x v="2"/>
    <x v="8"/>
    <x v="6"/>
    <x v="4"/>
    <s v="Anne Dodsworth"/>
  </r>
  <r>
    <n v="10952"/>
    <n v="6"/>
    <n v="25"/>
    <n v="16"/>
    <n v="0.05"/>
    <x v="21"/>
    <x v="2"/>
    <x v="8"/>
    <x v="4"/>
    <x v="1"/>
    <s v="Nancy Davolio"/>
  </r>
  <r>
    <n v="10952"/>
    <n v="28"/>
    <n v="45.6"/>
    <n v="2"/>
    <n v="0"/>
    <x v="307"/>
    <x v="2"/>
    <x v="8"/>
    <x v="2"/>
    <x v="1"/>
    <s v="Nancy Davolio"/>
  </r>
  <r>
    <n v="10953"/>
    <n v="20"/>
    <n v="81"/>
    <n v="50"/>
    <n v="0.05"/>
    <x v="1058"/>
    <x v="2"/>
    <x v="8"/>
    <x v="5"/>
    <x v="13"/>
    <s v="Anne Dodsworth"/>
  </r>
  <r>
    <n v="10953"/>
    <n v="31"/>
    <n v="12.5"/>
    <n v="50"/>
    <n v="0.05"/>
    <x v="641"/>
    <x v="2"/>
    <x v="8"/>
    <x v="0"/>
    <x v="13"/>
    <s v="Anne Dodsworth"/>
  </r>
  <r>
    <n v="10954"/>
    <n v="16"/>
    <n v="17.45"/>
    <n v="28"/>
    <n v="0.15"/>
    <x v="1059"/>
    <x v="2"/>
    <x v="8"/>
    <x v="5"/>
    <x v="5"/>
    <s v="Steven Buchanan"/>
  </r>
  <r>
    <n v="10954"/>
    <n v="31"/>
    <n v="12.5"/>
    <n v="25"/>
    <n v="0.15"/>
    <x v="1060"/>
    <x v="2"/>
    <x v="8"/>
    <x v="0"/>
    <x v="5"/>
    <s v="Steven Buchanan"/>
  </r>
  <r>
    <n v="10954"/>
    <n v="45"/>
    <n v="9.5"/>
    <n v="30"/>
    <n v="0"/>
    <x v="314"/>
    <x v="2"/>
    <x v="8"/>
    <x v="3"/>
    <x v="5"/>
    <s v="Steven Buchanan"/>
  </r>
  <r>
    <n v="10954"/>
    <n v="60"/>
    <n v="34"/>
    <n v="24"/>
    <n v="0.15"/>
    <x v="456"/>
    <x v="2"/>
    <x v="8"/>
    <x v="0"/>
    <x v="5"/>
    <s v="Steven Buchanan"/>
  </r>
  <r>
    <n v="10955"/>
    <n v="75"/>
    <n v="7.75"/>
    <n v="12"/>
    <n v="0.2"/>
    <x v="260"/>
    <x v="2"/>
    <x v="8"/>
    <x v="6"/>
    <x v="9"/>
    <s v="Laura Callahan"/>
  </r>
  <r>
    <n v="10956"/>
    <n v="21"/>
    <n v="10"/>
    <n v="12"/>
    <n v="0"/>
    <x v="178"/>
    <x v="2"/>
    <x v="8"/>
    <x v="5"/>
    <x v="1"/>
    <s v="Michael Suyama"/>
  </r>
  <r>
    <n v="10956"/>
    <n v="47"/>
    <n v="9.5"/>
    <n v="14"/>
    <n v="0"/>
    <x v="970"/>
    <x v="2"/>
    <x v="8"/>
    <x v="5"/>
    <x v="1"/>
    <s v="Michael Suyama"/>
  </r>
  <r>
    <n v="10956"/>
    <n v="51"/>
    <n v="53"/>
    <n v="8"/>
    <n v="0"/>
    <x v="1061"/>
    <x v="2"/>
    <x v="8"/>
    <x v="2"/>
    <x v="1"/>
    <s v="Michael Suyama"/>
  </r>
  <r>
    <n v="10957"/>
    <n v="30"/>
    <n v="25.89"/>
    <n v="30"/>
    <n v="0"/>
    <x v="729"/>
    <x v="2"/>
    <x v="8"/>
    <x v="3"/>
    <x v="5"/>
    <s v="Laura Callahan"/>
  </r>
  <r>
    <n v="10957"/>
    <n v="35"/>
    <n v="18"/>
    <n v="40"/>
    <n v="0"/>
    <x v="448"/>
    <x v="2"/>
    <x v="8"/>
    <x v="6"/>
    <x v="5"/>
    <s v="Laura Callahan"/>
  </r>
  <r>
    <n v="10957"/>
    <n v="64"/>
    <n v="33.25"/>
    <n v="8"/>
    <n v="0"/>
    <x v="1062"/>
    <x v="2"/>
    <x v="8"/>
    <x v="1"/>
    <x v="5"/>
    <s v="Laura Callahan"/>
  </r>
  <r>
    <n v="10958"/>
    <n v="5"/>
    <n v="21.35"/>
    <n v="20"/>
    <n v="0"/>
    <x v="1063"/>
    <x v="2"/>
    <x v="8"/>
    <x v="4"/>
    <x v="20"/>
    <s v="Robert King"/>
  </r>
  <r>
    <n v="10958"/>
    <n v="7"/>
    <n v="30"/>
    <n v="6"/>
    <n v="0"/>
    <x v="229"/>
    <x v="2"/>
    <x v="8"/>
    <x v="2"/>
    <x v="20"/>
    <s v="Robert King"/>
  </r>
  <r>
    <n v="10958"/>
    <n v="72"/>
    <n v="34.799999999999997"/>
    <n v="5"/>
    <n v="0"/>
    <x v="2"/>
    <x v="2"/>
    <x v="8"/>
    <x v="0"/>
    <x v="20"/>
    <s v="Robert King"/>
  </r>
  <r>
    <n v="10959"/>
    <n v="75"/>
    <n v="7.75"/>
    <n v="20"/>
    <n v="0.15"/>
    <x v="1064"/>
    <x v="2"/>
    <x v="8"/>
    <x v="6"/>
    <x v="2"/>
    <s v="Michael Suyama"/>
  </r>
  <r>
    <n v="10960"/>
    <n v="24"/>
    <n v="4.5"/>
    <n v="10"/>
    <n v="0.25"/>
    <x v="1016"/>
    <x v="2"/>
    <x v="8"/>
    <x v="6"/>
    <x v="5"/>
    <s v="Janet Leverling"/>
  </r>
  <r>
    <n v="10960"/>
    <n v="41"/>
    <n v="9.65"/>
    <n v="24"/>
    <n v="0"/>
    <x v="743"/>
    <x v="2"/>
    <x v="8"/>
    <x v="3"/>
    <x v="5"/>
    <s v="Janet Leverling"/>
  </r>
  <r>
    <n v="10961"/>
    <n v="52"/>
    <n v="7"/>
    <n v="6"/>
    <n v="0.05"/>
    <x v="1065"/>
    <x v="2"/>
    <x v="8"/>
    <x v="1"/>
    <x v="2"/>
    <s v="Laura Callahan"/>
  </r>
  <r>
    <n v="10961"/>
    <n v="76"/>
    <n v="18"/>
    <n v="60"/>
    <n v="0"/>
    <x v="854"/>
    <x v="2"/>
    <x v="8"/>
    <x v="6"/>
    <x v="2"/>
    <s v="Laura Callahan"/>
  </r>
  <r>
    <n v="10962"/>
    <n v="7"/>
    <n v="30"/>
    <n v="45"/>
    <n v="0"/>
    <x v="667"/>
    <x v="2"/>
    <x v="8"/>
    <x v="2"/>
    <x v="1"/>
    <s v="Laura Callahan"/>
  </r>
  <r>
    <n v="10962"/>
    <n v="13"/>
    <n v="6"/>
    <n v="77"/>
    <n v="0"/>
    <x v="958"/>
    <x v="2"/>
    <x v="8"/>
    <x v="3"/>
    <x v="1"/>
    <s v="Laura Callahan"/>
  </r>
  <r>
    <n v="10962"/>
    <n v="53"/>
    <n v="32.799999999999997"/>
    <n v="20"/>
    <n v="0"/>
    <x v="936"/>
    <x v="2"/>
    <x v="8"/>
    <x v="7"/>
    <x v="1"/>
    <s v="Laura Callahan"/>
  </r>
  <r>
    <n v="10962"/>
    <n v="69"/>
    <n v="36"/>
    <n v="9"/>
    <n v="0"/>
    <x v="736"/>
    <x v="2"/>
    <x v="8"/>
    <x v="0"/>
    <x v="1"/>
    <s v="Laura Callahan"/>
  </r>
  <r>
    <n v="10962"/>
    <n v="76"/>
    <n v="18"/>
    <n v="44"/>
    <n v="0"/>
    <x v="1066"/>
    <x v="2"/>
    <x v="8"/>
    <x v="6"/>
    <x v="1"/>
    <s v="Laura Callahan"/>
  </r>
  <r>
    <n v="10963"/>
    <n v="60"/>
    <n v="34"/>
    <n v="2"/>
    <n v="0.15"/>
    <x v="1067"/>
    <x v="2"/>
    <x v="8"/>
    <x v="0"/>
    <x v="15"/>
    <s v="Anne Dodsworth"/>
  </r>
  <r>
    <n v="10964"/>
    <n v="18"/>
    <n v="62.5"/>
    <n v="6"/>
    <n v="0"/>
    <x v="559"/>
    <x v="2"/>
    <x v="8"/>
    <x v="3"/>
    <x v="0"/>
    <s v="Janet Leverling"/>
  </r>
  <r>
    <n v="10964"/>
    <n v="38"/>
    <n v="263.5"/>
    <n v="5"/>
    <n v="0"/>
    <x v="885"/>
    <x v="2"/>
    <x v="8"/>
    <x v="6"/>
    <x v="0"/>
    <s v="Janet Leverling"/>
  </r>
  <r>
    <n v="10964"/>
    <n v="69"/>
    <n v="36"/>
    <n v="10"/>
    <n v="0"/>
    <x v="40"/>
    <x v="2"/>
    <x v="8"/>
    <x v="0"/>
    <x v="0"/>
    <s v="Janet Leverling"/>
  </r>
  <r>
    <n v="10965"/>
    <n v="51"/>
    <n v="53"/>
    <n v="16"/>
    <n v="0"/>
    <x v="259"/>
    <x v="2"/>
    <x v="8"/>
    <x v="2"/>
    <x v="8"/>
    <s v="Michael Suyama"/>
  </r>
  <r>
    <n v="10966"/>
    <n v="37"/>
    <n v="26"/>
    <n v="8"/>
    <n v="0"/>
    <x v="337"/>
    <x v="2"/>
    <x v="8"/>
    <x v="3"/>
    <x v="4"/>
    <s v="Margaret Peacock"/>
  </r>
  <r>
    <n v="10966"/>
    <n v="56"/>
    <n v="38"/>
    <n v="12"/>
    <n v="0.15"/>
    <x v="757"/>
    <x v="2"/>
    <x v="8"/>
    <x v="1"/>
    <x v="4"/>
    <s v="Margaret Peacock"/>
  </r>
  <r>
    <n v="10966"/>
    <n v="62"/>
    <n v="49.3"/>
    <n v="12"/>
    <n v="0.15"/>
    <x v="1068"/>
    <x v="2"/>
    <x v="8"/>
    <x v="5"/>
    <x v="4"/>
    <s v="Margaret Peacock"/>
  </r>
  <r>
    <n v="10967"/>
    <n v="19"/>
    <n v="9.1999999999999993"/>
    <n v="12"/>
    <n v="0"/>
    <x v="435"/>
    <x v="2"/>
    <x v="8"/>
    <x v="5"/>
    <x v="1"/>
    <s v="Andrew Fuller"/>
  </r>
  <r>
    <n v="10967"/>
    <n v="49"/>
    <n v="20"/>
    <n v="40"/>
    <n v="0"/>
    <x v="939"/>
    <x v="2"/>
    <x v="8"/>
    <x v="5"/>
    <x v="1"/>
    <s v="Andrew Fuller"/>
  </r>
  <r>
    <n v="10968"/>
    <n v="12"/>
    <n v="38"/>
    <n v="30"/>
    <n v="0"/>
    <x v="581"/>
    <x v="2"/>
    <x v="8"/>
    <x v="0"/>
    <x v="6"/>
    <s v="Nancy Davolio"/>
  </r>
  <r>
    <n v="10968"/>
    <n v="24"/>
    <n v="4.5"/>
    <n v="30"/>
    <n v="0"/>
    <x v="135"/>
    <x v="2"/>
    <x v="8"/>
    <x v="6"/>
    <x v="6"/>
    <s v="Nancy Davolio"/>
  </r>
  <r>
    <n v="10968"/>
    <n v="64"/>
    <n v="33.25"/>
    <n v="4"/>
    <n v="0"/>
    <x v="970"/>
    <x v="2"/>
    <x v="8"/>
    <x v="1"/>
    <x v="6"/>
    <s v="Nancy Davolio"/>
  </r>
  <r>
    <n v="10969"/>
    <n v="46"/>
    <n v="12"/>
    <n v="9"/>
    <n v="0"/>
    <x v="446"/>
    <x v="2"/>
    <x v="8"/>
    <x v="3"/>
    <x v="2"/>
    <s v="Nancy Davolio"/>
  </r>
  <r>
    <n v="10970"/>
    <n v="52"/>
    <n v="7"/>
    <n v="40"/>
    <n v="0.2"/>
    <x v="102"/>
    <x v="2"/>
    <x v="8"/>
    <x v="1"/>
    <x v="12"/>
    <s v="Anne Dodsworth"/>
  </r>
  <r>
    <n v="10971"/>
    <n v="29"/>
    <n v="123.79"/>
    <n v="14"/>
    <n v="0"/>
    <x v="1069"/>
    <x v="2"/>
    <x v="8"/>
    <x v="7"/>
    <x v="0"/>
    <s v="Andrew Fuller"/>
  </r>
  <r>
    <n v="10972"/>
    <n v="17"/>
    <n v="39"/>
    <n v="6"/>
    <n v="0"/>
    <x v="633"/>
    <x v="2"/>
    <x v="8"/>
    <x v="7"/>
    <x v="0"/>
    <s v="Margaret Peacock"/>
  </r>
  <r>
    <n v="10972"/>
    <n v="33"/>
    <n v="2.5"/>
    <n v="7"/>
    <n v="0"/>
    <x v="1070"/>
    <x v="2"/>
    <x v="8"/>
    <x v="0"/>
    <x v="0"/>
    <s v="Margaret Peacock"/>
  </r>
  <r>
    <n v="10973"/>
    <n v="26"/>
    <n v="31.23"/>
    <n v="5"/>
    <n v="0"/>
    <x v="1071"/>
    <x v="2"/>
    <x v="8"/>
    <x v="5"/>
    <x v="0"/>
    <s v="Michael Suyama"/>
  </r>
  <r>
    <n v="10973"/>
    <n v="41"/>
    <n v="9.65"/>
    <n v="6"/>
    <n v="0"/>
    <x v="1072"/>
    <x v="2"/>
    <x v="8"/>
    <x v="3"/>
    <x v="0"/>
    <s v="Michael Suyama"/>
  </r>
  <r>
    <n v="10973"/>
    <n v="75"/>
    <n v="7.75"/>
    <n v="10"/>
    <n v="0"/>
    <x v="888"/>
    <x v="2"/>
    <x v="8"/>
    <x v="6"/>
    <x v="0"/>
    <s v="Michael Suyama"/>
  </r>
  <r>
    <n v="10974"/>
    <n v="63"/>
    <n v="43.9"/>
    <n v="10"/>
    <n v="0"/>
    <x v="977"/>
    <x v="2"/>
    <x v="8"/>
    <x v="4"/>
    <x v="8"/>
    <s v="Janet Leverling"/>
  </r>
  <r>
    <n v="10975"/>
    <n v="8"/>
    <n v="40"/>
    <n v="16"/>
    <n v="0"/>
    <x v="16"/>
    <x v="2"/>
    <x v="8"/>
    <x v="4"/>
    <x v="16"/>
    <s v="Nancy Davolio"/>
  </r>
  <r>
    <n v="10975"/>
    <n v="75"/>
    <n v="7.75"/>
    <n v="10"/>
    <n v="0"/>
    <x v="888"/>
    <x v="2"/>
    <x v="8"/>
    <x v="6"/>
    <x v="16"/>
    <s v="Nancy Davolio"/>
  </r>
  <r>
    <n v="10976"/>
    <n v="28"/>
    <n v="45.6"/>
    <n v="20"/>
    <n v="0"/>
    <x v="353"/>
    <x v="2"/>
    <x v="8"/>
    <x v="2"/>
    <x v="5"/>
    <s v="Nancy Davolio"/>
  </r>
  <r>
    <n v="10977"/>
    <n v="39"/>
    <n v="18"/>
    <n v="30"/>
    <n v="0"/>
    <x v="311"/>
    <x v="2"/>
    <x v="8"/>
    <x v="6"/>
    <x v="9"/>
    <s v="Laura Callahan"/>
  </r>
  <r>
    <n v="10977"/>
    <n v="47"/>
    <n v="9.5"/>
    <n v="30"/>
    <n v="0"/>
    <x v="314"/>
    <x v="2"/>
    <x v="8"/>
    <x v="5"/>
    <x v="9"/>
    <s v="Laura Callahan"/>
  </r>
  <r>
    <n v="10977"/>
    <n v="51"/>
    <n v="53"/>
    <n v="10"/>
    <n v="0"/>
    <x v="1073"/>
    <x v="2"/>
    <x v="8"/>
    <x v="2"/>
    <x v="9"/>
    <s v="Laura Callahan"/>
  </r>
  <r>
    <n v="10977"/>
    <n v="63"/>
    <n v="43.9"/>
    <n v="20"/>
    <n v="0"/>
    <x v="790"/>
    <x v="2"/>
    <x v="8"/>
    <x v="4"/>
    <x v="9"/>
    <s v="Laura Callahan"/>
  </r>
  <r>
    <n v="10978"/>
    <n v="8"/>
    <n v="40"/>
    <n v="20"/>
    <n v="0.15"/>
    <x v="693"/>
    <x v="2"/>
    <x v="8"/>
    <x v="4"/>
    <x v="3"/>
    <s v="Anne Dodsworth"/>
  </r>
  <r>
    <n v="10978"/>
    <n v="21"/>
    <n v="10"/>
    <n v="40"/>
    <n v="0.15"/>
    <x v="107"/>
    <x v="2"/>
    <x v="8"/>
    <x v="5"/>
    <x v="3"/>
    <s v="Anne Dodsworth"/>
  </r>
  <r>
    <n v="10978"/>
    <n v="40"/>
    <n v="18.399999999999999"/>
    <n v="10"/>
    <n v="0"/>
    <x v="1074"/>
    <x v="2"/>
    <x v="8"/>
    <x v="3"/>
    <x v="3"/>
    <s v="Anne Dodsworth"/>
  </r>
  <r>
    <n v="10978"/>
    <n v="44"/>
    <n v="19.45"/>
    <n v="6"/>
    <n v="0.15"/>
    <x v="1075"/>
    <x v="2"/>
    <x v="8"/>
    <x v="4"/>
    <x v="3"/>
    <s v="Anne Dodsworth"/>
  </r>
  <r>
    <n v="10979"/>
    <n v="7"/>
    <n v="30"/>
    <n v="18"/>
    <n v="0"/>
    <x v="311"/>
    <x v="2"/>
    <x v="8"/>
    <x v="2"/>
    <x v="6"/>
    <s v="Laura Callahan"/>
  </r>
  <r>
    <n v="10979"/>
    <n v="12"/>
    <n v="38"/>
    <n v="20"/>
    <n v="0"/>
    <x v="679"/>
    <x v="2"/>
    <x v="8"/>
    <x v="0"/>
    <x v="6"/>
    <s v="Laura Callahan"/>
  </r>
  <r>
    <n v="10979"/>
    <n v="24"/>
    <n v="4.5"/>
    <n v="80"/>
    <n v="0"/>
    <x v="40"/>
    <x v="2"/>
    <x v="8"/>
    <x v="6"/>
    <x v="6"/>
    <s v="Laura Callahan"/>
  </r>
  <r>
    <n v="10979"/>
    <n v="27"/>
    <n v="43.9"/>
    <n v="30"/>
    <n v="0"/>
    <x v="896"/>
    <x v="2"/>
    <x v="8"/>
    <x v="5"/>
    <x v="6"/>
    <s v="Laura Callahan"/>
  </r>
  <r>
    <n v="10979"/>
    <n v="31"/>
    <n v="12.5"/>
    <n v="24"/>
    <n v="0"/>
    <x v="79"/>
    <x v="2"/>
    <x v="8"/>
    <x v="0"/>
    <x v="6"/>
    <s v="Laura Callahan"/>
  </r>
  <r>
    <n v="10979"/>
    <n v="63"/>
    <n v="43.9"/>
    <n v="35"/>
    <n v="0"/>
    <x v="1076"/>
    <x v="2"/>
    <x v="8"/>
    <x v="4"/>
    <x v="6"/>
    <s v="Laura Callahan"/>
  </r>
  <r>
    <n v="10980"/>
    <n v="75"/>
    <n v="7.75"/>
    <n v="40"/>
    <n v="0.2"/>
    <x v="76"/>
    <x v="2"/>
    <x v="8"/>
    <x v="6"/>
    <x v="9"/>
    <s v="Margaret Peacock"/>
  </r>
  <r>
    <n v="10981"/>
    <n v="38"/>
    <n v="263.5"/>
    <n v="60"/>
    <n v="0"/>
    <x v="1077"/>
    <x v="2"/>
    <x v="8"/>
    <x v="6"/>
    <x v="2"/>
    <s v="Nancy Davolio"/>
  </r>
  <r>
    <n v="10982"/>
    <n v="7"/>
    <n v="30"/>
    <n v="20"/>
    <n v="0"/>
    <x v="113"/>
    <x v="2"/>
    <x v="8"/>
    <x v="2"/>
    <x v="16"/>
    <s v="Andrew Fuller"/>
  </r>
  <r>
    <n v="10982"/>
    <n v="43"/>
    <n v="46"/>
    <n v="9"/>
    <n v="0"/>
    <x v="941"/>
    <x v="2"/>
    <x v="8"/>
    <x v="6"/>
    <x v="16"/>
    <s v="Andrew Fuller"/>
  </r>
  <r>
    <n v="10983"/>
    <n v="13"/>
    <n v="6"/>
    <n v="84"/>
    <n v="0.15"/>
    <x v="1078"/>
    <x v="2"/>
    <x v="8"/>
    <x v="3"/>
    <x v="8"/>
    <s v="Andrew Fuller"/>
  </r>
  <r>
    <n v="10983"/>
    <n v="57"/>
    <n v="19.5"/>
    <n v="15"/>
    <n v="0"/>
    <x v="785"/>
    <x v="2"/>
    <x v="8"/>
    <x v="1"/>
    <x v="8"/>
    <s v="Andrew Fuller"/>
  </r>
  <r>
    <n v="10984"/>
    <n v="16"/>
    <n v="17.45"/>
    <n v="55"/>
    <n v="0"/>
    <x v="1079"/>
    <x v="2"/>
    <x v="8"/>
    <x v="5"/>
    <x v="8"/>
    <s v="Nancy Davolio"/>
  </r>
  <r>
    <n v="10984"/>
    <n v="24"/>
    <n v="4.5"/>
    <n v="20"/>
    <n v="0"/>
    <x v="239"/>
    <x v="2"/>
    <x v="8"/>
    <x v="6"/>
    <x v="8"/>
    <s v="Nancy Davolio"/>
  </r>
  <r>
    <n v="10984"/>
    <n v="36"/>
    <n v="19"/>
    <n v="40"/>
    <n v="0"/>
    <x v="679"/>
    <x v="2"/>
    <x v="8"/>
    <x v="3"/>
    <x v="8"/>
    <s v="Nancy Davolio"/>
  </r>
  <r>
    <n v="10985"/>
    <n v="16"/>
    <n v="17.45"/>
    <n v="36"/>
    <n v="0.1"/>
    <x v="1080"/>
    <x v="2"/>
    <x v="8"/>
    <x v="5"/>
    <x v="14"/>
    <s v="Andrew Fuller"/>
  </r>
  <r>
    <n v="10985"/>
    <n v="18"/>
    <n v="62.5"/>
    <n v="8"/>
    <n v="0.1"/>
    <x v="295"/>
    <x v="2"/>
    <x v="8"/>
    <x v="3"/>
    <x v="14"/>
    <s v="Andrew Fuller"/>
  </r>
  <r>
    <n v="10985"/>
    <n v="32"/>
    <n v="32"/>
    <n v="35"/>
    <n v="0.1"/>
    <x v="661"/>
    <x v="2"/>
    <x v="8"/>
    <x v="0"/>
    <x v="14"/>
    <s v="Andrew Fuller"/>
  </r>
  <r>
    <n v="10986"/>
    <n v="11"/>
    <n v="21"/>
    <n v="30"/>
    <n v="0"/>
    <x v="698"/>
    <x v="2"/>
    <x v="8"/>
    <x v="0"/>
    <x v="20"/>
    <s v="Laura Callahan"/>
  </r>
  <r>
    <n v="10986"/>
    <n v="20"/>
    <n v="81"/>
    <n v="15"/>
    <n v="0"/>
    <x v="1081"/>
    <x v="2"/>
    <x v="8"/>
    <x v="5"/>
    <x v="20"/>
    <s v="Laura Callahan"/>
  </r>
  <r>
    <n v="10986"/>
    <n v="76"/>
    <n v="18"/>
    <n v="10"/>
    <n v="0"/>
    <x v="229"/>
    <x v="2"/>
    <x v="8"/>
    <x v="6"/>
    <x v="20"/>
    <s v="Laura Callahan"/>
  </r>
  <r>
    <n v="10986"/>
    <n v="77"/>
    <n v="13"/>
    <n v="15"/>
    <n v="0"/>
    <x v="298"/>
    <x v="2"/>
    <x v="8"/>
    <x v="4"/>
    <x v="20"/>
    <s v="Laura Callahan"/>
  </r>
  <r>
    <n v="10987"/>
    <n v="7"/>
    <n v="30"/>
    <n v="60"/>
    <n v="0"/>
    <x v="1082"/>
    <x v="2"/>
    <x v="8"/>
    <x v="2"/>
    <x v="13"/>
    <s v="Laura Callahan"/>
  </r>
  <r>
    <n v="10987"/>
    <n v="43"/>
    <n v="46"/>
    <n v="6"/>
    <n v="0"/>
    <x v="726"/>
    <x v="2"/>
    <x v="8"/>
    <x v="6"/>
    <x v="13"/>
    <s v="Laura Callahan"/>
  </r>
  <r>
    <n v="10987"/>
    <n v="72"/>
    <n v="34.799999999999997"/>
    <n v="20"/>
    <n v="0"/>
    <x v="1083"/>
    <x v="2"/>
    <x v="8"/>
    <x v="0"/>
    <x v="13"/>
    <s v="Laura Callahan"/>
  </r>
  <r>
    <n v="10988"/>
    <n v="7"/>
    <n v="30"/>
    <n v="60"/>
    <n v="0"/>
    <x v="1082"/>
    <x v="2"/>
    <x v="8"/>
    <x v="2"/>
    <x v="8"/>
    <s v="Janet Leverling"/>
  </r>
  <r>
    <n v="10988"/>
    <n v="62"/>
    <n v="49.3"/>
    <n v="40"/>
    <n v="0.1"/>
    <x v="1084"/>
    <x v="2"/>
    <x v="8"/>
    <x v="5"/>
    <x v="8"/>
    <s v="Janet Leverling"/>
  </r>
  <r>
    <n v="10989"/>
    <n v="6"/>
    <n v="25"/>
    <n v="40"/>
    <n v="0"/>
    <x v="1085"/>
    <x v="2"/>
    <x v="8"/>
    <x v="4"/>
    <x v="2"/>
    <s v="Andrew Fuller"/>
  </r>
  <r>
    <n v="10989"/>
    <n v="11"/>
    <n v="21"/>
    <n v="15"/>
    <n v="0"/>
    <x v="591"/>
    <x v="2"/>
    <x v="8"/>
    <x v="0"/>
    <x v="2"/>
    <s v="Andrew Fuller"/>
  </r>
  <r>
    <n v="10989"/>
    <n v="41"/>
    <n v="9.65"/>
    <n v="4"/>
    <n v="0"/>
    <x v="778"/>
    <x v="2"/>
    <x v="8"/>
    <x v="3"/>
    <x v="2"/>
    <s v="Andrew Fuller"/>
  </r>
  <r>
    <n v="10990"/>
    <n v="21"/>
    <n v="10"/>
    <n v="65"/>
    <n v="0"/>
    <x v="836"/>
    <x v="2"/>
    <x v="9"/>
    <x v="5"/>
    <x v="6"/>
    <s v="Andrew Fuller"/>
  </r>
  <r>
    <n v="10990"/>
    <n v="34"/>
    <n v="14"/>
    <n v="60"/>
    <n v="0.15"/>
    <x v="940"/>
    <x v="2"/>
    <x v="9"/>
    <x v="6"/>
    <x v="6"/>
    <s v="Andrew Fuller"/>
  </r>
  <r>
    <n v="10990"/>
    <n v="55"/>
    <n v="24"/>
    <n v="65"/>
    <n v="0.15"/>
    <x v="1086"/>
    <x v="2"/>
    <x v="9"/>
    <x v="7"/>
    <x v="6"/>
    <s v="Andrew Fuller"/>
  </r>
  <r>
    <n v="10990"/>
    <n v="61"/>
    <n v="28.5"/>
    <n v="66"/>
    <n v="0.15"/>
    <x v="1087"/>
    <x v="2"/>
    <x v="9"/>
    <x v="4"/>
    <x v="6"/>
    <s v="Andrew Fuller"/>
  </r>
  <r>
    <n v="10991"/>
    <n v="2"/>
    <n v="19"/>
    <n v="50"/>
    <n v="0.2"/>
    <x v="679"/>
    <x v="2"/>
    <x v="9"/>
    <x v="6"/>
    <x v="1"/>
    <s v="Nancy Davolio"/>
  </r>
  <r>
    <n v="10991"/>
    <n v="70"/>
    <n v="15"/>
    <n v="20"/>
    <n v="0.2"/>
    <x v="49"/>
    <x v="2"/>
    <x v="9"/>
    <x v="6"/>
    <x v="1"/>
    <s v="Nancy Davolio"/>
  </r>
  <r>
    <n v="10991"/>
    <n v="76"/>
    <n v="18"/>
    <n v="90"/>
    <n v="0.2"/>
    <x v="112"/>
    <x v="2"/>
    <x v="9"/>
    <x v="6"/>
    <x v="1"/>
    <s v="Nancy Davolio"/>
  </r>
  <r>
    <n v="10992"/>
    <n v="72"/>
    <n v="34.799999999999997"/>
    <n v="2"/>
    <n v="0"/>
    <x v="1088"/>
    <x v="2"/>
    <x v="9"/>
    <x v="0"/>
    <x v="8"/>
    <s v="Nancy Davolio"/>
  </r>
  <r>
    <n v="10993"/>
    <n v="29"/>
    <n v="123.79"/>
    <n v="50"/>
    <n v="0.25"/>
    <x v="1089"/>
    <x v="2"/>
    <x v="9"/>
    <x v="7"/>
    <x v="9"/>
    <s v="Robert King"/>
  </r>
  <r>
    <n v="10993"/>
    <n v="41"/>
    <n v="9.65"/>
    <n v="35"/>
    <n v="0.25"/>
    <x v="1090"/>
    <x v="2"/>
    <x v="9"/>
    <x v="3"/>
    <x v="9"/>
    <s v="Robert King"/>
  </r>
  <r>
    <n v="10994"/>
    <n v="59"/>
    <n v="55"/>
    <n v="18"/>
    <n v="0.05"/>
    <x v="1091"/>
    <x v="2"/>
    <x v="9"/>
    <x v="0"/>
    <x v="17"/>
    <s v="Andrew Fuller"/>
  </r>
  <r>
    <n v="10995"/>
    <n v="51"/>
    <n v="53"/>
    <n v="20"/>
    <n v="0"/>
    <x v="469"/>
    <x v="2"/>
    <x v="9"/>
    <x v="2"/>
    <x v="7"/>
    <s v="Nancy Davolio"/>
  </r>
  <r>
    <n v="10995"/>
    <n v="60"/>
    <n v="34"/>
    <n v="4"/>
    <n v="0"/>
    <x v="273"/>
    <x v="2"/>
    <x v="9"/>
    <x v="0"/>
    <x v="7"/>
    <s v="Nancy Davolio"/>
  </r>
  <r>
    <n v="10996"/>
    <n v="42"/>
    <n v="14"/>
    <n v="40"/>
    <n v="0"/>
    <x v="255"/>
    <x v="2"/>
    <x v="9"/>
    <x v="1"/>
    <x v="1"/>
    <s v="Margaret Peacock"/>
  </r>
  <r>
    <n v="10997"/>
    <n v="32"/>
    <n v="32"/>
    <n v="50"/>
    <n v="0"/>
    <x v="194"/>
    <x v="2"/>
    <x v="9"/>
    <x v="0"/>
    <x v="5"/>
    <s v="Laura Callahan"/>
  </r>
  <r>
    <n v="10997"/>
    <n v="46"/>
    <n v="12"/>
    <n v="20"/>
    <n v="0.25"/>
    <x v="229"/>
    <x v="2"/>
    <x v="9"/>
    <x v="3"/>
    <x v="5"/>
    <s v="Laura Callahan"/>
  </r>
  <r>
    <n v="10997"/>
    <n v="52"/>
    <n v="7"/>
    <n v="20"/>
    <n v="0.25"/>
    <x v="563"/>
    <x v="2"/>
    <x v="9"/>
    <x v="1"/>
    <x v="5"/>
    <s v="Laura Callahan"/>
  </r>
  <r>
    <n v="10998"/>
    <n v="24"/>
    <n v="4.5"/>
    <n v="12"/>
    <n v="0"/>
    <x v="303"/>
    <x v="2"/>
    <x v="9"/>
    <x v="6"/>
    <x v="18"/>
    <s v="Laura Callahan"/>
  </r>
  <r>
    <n v="10998"/>
    <n v="61"/>
    <n v="28.5"/>
    <n v="7"/>
    <n v="0"/>
    <x v="489"/>
    <x v="2"/>
    <x v="9"/>
    <x v="4"/>
    <x v="18"/>
    <s v="Laura Callahan"/>
  </r>
  <r>
    <n v="10998"/>
    <n v="74"/>
    <n v="10"/>
    <n v="20"/>
    <n v="0"/>
    <x v="14"/>
    <x v="2"/>
    <x v="9"/>
    <x v="2"/>
    <x v="18"/>
    <s v="Laura Callahan"/>
  </r>
  <r>
    <n v="10998"/>
    <n v="75"/>
    <n v="7.75"/>
    <n v="30"/>
    <n v="0"/>
    <x v="590"/>
    <x v="2"/>
    <x v="9"/>
    <x v="6"/>
    <x v="18"/>
    <s v="Laura Callahan"/>
  </r>
  <r>
    <n v="10999"/>
    <n v="41"/>
    <n v="9.65"/>
    <n v="20"/>
    <n v="0.05"/>
    <x v="900"/>
    <x v="2"/>
    <x v="9"/>
    <x v="3"/>
    <x v="1"/>
    <s v="Michael Suyama"/>
  </r>
  <r>
    <n v="10999"/>
    <n v="51"/>
    <n v="53"/>
    <n v="15"/>
    <n v="0.05"/>
    <x v="1092"/>
    <x v="2"/>
    <x v="9"/>
    <x v="2"/>
    <x v="1"/>
    <s v="Michael Suyama"/>
  </r>
  <r>
    <n v="10999"/>
    <n v="77"/>
    <n v="13"/>
    <n v="21"/>
    <n v="0.05"/>
    <x v="1093"/>
    <x v="2"/>
    <x v="9"/>
    <x v="4"/>
    <x v="1"/>
    <s v="Michael Suyama"/>
  </r>
  <r>
    <n v="11000"/>
    <n v="4"/>
    <n v="22"/>
    <n v="25"/>
    <n v="0.25"/>
    <x v="1047"/>
    <x v="2"/>
    <x v="9"/>
    <x v="4"/>
    <x v="8"/>
    <s v="Andrew Fuller"/>
  </r>
  <r>
    <n v="11000"/>
    <n v="24"/>
    <n v="4.5"/>
    <n v="30"/>
    <n v="0.25"/>
    <x v="614"/>
    <x v="2"/>
    <x v="9"/>
    <x v="6"/>
    <x v="8"/>
    <s v="Andrew Fuller"/>
  </r>
  <r>
    <n v="11000"/>
    <n v="77"/>
    <n v="13"/>
    <n v="30"/>
    <n v="0"/>
    <x v="240"/>
    <x v="2"/>
    <x v="9"/>
    <x v="4"/>
    <x v="8"/>
    <s v="Andrew Fuller"/>
  </r>
  <r>
    <n v="11001"/>
    <n v="7"/>
    <n v="30"/>
    <n v="60"/>
    <n v="0"/>
    <x v="1082"/>
    <x v="2"/>
    <x v="9"/>
    <x v="2"/>
    <x v="9"/>
    <s v="Andrew Fuller"/>
  </r>
  <r>
    <n v="11001"/>
    <n v="22"/>
    <n v="21"/>
    <n v="25"/>
    <n v="0"/>
    <x v="806"/>
    <x v="2"/>
    <x v="9"/>
    <x v="1"/>
    <x v="9"/>
    <s v="Andrew Fuller"/>
  </r>
  <r>
    <n v="11001"/>
    <n v="46"/>
    <n v="12"/>
    <n v="25"/>
    <n v="0"/>
    <x v="79"/>
    <x v="2"/>
    <x v="9"/>
    <x v="3"/>
    <x v="9"/>
    <s v="Andrew Fuller"/>
  </r>
  <r>
    <n v="11001"/>
    <n v="55"/>
    <n v="24"/>
    <n v="6"/>
    <n v="0"/>
    <x v="171"/>
    <x v="2"/>
    <x v="9"/>
    <x v="7"/>
    <x v="9"/>
    <s v="Andrew Fuller"/>
  </r>
  <r>
    <n v="11002"/>
    <n v="13"/>
    <n v="6"/>
    <n v="56"/>
    <n v="0"/>
    <x v="10"/>
    <x v="2"/>
    <x v="9"/>
    <x v="3"/>
    <x v="8"/>
    <s v="Margaret Peacock"/>
  </r>
  <r>
    <n v="11002"/>
    <n v="35"/>
    <n v="18"/>
    <n v="15"/>
    <n v="0.15"/>
    <x v="1094"/>
    <x v="2"/>
    <x v="9"/>
    <x v="6"/>
    <x v="8"/>
    <s v="Margaret Peacock"/>
  </r>
  <r>
    <n v="11002"/>
    <n v="42"/>
    <n v="14"/>
    <n v="24"/>
    <n v="0.15"/>
    <x v="424"/>
    <x v="2"/>
    <x v="9"/>
    <x v="1"/>
    <x v="8"/>
    <s v="Margaret Peacock"/>
  </r>
  <r>
    <n v="11002"/>
    <n v="55"/>
    <n v="24"/>
    <n v="40"/>
    <n v="0"/>
    <x v="531"/>
    <x v="2"/>
    <x v="9"/>
    <x v="7"/>
    <x v="8"/>
    <s v="Margaret Peacock"/>
  </r>
  <r>
    <n v="11003"/>
    <n v="1"/>
    <n v="18"/>
    <n v="4"/>
    <n v="0"/>
    <x v="197"/>
    <x v="2"/>
    <x v="9"/>
    <x v="6"/>
    <x v="8"/>
    <s v="Janet Leverling"/>
  </r>
  <r>
    <n v="11003"/>
    <n v="40"/>
    <n v="18.399999999999999"/>
    <n v="10"/>
    <n v="0"/>
    <x v="1074"/>
    <x v="2"/>
    <x v="9"/>
    <x v="3"/>
    <x v="8"/>
    <s v="Janet Leverling"/>
  </r>
  <r>
    <n v="11003"/>
    <n v="52"/>
    <n v="7"/>
    <n v="10"/>
    <n v="0"/>
    <x v="691"/>
    <x v="2"/>
    <x v="9"/>
    <x v="1"/>
    <x v="8"/>
    <s v="Janet Leverling"/>
  </r>
  <r>
    <n v="11004"/>
    <n v="26"/>
    <n v="31.23"/>
    <n v="6"/>
    <n v="0"/>
    <x v="643"/>
    <x v="2"/>
    <x v="9"/>
    <x v="5"/>
    <x v="3"/>
    <s v="Janet Leverling"/>
  </r>
  <r>
    <n v="11004"/>
    <n v="76"/>
    <n v="18"/>
    <n v="6"/>
    <n v="0"/>
    <x v="446"/>
    <x v="2"/>
    <x v="9"/>
    <x v="6"/>
    <x v="3"/>
    <s v="Janet Leverling"/>
  </r>
  <r>
    <n v="11005"/>
    <n v="1"/>
    <n v="18"/>
    <n v="2"/>
    <n v="0"/>
    <x v="114"/>
    <x v="2"/>
    <x v="9"/>
    <x v="6"/>
    <x v="10"/>
    <s v="Andrew Fuller"/>
  </r>
  <r>
    <n v="11005"/>
    <n v="59"/>
    <n v="55"/>
    <n v="10"/>
    <n v="0"/>
    <x v="711"/>
    <x v="2"/>
    <x v="9"/>
    <x v="0"/>
    <x v="10"/>
    <s v="Andrew Fuller"/>
  </r>
  <r>
    <n v="11006"/>
    <n v="1"/>
    <n v="18"/>
    <n v="8"/>
    <n v="0"/>
    <x v="171"/>
    <x v="2"/>
    <x v="9"/>
    <x v="6"/>
    <x v="8"/>
    <s v="Janet Leverling"/>
  </r>
  <r>
    <n v="11006"/>
    <n v="29"/>
    <n v="123.79"/>
    <n v="2"/>
    <n v="0.25"/>
    <x v="1095"/>
    <x v="2"/>
    <x v="9"/>
    <x v="7"/>
    <x v="8"/>
    <s v="Janet Leverling"/>
  </r>
  <r>
    <n v="11007"/>
    <n v="8"/>
    <n v="40"/>
    <n v="30"/>
    <n v="0"/>
    <x v="1006"/>
    <x v="2"/>
    <x v="9"/>
    <x v="4"/>
    <x v="15"/>
    <s v="Laura Callahan"/>
  </r>
  <r>
    <n v="11007"/>
    <n v="29"/>
    <n v="123.79"/>
    <n v="10"/>
    <n v="0"/>
    <x v="640"/>
    <x v="2"/>
    <x v="9"/>
    <x v="7"/>
    <x v="15"/>
    <s v="Laura Callahan"/>
  </r>
  <r>
    <n v="11007"/>
    <n v="42"/>
    <n v="14"/>
    <n v="14"/>
    <n v="0"/>
    <x v="783"/>
    <x v="2"/>
    <x v="9"/>
    <x v="1"/>
    <x v="15"/>
    <s v="Laura Callahan"/>
  </r>
  <r>
    <n v="11008"/>
    <n v="28"/>
    <n v="45.6"/>
    <n v="70"/>
    <n v="0.05"/>
    <x v="1096"/>
    <x v="2"/>
    <x v="9"/>
    <x v="2"/>
    <x v="6"/>
    <s v="Robert King"/>
  </r>
  <r>
    <n v="11008"/>
    <n v="34"/>
    <n v="14"/>
    <n v="90"/>
    <n v="0.05"/>
    <x v="1097"/>
    <x v="2"/>
    <x v="9"/>
    <x v="6"/>
    <x v="6"/>
    <s v="Robert King"/>
  </r>
  <r>
    <n v="11008"/>
    <n v="71"/>
    <n v="21.5"/>
    <n v="21"/>
    <n v="0"/>
    <x v="1098"/>
    <x v="2"/>
    <x v="9"/>
    <x v="0"/>
    <x v="6"/>
    <s v="Robert King"/>
  </r>
  <r>
    <n v="11009"/>
    <n v="24"/>
    <n v="4.5"/>
    <n v="12"/>
    <n v="0"/>
    <x v="303"/>
    <x v="2"/>
    <x v="9"/>
    <x v="6"/>
    <x v="12"/>
    <s v="Andrew Fuller"/>
  </r>
  <r>
    <n v="11009"/>
    <n v="36"/>
    <n v="19"/>
    <n v="18"/>
    <n v="0.25"/>
    <x v="586"/>
    <x v="2"/>
    <x v="9"/>
    <x v="3"/>
    <x v="12"/>
    <s v="Andrew Fuller"/>
  </r>
  <r>
    <n v="11009"/>
    <n v="60"/>
    <n v="34"/>
    <n v="9"/>
    <n v="0"/>
    <x v="588"/>
    <x v="2"/>
    <x v="9"/>
    <x v="0"/>
    <x v="12"/>
    <s v="Andrew Fuller"/>
  </r>
  <r>
    <n v="11010"/>
    <n v="7"/>
    <n v="30"/>
    <n v="20"/>
    <n v="0"/>
    <x v="113"/>
    <x v="2"/>
    <x v="9"/>
    <x v="2"/>
    <x v="11"/>
    <s v="Andrew Fuller"/>
  </r>
  <r>
    <n v="11010"/>
    <n v="24"/>
    <n v="4.5"/>
    <n v="10"/>
    <n v="0"/>
    <x v="603"/>
    <x v="2"/>
    <x v="9"/>
    <x v="6"/>
    <x v="11"/>
    <s v="Andrew Fuller"/>
  </r>
  <r>
    <n v="11011"/>
    <n v="58"/>
    <n v="13.25"/>
    <n v="40"/>
    <n v="0.05"/>
    <x v="1099"/>
    <x v="2"/>
    <x v="9"/>
    <x v="3"/>
    <x v="1"/>
    <s v="Janet Leverling"/>
  </r>
  <r>
    <n v="11011"/>
    <n v="71"/>
    <n v="21.5"/>
    <n v="20"/>
    <n v="0"/>
    <x v="694"/>
    <x v="2"/>
    <x v="9"/>
    <x v="0"/>
    <x v="1"/>
    <s v="Janet Leverling"/>
  </r>
  <r>
    <n v="11012"/>
    <n v="19"/>
    <n v="9.1999999999999993"/>
    <n v="50"/>
    <n v="0.05"/>
    <x v="893"/>
    <x v="2"/>
    <x v="9"/>
    <x v="5"/>
    <x v="1"/>
    <s v="Nancy Davolio"/>
  </r>
  <r>
    <n v="11012"/>
    <n v="60"/>
    <n v="34"/>
    <n v="36"/>
    <n v="0.05"/>
    <x v="701"/>
    <x v="2"/>
    <x v="9"/>
    <x v="0"/>
    <x v="1"/>
    <s v="Nancy Davolio"/>
  </r>
  <r>
    <n v="11012"/>
    <n v="71"/>
    <n v="21.5"/>
    <n v="60"/>
    <n v="0.05"/>
    <x v="1100"/>
    <x v="2"/>
    <x v="9"/>
    <x v="0"/>
    <x v="1"/>
    <s v="Nancy Davolio"/>
  </r>
  <r>
    <n v="11013"/>
    <n v="23"/>
    <n v="9"/>
    <n v="10"/>
    <n v="0"/>
    <x v="239"/>
    <x v="2"/>
    <x v="9"/>
    <x v="1"/>
    <x v="12"/>
    <s v="Andrew Fuller"/>
  </r>
  <r>
    <n v="11013"/>
    <n v="42"/>
    <n v="14"/>
    <n v="4"/>
    <n v="0"/>
    <x v="902"/>
    <x v="2"/>
    <x v="9"/>
    <x v="1"/>
    <x v="12"/>
    <s v="Andrew Fuller"/>
  </r>
  <r>
    <n v="11013"/>
    <n v="45"/>
    <n v="9.5"/>
    <n v="20"/>
    <n v="0"/>
    <x v="480"/>
    <x v="2"/>
    <x v="9"/>
    <x v="3"/>
    <x v="12"/>
    <s v="Andrew Fuller"/>
  </r>
  <r>
    <n v="11013"/>
    <n v="68"/>
    <n v="12.5"/>
    <n v="2"/>
    <n v="0"/>
    <x v="1101"/>
    <x v="2"/>
    <x v="9"/>
    <x v="5"/>
    <x v="12"/>
    <s v="Andrew Fuller"/>
  </r>
  <r>
    <n v="11014"/>
    <n v="41"/>
    <n v="9.65"/>
    <n v="28"/>
    <n v="0.1"/>
    <x v="1102"/>
    <x v="2"/>
    <x v="9"/>
    <x v="3"/>
    <x v="5"/>
    <s v="Andrew Fuller"/>
  </r>
  <r>
    <n v="11015"/>
    <n v="30"/>
    <n v="25.89"/>
    <n v="15"/>
    <n v="0"/>
    <x v="549"/>
    <x v="2"/>
    <x v="9"/>
    <x v="3"/>
    <x v="19"/>
    <s v="Andrew Fuller"/>
  </r>
  <r>
    <n v="11015"/>
    <n v="77"/>
    <n v="13"/>
    <n v="18"/>
    <n v="0"/>
    <x v="633"/>
    <x v="2"/>
    <x v="9"/>
    <x v="4"/>
    <x v="19"/>
    <s v="Andrew Fuller"/>
  </r>
  <r>
    <n v="11016"/>
    <n v="31"/>
    <n v="12.5"/>
    <n v="15"/>
    <n v="0"/>
    <x v="680"/>
    <x v="2"/>
    <x v="9"/>
    <x v="0"/>
    <x v="13"/>
    <s v="Anne Dodsworth"/>
  </r>
  <r>
    <n v="11016"/>
    <n v="36"/>
    <n v="19"/>
    <n v="16"/>
    <n v="0"/>
    <x v="19"/>
    <x v="2"/>
    <x v="9"/>
    <x v="3"/>
    <x v="13"/>
    <s v="Anne Dodsworth"/>
  </r>
  <r>
    <n v="11017"/>
    <n v="3"/>
    <n v="10"/>
    <n v="25"/>
    <n v="0"/>
    <x v="544"/>
    <x v="2"/>
    <x v="9"/>
    <x v="4"/>
    <x v="6"/>
    <s v="Anne Dodsworth"/>
  </r>
  <r>
    <n v="11017"/>
    <n v="59"/>
    <n v="55"/>
    <n v="110"/>
    <n v="0"/>
    <x v="1103"/>
    <x v="2"/>
    <x v="9"/>
    <x v="0"/>
    <x v="6"/>
    <s v="Anne Dodsworth"/>
  </r>
  <r>
    <n v="11017"/>
    <n v="70"/>
    <n v="15"/>
    <n v="30"/>
    <n v="0"/>
    <x v="295"/>
    <x v="2"/>
    <x v="9"/>
    <x v="6"/>
    <x v="6"/>
    <s v="Anne Dodsworth"/>
  </r>
  <r>
    <n v="11018"/>
    <n v="12"/>
    <n v="38"/>
    <n v="20"/>
    <n v="0"/>
    <x v="679"/>
    <x v="2"/>
    <x v="9"/>
    <x v="0"/>
    <x v="8"/>
    <s v="Margaret Peacock"/>
  </r>
  <r>
    <n v="11018"/>
    <n v="18"/>
    <n v="62.5"/>
    <n v="10"/>
    <n v="0"/>
    <x v="831"/>
    <x v="2"/>
    <x v="9"/>
    <x v="3"/>
    <x v="8"/>
    <s v="Margaret Peacock"/>
  </r>
  <r>
    <n v="11018"/>
    <n v="56"/>
    <n v="38"/>
    <n v="5"/>
    <n v="0"/>
    <x v="480"/>
    <x v="2"/>
    <x v="9"/>
    <x v="1"/>
    <x v="8"/>
    <s v="Margaret Peacock"/>
  </r>
  <r>
    <n v="11019"/>
    <n v="46"/>
    <n v="12"/>
    <n v="3"/>
    <n v="0"/>
    <x v="114"/>
    <x v="2"/>
    <x v="9"/>
    <x v="3"/>
    <x v="20"/>
    <s v="Michael Suyama"/>
  </r>
  <r>
    <n v="11019"/>
    <n v="49"/>
    <n v="20"/>
    <n v="2"/>
    <n v="0"/>
    <x v="66"/>
    <x v="2"/>
    <x v="9"/>
    <x v="5"/>
    <x v="20"/>
    <s v="Michael Suyama"/>
  </r>
  <r>
    <n v="11020"/>
    <n v="10"/>
    <n v="31"/>
    <n v="24"/>
    <n v="0.15"/>
    <x v="756"/>
    <x v="2"/>
    <x v="9"/>
    <x v="3"/>
    <x v="1"/>
    <s v="Andrew Fuller"/>
  </r>
  <r>
    <n v="11021"/>
    <n v="2"/>
    <n v="19"/>
    <n v="11"/>
    <n v="0.25"/>
    <x v="1104"/>
    <x v="2"/>
    <x v="9"/>
    <x v="6"/>
    <x v="1"/>
    <s v="Janet Leverling"/>
  </r>
  <r>
    <n v="11021"/>
    <n v="20"/>
    <n v="81"/>
    <n v="15"/>
    <n v="0"/>
    <x v="1081"/>
    <x v="2"/>
    <x v="9"/>
    <x v="5"/>
    <x v="1"/>
    <s v="Janet Leverling"/>
  </r>
  <r>
    <n v="11021"/>
    <n v="26"/>
    <n v="31.23"/>
    <n v="63"/>
    <n v="0"/>
    <x v="1105"/>
    <x v="2"/>
    <x v="9"/>
    <x v="5"/>
    <x v="1"/>
    <s v="Janet Leverling"/>
  </r>
  <r>
    <n v="11021"/>
    <n v="51"/>
    <n v="53"/>
    <n v="44"/>
    <n v="0.25"/>
    <x v="1106"/>
    <x v="2"/>
    <x v="9"/>
    <x v="2"/>
    <x v="1"/>
    <s v="Janet Leverling"/>
  </r>
  <r>
    <n v="11021"/>
    <n v="72"/>
    <n v="34.799999999999997"/>
    <n v="35"/>
    <n v="0"/>
    <x v="847"/>
    <x v="2"/>
    <x v="9"/>
    <x v="0"/>
    <x v="1"/>
    <s v="Janet Leverling"/>
  </r>
  <r>
    <n v="11022"/>
    <n v="19"/>
    <n v="9.1999999999999993"/>
    <n v="35"/>
    <n v="0"/>
    <x v="934"/>
    <x v="2"/>
    <x v="9"/>
    <x v="5"/>
    <x v="2"/>
    <s v="Anne Dodsworth"/>
  </r>
  <r>
    <n v="11022"/>
    <n v="69"/>
    <n v="36"/>
    <n v="30"/>
    <n v="0"/>
    <x v="854"/>
    <x v="2"/>
    <x v="9"/>
    <x v="0"/>
    <x v="2"/>
    <s v="Anne Dodsworth"/>
  </r>
  <r>
    <n v="11023"/>
    <n v="7"/>
    <n v="30"/>
    <n v="4"/>
    <n v="0"/>
    <x v="178"/>
    <x v="2"/>
    <x v="9"/>
    <x v="2"/>
    <x v="13"/>
    <s v="Nancy Davolio"/>
  </r>
  <r>
    <n v="11023"/>
    <n v="43"/>
    <n v="46"/>
    <n v="30"/>
    <n v="0"/>
    <x v="1107"/>
    <x v="2"/>
    <x v="9"/>
    <x v="6"/>
    <x v="13"/>
    <s v="Nancy Davolio"/>
  </r>
  <r>
    <n v="11024"/>
    <n v="26"/>
    <n v="31.23"/>
    <n v="12"/>
    <n v="0"/>
    <x v="935"/>
    <x v="2"/>
    <x v="9"/>
    <x v="5"/>
    <x v="13"/>
    <s v="Margaret Peacock"/>
  </r>
  <r>
    <n v="11024"/>
    <n v="33"/>
    <n v="2.5"/>
    <n v="30"/>
    <n v="0"/>
    <x v="530"/>
    <x v="2"/>
    <x v="9"/>
    <x v="0"/>
    <x v="13"/>
    <s v="Margaret Peacock"/>
  </r>
  <r>
    <n v="11024"/>
    <n v="65"/>
    <n v="21.05"/>
    <n v="21"/>
    <n v="0"/>
    <x v="714"/>
    <x v="2"/>
    <x v="9"/>
    <x v="4"/>
    <x v="13"/>
    <s v="Margaret Peacock"/>
  </r>
  <r>
    <n v="11024"/>
    <n v="71"/>
    <n v="21.5"/>
    <n v="50"/>
    <n v="0"/>
    <x v="1108"/>
    <x v="2"/>
    <x v="9"/>
    <x v="0"/>
    <x v="13"/>
    <s v="Margaret Peacock"/>
  </r>
  <r>
    <n v="11025"/>
    <n v="1"/>
    <n v="18"/>
    <n v="10"/>
    <n v="0.1"/>
    <x v="663"/>
    <x v="2"/>
    <x v="9"/>
    <x v="6"/>
    <x v="10"/>
    <s v="Michael Suyama"/>
  </r>
  <r>
    <n v="11025"/>
    <n v="13"/>
    <n v="6"/>
    <n v="20"/>
    <n v="0.1"/>
    <x v="446"/>
    <x v="2"/>
    <x v="9"/>
    <x v="3"/>
    <x v="10"/>
    <s v="Michael Suyama"/>
  </r>
  <r>
    <n v="11026"/>
    <n v="18"/>
    <n v="62.5"/>
    <n v="8"/>
    <n v="0"/>
    <x v="485"/>
    <x v="2"/>
    <x v="9"/>
    <x v="3"/>
    <x v="11"/>
    <s v="Margaret Peacock"/>
  </r>
  <r>
    <n v="11026"/>
    <n v="51"/>
    <n v="53"/>
    <n v="10"/>
    <n v="0"/>
    <x v="1073"/>
    <x v="2"/>
    <x v="9"/>
    <x v="2"/>
    <x v="11"/>
    <s v="Margaret Peacock"/>
  </r>
  <r>
    <n v="11027"/>
    <n v="24"/>
    <n v="4.5"/>
    <n v="30"/>
    <n v="0.25"/>
    <x v="614"/>
    <x v="2"/>
    <x v="9"/>
    <x v="6"/>
    <x v="16"/>
    <s v="Nancy Davolio"/>
  </r>
  <r>
    <n v="11027"/>
    <n v="62"/>
    <n v="49.3"/>
    <n v="21"/>
    <n v="0.25"/>
    <x v="1109"/>
    <x v="2"/>
    <x v="9"/>
    <x v="5"/>
    <x v="16"/>
    <s v="Nancy Davolio"/>
  </r>
  <r>
    <n v="11028"/>
    <n v="55"/>
    <n v="24"/>
    <n v="35"/>
    <n v="0"/>
    <x v="681"/>
    <x v="2"/>
    <x v="9"/>
    <x v="7"/>
    <x v="1"/>
    <s v="Andrew Fuller"/>
  </r>
  <r>
    <n v="11028"/>
    <n v="59"/>
    <n v="55"/>
    <n v="24"/>
    <n v="0"/>
    <x v="22"/>
    <x v="2"/>
    <x v="9"/>
    <x v="0"/>
    <x v="1"/>
    <s v="Andrew Fuller"/>
  </r>
  <r>
    <n v="11029"/>
    <n v="56"/>
    <n v="38"/>
    <n v="20"/>
    <n v="0"/>
    <x v="679"/>
    <x v="2"/>
    <x v="9"/>
    <x v="1"/>
    <x v="4"/>
    <s v="Margaret Peacock"/>
  </r>
  <r>
    <n v="11029"/>
    <n v="63"/>
    <n v="43.9"/>
    <n v="12"/>
    <n v="0"/>
    <x v="1110"/>
    <x v="2"/>
    <x v="9"/>
    <x v="4"/>
    <x v="4"/>
    <s v="Margaret Peacock"/>
  </r>
  <r>
    <n v="11030"/>
    <n v="2"/>
    <n v="19"/>
    <n v="100"/>
    <n v="0.25"/>
    <x v="1111"/>
    <x v="2"/>
    <x v="9"/>
    <x v="6"/>
    <x v="8"/>
    <s v="Robert King"/>
  </r>
  <r>
    <n v="11030"/>
    <n v="5"/>
    <n v="21.35"/>
    <n v="70"/>
    <n v="0"/>
    <x v="1112"/>
    <x v="2"/>
    <x v="9"/>
    <x v="4"/>
    <x v="8"/>
    <s v="Robert King"/>
  </r>
  <r>
    <n v="11030"/>
    <n v="29"/>
    <n v="123.79"/>
    <n v="60"/>
    <n v="0.25"/>
    <x v="1025"/>
    <x v="2"/>
    <x v="9"/>
    <x v="7"/>
    <x v="8"/>
    <s v="Robert King"/>
  </r>
  <r>
    <n v="11030"/>
    <n v="59"/>
    <n v="55"/>
    <n v="100"/>
    <n v="0.25"/>
    <x v="1113"/>
    <x v="2"/>
    <x v="9"/>
    <x v="0"/>
    <x v="8"/>
    <s v="Robert King"/>
  </r>
  <r>
    <n v="11031"/>
    <n v="1"/>
    <n v="18"/>
    <n v="45"/>
    <n v="0"/>
    <x v="1011"/>
    <x v="2"/>
    <x v="9"/>
    <x v="6"/>
    <x v="8"/>
    <s v="Michael Suyama"/>
  </r>
  <r>
    <n v="11031"/>
    <n v="13"/>
    <n v="6"/>
    <n v="80"/>
    <n v="0"/>
    <x v="136"/>
    <x v="2"/>
    <x v="9"/>
    <x v="3"/>
    <x v="8"/>
    <s v="Michael Suyama"/>
  </r>
  <r>
    <n v="11031"/>
    <n v="24"/>
    <n v="4.5"/>
    <n v="21"/>
    <n v="0"/>
    <x v="1114"/>
    <x v="2"/>
    <x v="9"/>
    <x v="6"/>
    <x v="8"/>
    <s v="Michael Suyama"/>
  </r>
  <r>
    <n v="11031"/>
    <n v="64"/>
    <n v="33.25"/>
    <n v="20"/>
    <n v="0"/>
    <x v="250"/>
    <x v="2"/>
    <x v="9"/>
    <x v="1"/>
    <x v="8"/>
    <s v="Michael Suyama"/>
  </r>
  <r>
    <n v="11031"/>
    <n v="71"/>
    <n v="21.5"/>
    <n v="16"/>
    <n v="0"/>
    <x v="69"/>
    <x v="2"/>
    <x v="9"/>
    <x v="0"/>
    <x v="8"/>
    <s v="Michael Suyama"/>
  </r>
  <r>
    <n v="11032"/>
    <n v="36"/>
    <n v="19"/>
    <n v="35"/>
    <n v="0"/>
    <x v="250"/>
    <x v="2"/>
    <x v="9"/>
    <x v="3"/>
    <x v="8"/>
    <s v="Andrew Fuller"/>
  </r>
  <r>
    <n v="11032"/>
    <n v="38"/>
    <n v="263.5"/>
    <n v="25"/>
    <n v="0"/>
    <x v="1115"/>
    <x v="2"/>
    <x v="9"/>
    <x v="6"/>
    <x v="8"/>
    <s v="Andrew Fuller"/>
  </r>
  <r>
    <n v="11032"/>
    <n v="59"/>
    <n v="55"/>
    <n v="30"/>
    <n v="0"/>
    <x v="1116"/>
    <x v="2"/>
    <x v="9"/>
    <x v="0"/>
    <x v="8"/>
    <s v="Andrew Fuller"/>
  </r>
  <r>
    <n v="11033"/>
    <n v="53"/>
    <n v="32.799999999999997"/>
    <n v="70"/>
    <n v="0.1"/>
    <x v="1117"/>
    <x v="2"/>
    <x v="9"/>
    <x v="7"/>
    <x v="4"/>
    <s v="Robert King"/>
  </r>
  <r>
    <n v="11033"/>
    <n v="69"/>
    <n v="36"/>
    <n v="36"/>
    <n v="0.1"/>
    <x v="1118"/>
    <x v="2"/>
    <x v="9"/>
    <x v="0"/>
    <x v="4"/>
    <s v="Robert King"/>
  </r>
  <r>
    <n v="11034"/>
    <n v="21"/>
    <n v="10"/>
    <n v="15"/>
    <n v="0.1"/>
    <x v="135"/>
    <x v="2"/>
    <x v="9"/>
    <x v="5"/>
    <x v="8"/>
    <s v="Laura Callahan"/>
  </r>
  <r>
    <n v="11034"/>
    <n v="44"/>
    <n v="19.45"/>
    <n v="12"/>
    <n v="0"/>
    <x v="1119"/>
    <x v="2"/>
    <x v="9"/>
    <x v="4"/>
    <x v="8"/>
    <s v="Laura Callahan"/>
  </r>
  <r>
    <n v="11034"/>
    <n v="61"/>
    <n v="28.5"/>
    <n v="6"/>
    <n v="0"/>
    <x v="378"/>
    <x v="2"/>
    <x v="9"/>
    <x v="4"/>
    <x v="8"/>
    <s v="Laura Callahan"/>
  </r>
  <r>
    <n v="11035"/>
    <n v="1"/>
    <n v="18"/>
    <n v="10"/>
    <n v="0"/>
    <x v="229"/>
    <x v="2"/>
    <x v="9"/>
    <x v="6"/>
    <x v="3"/>
    <s v="Andrew Fuller"/>
  </r>
  <r>
    <n v="11035"/>
    <n v="35"/>
    <n v="18"/>
    <n v="60"/>
    <n v="0"/>
    <x v="854"/>
    <x v="2"/>
    <x v="9"/>
    <x v="6"/>
    <x v="3"/>
    <s v="Andrew Fuller"/>
  </r>
  <r>
    <n v="11035"/>
    <n v="42"/>
    <n v="14"/>
    <n v="30"/>
    <n v="0"/>
    <x v="484"/>
    <x v="2"/>
    <x v="9"/>
    <x v="1"/>
    <x v="3"/>
    <s v="Andrew Fuller"/>
  </r>
  <r>
    <n v="11035"/>
    <n v="54"/>
    <n v="7.45"/>
    <n v="10"/>
    <n v="0"/>
    <x v="1027"/>
    <x v="2"/>
    <x v="9"/>
    <x v="7"/>
    <x v="3"/>
    <s v="Andrew Fuller"/>
  </r>
  <r>
    <n v="11036"/>
    <n v="13"/>
    <n v="6"/>
    <n v="7"/>
    <n v="0"/>
    <x v="95"/>
    <x v="2"/>
    <x v="9"/>
    <x v="3"/>
    <x v="1"/>
    <s v="Laura Callahan"/>
  </r>
  <r>
    <n v="11036"/>
    <n v="59"/>
    <n v="55"/>
    <n v="30"/>
    <n v="0"/>
    <x v="1116"/>
    <x v="2"/>
    <x v="9"/>
    <x v="0"/>
    <x v="1"/>
    <s v="Laura Callahan"/>
  </r>
  <r>
    <n v="11037"/>
    <n v="70"/>
    <n v="15"/>
    <n v="4"/>
    <n v="0"/>
    <x v="148"/>
    <x v="2"/>
    <x v="9"/>
    <x v="6"/>
    <x v="12"/>
    <s v="Robert King"/>
  </r>
  <r>
    <n v="11038"/>
    <n v="40"/>
    <n v="18.399999999999999"/>
    <n v="5"/>
    <n v="0.2"/>
    <x v="1120"/>
    <x v="2"/>
    <x v="9"/>
    <x v="3"/>
    <x v="3"/>
    <s v="Nancy Davolio"/>
  </r>
  <r>
    <n v="11038"/>
    <n v="52"/>
    <n v="7"/>
    <n v="2"/>
    <n v="0"/>
    <x v="1121"/>
    <x v="2"/>
    <x v="9"/>
    <x v="1"/>
    <x v="3"/>
    <s v="Nancy Davolio"/>
  </r>
  <r>
    <n v="11038"/>
    <n v="71"/>
    <n v="21.5"/>
    <n v="30"/>
    <n v="0"/>
    <x v="819"/>
    <x v="2"/>
    <x v="9"/>
    <x v="0"/>
    <x v="3"/>
    <s v="Nancy Davolio"/>
  </r>
  <r>
    <n v="11039"/>
    <n v="28"/>
    <n v="45.6"/>
    <n v="20"/>
    <n v="0"/>
    <x v="353"/>
    <x v="2"/>
    <x v="9"/>
    <x v="2"/>
    <x v="5"/>
    <s v="Nancy Davolio"/>
  </r>
  <r>
    <n v="11039"/>
    <n v="35"/>
    <n v="18"/>
    <n v="24"/>
    <n v="0"/>
    <x v="124"/>
    <x v="2"/>
    <x v="9"/>
    <x v="6"/>
    <x v="5"/>
    <s v="Nancy Davolio"/>
  </r>
  <r>
    <n v="11039"/>
    <n v="49"/>
    <n v="20"/>
    <n v="60"/>
    <n v="0"/>
    <x v="1006"/>
    <x v="2"/>
    <x v="9"/>
    <x v="5"/>
    <x v="5"/>
    <s v="Nancy Davolio"/>
  </r>
  <r>
    <n v="11039"/>
    <n v="57"/>
    <n v="19.5"/>
    <n v="28"/>
    <n v="0"/>
    <x v="416"/>
    <x v="2"/>
    <x v="9"/>
    <x v="1"/>
    <x v="5"/>
    <s v="Nancy Davolio"/>
  </r>
  <r>
    <n v="11040"/>
    <n v="21"/>
    <n v="10"/>
    <n v="20"/>
    <n v="0"/>
    <x v="14"/>
    <x v="2"/>
    <x v="9"/>
    <x v="5"/>
    <x v="8"/>
    <s v="Margaret Peacock"/>
  </r>
  <r>
    <n v="11041"/>
    <n v="2"/>
    <n v="19"/>
    <n v="30"/>
    <n v="0.2"/>
    <x v="58"/>
    <x v="2"/>
    <x v="9"/>
    <x v="6"/>
    <x v="4"/>
    <s v="Janet Leverling"/>
  </r>
  <r>
    <n v="11041"/>
    <n v="63"/>
    <n v="43.9"/>
    <n v="30"/>
    <n v="0"/>
    <x v="896"/>
    <x v="2"/>
    <x v="9"/>
    <x v="4"/>
    <x v="4"/>
    <s v="Janet Leverling"/>
  </r>
  <r>
    <n v="11042"/>
    <n v="44"/>
    <n v="19.45"/>
    <n v="15"/>
    <n v="0"/>
    <x v="1122"/>
    <x v="2"/>
    <x v="9"/>
    <x v="4"/>
    <x v="2"/>
    <s v="Andrew Fuller"/>
  </r>
  <r>
    <n v="11042"/>
    <n v="61"/>
    <n v="28.5"/>
    <n v="4"/>
    <n v="0"/>
    <x v="56"/>
    <x v="2"/>
    <x v="9"/>
    <x v="4"/>
    <x v="2"/>
    <s v="Andrew Fuller"/>
  </r>
  <r>
    <n v="11043"/>
    <n v="11"/>
    <n v="21"/>
    <n v="10"/>
    <n v="0"/>
    <x v="578"/>
    <x v="2"/>
    <x v="9"/>
    <x v="0"/>
    <x v="0"/>
    <s v="Steven Buchanan"/>
  </r>
  <r>
    <n v="11044"/>
    <n v="62"/>
    <n v="49.3"/>
    <n v="12"/>
    <n v="0"/>
    <x v="1123"/>
    <x v="2"/>
    <x v="9"/>
    <x v="5"/>
    <x v="18"/>
    <s v="Margaret Peacock"/>
  </r>
  <r>
    <n v="11045"/>
    <n v="33"/>
    <n v="2.5"/>
    <n v="15"/>
    <n v="0"/>
    <x v="566"/>
    <x v="2"/>
    <x v="9"/>
    <x v="0"/>
    <x v="16"/>
    <s v="Michael Suyama"/>
  </r>
  <r>
    <n v="11045"/>
    <n v="51"/>
    <n v="53"/>
    <n v="24"/>
    <n v="0"/>
    <x v="1124"/>
    <x v="2"/>
    <x v="9"/>
    <x v="2"/>
    <x v="16"/>
    <s v="Michael Suyama"/>
  </r>
  <r>
    <n v="11046"/>
    <n v="12"/>
    <n v="38"/>
    <n v="20"/>
    <n v="0.05"/>
    <x v="1125"/>
    <x v="2"/>
    <x v="9"/>
    <x v="0"/>
    <x v="1"/>
    <s v="Laura Callahan"/>
  </r>
  <r>
    <n v="11046"/>
    <n v="32"/>
    <n v="32"/>
    <n v="15"/>
    <n v="0.05"/>
    <x v="58"/>
    <x v="2"/>
    <x v="9"/>
    <x v="0"/>
    <x v="1"/>
    <s v="Laura Callahan"/>
  </r>
  <r>
    <n v="11046"/>
    <n v="35"/>
    <n v="18"/>
    <n v="18"/>
    <n v="0.05"/>
    <x v="1126"/>
    <x v="2"/>
    <x v="9"/>
    <x v="6"/>
    <x v="1"/>
    <s v="Laura Callahan"/>
  </r>
  <r>
    <n v="11047"/>
    <n v="1"/>
    <n v="18"/>
    <n v="25"/>
    <n v="0.25"/>
    <x v="800"/>
    <x v="2"/>
    <x v="9"/>
    <x v="6"/>
    <x v="13"/>
    <s v="Robert King"/>
  </r>
  <r>
    <n v="11047"/>
    <n v="5"/>
    <n v="21.35"/>
    <n v="30"/>
    <n v="0.25"/>
    <x v="1127"/>
    <x v="2"/>
    <x v="9"/>
    <x v="4"/>
    <x v="13"/>
    <s v="Robert King"/>
  </r>
  <r>
    <n v="11048"/>
    <n v="68"/>
    <n v="12.5"/>
    <n v="42"/>
    <n v="0"/>
    <x v="806"/>
    <x v="2"/>
    <x v="9"/>
    <x v="5"/>
    <x v="16"/>
    <s v="Robert King"/>
  </r>
  <r>
    <n v="11049"/>
    <n v="2"/>
    <n v="19"/>
    <n v="10"/>
    <n v="0.2"/>
    <x v="369"/>
    <x v="2"/>
    <x v="9"/>
    <x v="6"/>
    <x v="2"/>
    <s v="Janet Leverling"/>
  </r>
  <r>
    <n v="11049"/>
    <n v="12"/>
    <n v="38"/>
    <n v="4"/>
    <n v="0.2"/>
    <x v="1128"/>
    <x v="2"/>
    <x v="9"/>
    <x v="0"/>
    <x v="2"/>
    <s v="Janet Leverling"/>
  </r>
  <r>
    <n v="11050"/>
    <n v="76"/>
    <n v="18"/>
    <n v="50"/>
    <n v="0.1"/>
    <x v="1011"/>
    <x v="2"/>
    <x v="9"/>
    <x v="6"/>
    <x v="9"/>
    <s v="Laura Callahan"/>
  </r>
  <r>
    <n v="11051"/>
    <n v="24"/>
    <n v="4.5"/>
    <n v="10"/>
    <n v="0.2"/>
    <x v="114"/>
    <x v="2"/>
    <x v="9"/>
    <x v="6"/>
    <x v="0"/>
    <s v="Robert King"/>
  </r>
  <r>
    <n v="11052"/>
    <n v="43"/>
    <n v="46"/>
    <n v="30"/>
    <n v="0.2"/>
    <x v="717"/>
    <x v="2"/>
    <x v="9"/>
    <x v="6"/>
    <x v="2"/>
    <s v="Janet Leverling"/>
  </r>
  <r>
    <n v="11052"/>
    <n v="61"/>
    <n v="28.5"/>
    <n v="10"/>
    <n v="0.2"/>
    <x v="463"/>
    <x v="2"/>
    <x v="9"/>
    <x v="4"/>
    <x v="2"/>
    <s v="Janet Leverling"/>
  </r>
  <r>
    <n v="11053"/>
    <n v="18"/>
    <n v="62.5"/>
    <n v="35"/>
    <n v="0.2"/>
    <x v="678"/>
    <x v="2"/>
    <x v="9"/>
    <x v="3"/>
    <x v="6"/>
    <s v="Andrew Fuller"/>
  </r>
  <r>
    <n v="11053"/>
    <n v="32"/>
    <n v="32"/>
    <n v="20"/>
    <n v="0"/>
    <x v="16"/>
    <x v="2"/>
    <x v="9"/>
    <x v="0"/>
    <x v="6"/>
    <s v="Andrew Fuller"/>
  </r>
  <r>
    <n v="11053"/>
    <n v="64"/>
    <n v="33.25"/>
    <n v="25"/>
    <n v="0.2"/>
    <x v="250"/>
    <x v="2"/>
    <x v="9"/>
    <x v="1"/>
    <x v="6"/>
    <s v="Andrew Fuller"/>
  </r>
  <r>
    <n v="11054"/>
    <n v="33"/>
    <n v="2.5"/>
    <n v="10"/>
    <n v="0"/>
    <x v="1101"/>
    <x v="2"/>
    <x v="9"/>
    <x v="0"/>
    <x v="20"/>
    <s v="Laura Callahan"/>
  </r>
  <r>
    <n v="11054"/>
    <n v="67"/>
    <n v="14"/>
    <n v="20"/>
    <n v="0"/>
    <x v="521"/>
    <x v="2"/>
    <x v="9"/>
    <x v="6"/>
    <x v="20"/>
    <s v="Laura Callahan"/>
  </r>
  <r>
    <n v="11055"/>
    <n v="24"/>
    <n v="4.5"/>
    <n v="15"/>
    <n v="0"/>
    <x v="1129"/>
    <x v="2"/>
    <x v="9"/>
    <x v="6"/>
    <x v="5"/>
    <s v="Robert King"/>
  </r>
  <r>
    <n v="11055"/>
    <n v="25"/>
    <n v="14"/>
    <n v="15"/>
    <n v="0"/>
    <x v="578"/>
    <x v="2"/>
    <x v="9"/>
    <x v="5"/>
    <x v="5"/>
    <s v="Robert King"/>
  </r>
  <r>
    <n v="11055"/>
    <n v="51"/>
    <n v="53"/>
    <n v="20"/>
    <n v="0"/>
    <x v="469"/>
    <x v="2"/>
    <x v="9"/>
    <x v="2"/>
    <x v="5"/>
    <s v="Robert King"/>
  </r>
  <r>
    <n v="11055"/>
    <n v="57"/>
    <n v="19.5"/>
    <n v="20"/>
    <n v="0"/>
    <x v="240"/>
    <x v="2"/>
    <x v="9"/>
    <x v="1"/>
    <x v="5"/>
    <s v="Robert King"/>
  </r>
  <r>
    <n v="11056"/>
    <n v="7"/>
    <n v="30"/>
    <n v="40"/>
    <n v="0"/>
    <x v="1006"/>
    <x v="2"/>
    <x v="9"/>
    <x v="2"/>
    <x v="13"/>
    <s v="Laura Callahan"/>
  </r>
  <r>
    <n v="11056"/>
    <n v="55"/>
    <n v="24"/>
    <n v="35"/>
    <n v="0"/>
    <x v="681"/>
    <x v="2"/>
    <x v="9"/>
    <x v="7"/>
    <x v="13"/>
    <s v="Laura Callahan"/>
  </r>
  <r>
    <n v="11056"/>
    <n v="60"/>
    <n v="34"/>
    <n v="50"/>
    <n v="0"/>
    <x v="846"/>
    <x v="2"/>
    <x v="9"/>
    <x v="0"/>
    <x v="13"/>
    <s v="Laura Callahan"/>
  </r>
  <r>
    <n v="11057"/>
    <n v="70"/>
    <n v="15"/>
    <n v="3"/>
    <n v="0"/>
    <x v="603"/>
    <x v="2"/>
    <x v="9"/>
    <x v="6"/>
    <x v="13"/>
    <s v="Janet Leverling"/>
  </r>
  <r>
    <n v="11058"/>
    <n v="21"/>
    <n v="10"/>
    <n v="3"/>
    <n v="0"/>
    <x v="146"/>
    <x v="2"/>
    <x v="9"/>
    <x v="5"/>
    <x v="1"/>
    <s v="Anne Dodsworth"/>
  </r>
  <r>
    <n v="11058"/>
    <n v="60"/>
    <n v="34"/>
    <n v="21"/>
    <n v="0"/>
    <x v="940"/>
    <x v="2"/>
    <x v="9"/>
    <x v="0"/>
    <x v="1"/>
    <s v="Anne Dodsworth"/>
  </r>
  <r>
    <n v="11058"/>
    <n v="61"/>
    <n v="28.5"/>
    <n v="4"/>
    <n v="0"/>
    <x v="56"/>
    <x v="2"/>
    <x v="9"/>
    <x v="4"/>
    <x v="1"/>
    <s v="Anne Dodsworth"/>
  </r>
  <r>
    <n v="11059"/>
    <n v="13"/>
    <n v="6"/>
    <n v="30"/>
    <n v="0"/>
    <x v="229"/>
    <x v="2"/>
    <x v="9"/>
    <x v="3"/>
    <x v="2"/>
    <s v="Andrew Fuller"/>
  </r>
  <r>
    <n v="11059"/>
    <n v="17"/>
    <n v="39"/>
    <n v="12"/>
    <n v="0"/>
    <x v="118"/>
    <x v="2"/>
    <x v="9"/>
    <x v="7"/>
    <x v="2"/>
    <s v="Andrew Fuller"/>
  </r>
  <r>
    <n v="11059"/>
    <n v="60"/>
    <n v="34"/>
    <n v="35"/>
    <n v="0"/>
    <x v="1130"/>
    <x v="2"/>
    <x v="9"/>
    <x v="0"/>
    <x v="2"/>
    <s v="Andrew Fuller"/>
  </r>
  <r>
    <n v="11060"/>
    <n v="60"/>
    <n v="34"/>
    <n v="4"/>
    <n v="0"/>
    <x v="273"/>
    <x v="2"/>
    <x v="9"/>
    <x v="0"/>
    <x v="11"/>
    <s v="Andrew Fuller"/>
  </r>
  <r>
    <n v="11060"/>
    <n v="77"/>
    <n v="13"/>
    <n v="10"/>
    <n v="0"/>
    <x v="1131"/>
    <x v="2"/>
    <x v="9"/>
    <x v="4"/>
    <x v="11"/>
    <s v="Andrew Fuller"/>
  </r>
  <r>
    <n v="11061"/>
    <n v="60"/>
    <n v="34"/>
    <n v="15"/>
    <n v="0"/>
    <x v="672"/>
    <x v="2"/>
    <x v="9"/>
    <x v="0"/>
    <x v="8"/>
    <s v="Margaret Peacock"/>
  </r>
  <r>
    <n v="11062"/>
    <n v="53"/>
    <n v="32.799999999999997"/>
    <n v="10"/>
    <n v="0.2"/>
    <x v="1132"/>
    <x v="2"/>
    <x v="9"/>
    <x v="7"/>
    <x v="11"/>
    <s v="Margaret Peacock"/>
  </r>
  <r>
    <n v="11062"/>
    <n v="70"/>
    <n v="15"/>
    <n v="12"/>
    <n v="0.2"/>
    <x v="171"/>
    <x v="2"/>
    <x v="9"/>
    <x v="6"/>
    <x v="11"/>
    <s v="Margaret Peacock"/>
  </r>
  <r>
    <n v="11063"/>
    <n v="34"/>
    <n v="14"/>
    <n v="30"/>
    <n v="0"/>
    <x v="484"/>
    <x v="2"/>
    <x v="9"/>
    <x v="6"/>
    <x v="14"/>
    <s v="Janet Leverling"/>
  </r>
  <r>
    <n v="11063"/>
    <n v="40"/>
    <n v="18.399999999999999"/>
    <n v="40"/>
    <n v="0.1"/>
    <x v="1133"/>
    <x v="2"/>
    <x v="9"/>
    <x v="3"/>
    <x v="14"/>
    <s v="Janet Leverling"/>
  </r>
  <r>
    <n v="11063"/>
    <n v="41"/>
    <n v="9.65"/>
    <n v="30"/>
    <n v="0.1"/>
    <x v="1134"/>
    <x v="2"/>
    <x v="9"/>
    <x v="3"/>
    <x v="14"/>
    <s v="Janet Leverling"/>
  </r>
  <r>
    <n v="11064"/>
    <n v="17"/>
    <n v="39"/>
    <n v="77"/>
    <n v="0.1"/>
    <x v="1135"/>
    <x v="2"/>
    <x v="10"/>
    <x v="7"/>
    <x v="8"/>
    <s v="Nancy Davolio"/>
  </r>
  <r>
    <n v="11064"/>
    <n v="41"/>
    <n v="9.65"/>
    <n v="12"/>
    <n v="0"/>
    <x v="832"/>
    <x v="2"/>
    <x v="10"/>
    <x v="3"/>
    <x v="8"/>
    <s v="Nancy Davolio"/>
  </r>
  <r>
    <n v="11064"/>
    <n v="53"/>
    <n v="32.799999999999997"/>
    <n v="25"/>
    <n v="0.1"/>
    <x v="1136"/>
    <x v="2"/>
    <x v="10"/>
    <x v="7"/>
    <x v="8"/>
    <s v="Nancy Davolio"/>
  </r>
  <r>
    <n v="11064"/>
    <n v="55"/>
    <n v="24"/>
    <n v="4"/>
    <n v="0.1"/>
    <x v="26"/>
    <x v="2"/>
    <x v="10"/>
    <x v="7"/>
    <x v="8"/>
    <s v="Nancy Davolio"/>
  </r>
  <r>
    <n v="11064"/>
    <n v="68"/>
    <n v="12.5"/>
    <n v="55"/>
    <n v="0"/>
    <x v="1137"/>
    <x v="2"/>
    <x v="10"/>
    <x v="5"/>
    <x v="8"/>
    <s v="Nancy Davolio"/>
  </r>
  <r>
    <n v="11065"/>
    <n v="30"/>
    <n v="25.89"/>
    <n v="4"/>
    <n v="0.25"/>
    <x v="1138"/>
    <x v="2"/>
    <x v="10"/>
    <x v="3"/>
    <x v="5"/>
    <s v="Laura Callahan"/>
  </r>
  <r>
    <n v="11065"/>
    <n v="54"/>
    <n v="7.45"/>
    <n v="20"/>
    <n v="0.25"/>
    <x v="539"/>
    <x v="2"/>
    <x v="10"/>
    <x v="7"/>
    <x v="5"/>
    <s v="Laura Callahan"/>
  </r>
  <r>
    <n v="11066"/>
    <n v="16"/>
    <n v="17.45"/>
    <n v="3"/>
    <n v="0"/>
    <x v="768"/>
    <x v="2"/>
    <x v="10"/>
    <x v="5"/>
    <x v="8"/>
    <s v="Robert King"/>
  </r>
  <r>
    <n v="11066"/>
    <n v="19"/>
    <n v="9.1999999999999993"/>
    <n v="42"/>
    <n v="0"/>
    <x v="1139"/>
    <x v="2"/>
    <x v="10"/>
    <x v="5"/>
    <x v="8"/>
    <s v="Robert King"/>
  </r>
  <r>
    <n v="11066"/>
    <n v="34"/>
    <n v="14"/>
    <n v="35"/>
    <n v="0"/>
    <x v="611"/>
    <x v="2"/>
    <x v="10"/>
    <x v="6"/>
    <x v="8"/>
    <s v="Robert King"/>
  </r>
  <r>
    <n v="11067"/>
    <n v="41"/>
    <n v="9.65"/>
    <n v="9"/>
    <n v="0"/>
    <x v="1140"/>
    <x v="2"/>
    <x v="10"/>
    <x v="3"/>
    <x v="1"/>
    <s v="Nancy Davolio"/>
  </r>
  <r>
    <n v="11068"/>
    <n v="28"/>
    <n v="45.6"/>
    <n v="8"/>
    <n v="0.15"/>
    <x v="1141"/>
    <x v="2"/>
    <x v="10"/>
    <x v="2"/>
    <x v="2"/>
    <s v="Laura Callahan"/>
  </r>
  <r>
    <n v="11068"/>
    <n v="43"/>
    <n v="46"/>
    <n v="36"/>
    <n v="0.15"/>
    <x v="1142"/>
    <x v="2"/>
    <x v="10"/>
    <x v="6"/>
    <x v="2"/>
    <s v="Laura Callahan"/>
  </r>
  <r>
    <n v="11068"/>
    <n v="77"/>
    <n v="13"/>
    <n v="28"/>
    <n v="0.15"/>
    <x v="1143"/>
    <x v="2"/>
    <x v="10"/>
    <x v="4"/>
    <x v="2"/>
    <s v="Laura Callahan"/>
  </r>
  <r>
    <n v="11069"/>
    <n v="39"/>
    <n v="18"/>
    <n v="20"/>
    <n v="0"/>
    <x v="40"/>
    <x v="2"/>
    <x v="10"/>
    <x v="6"/>
    <x v="7"/>
    <s v="Nancy Davolio"/>
  </r>
  <r>
    <n v="11070"/>
    <n v="1"/>
    <n v="18"/>
    <n v="40"/>
    <n v="0.15"/>
    <x v="226"/>
    <x v="2"/>
    <x v="10"/>
    <x v="6"/>
    <x v="1"/>
    <s v="Andrew Fuller"/>
  </r>
  <r>
    <n v="11070"/>
    <n v="2"/>
    <n v="19"/>
    <n v="20"/>
    <n v="0.15"/>
    <x v="527"/>
    <x v="2"/>
    <x v="10"/>
    <x v="6"/>
    <x v="1"/>
    <s v="Andrew Fuller"/>
  </r>
  <r>
    <n v="11070"/>
    <n v="16"/>
    <n v="17.45"/>
    <n v="30"/>
    <n v="0.15"/>
    <x v="1144"/>
    <x v="2"/>
    <x v="10"/>
    <x v="5"/>
    <x v="1"/>
    <s v="Andrew Fuller"/>
  </r>
  <r>
    <n v="11070"/>
    <n v="31"/>
    <n v="12.5"/>
    <n v="20"/>
    <n v="0"/>
    <x v="544"/>
    <x v="2"/>
    <x v="10"/>
    <x v="0"/>
    <x v="1"/>
    <s v="Andrew Fuller"/>
  </r>
  <r>
    <n v="11071"/>
    <n v="7"/>
    <n v="30"/>
    <n v="15"/>
    <n v="0.05"/>
    <x v="557"/>
    <x v="2"/>
    <x v="10"/>
    <x v="2"/>
    <x v="5"/>
    <s v="Nancy Davolio"/>
  </r>
  <r>
    <n v="11071"/>
    <n v="13"/>
    <n v="6"/>
    <n v="10"/>
    <n v="0.05"/>
    <x v="830"/>
    <x v="2"/>
    <x v="10"/>
    <x v="3"/>
    <x v="5"/>
    <s v="Nancy Davolio"/>
  </r>
  <r>
    <n v="11072"/>
    <n v="2"/>
    <n v="19"/>
    <n v="8"/>
    <n v="0"/>
    <x v="369"/>
    <x v="2"/>
    <x v="10"/>
    <x v="6"/>
    <x v="6"/>
    <s v="Margaret Peacock"/>
  </r>
  <r>
    <n v="11072"/>
    <n v="41"/>
    <n v="9.65"/>
    <n v="40"/>
    <n v="0"/>
    <x v="1145"/>
    <x v="2"/>
    <x v="10"/>
    <x v="3"/>
    <x v="6"/>
    <s v="Margaret Peacock"/>
  </r>
  <r>
    <n v="11072"/>
    <n v="50"/>
    <n v="16.25"/>
    <n v="22"/>
    <n v="0"/>
    <x v="1146"/>
    <x v="2"/>
    <x v="10"/>
    <x v="5"/>
    <x v="6"/>
    <s v="Margaret Peacock"/>
  </r>
  <r>
    <n v="11072"/>
    <n v="64"/>
    <n v="33.25"/>
    <n v="130"/>
    <n v="0"/>
    <x v="1147"/>
    <x v="2"/>
    <x v="10"/>
    <x v="1"/>
    <x v="6"/>
    <s v="Margaret Peacock"/>
  </r>
  <r>
    <n v="11073"/>
    <n v="11"/>
    <n v="21"/>
    <n v="10"/>
    <n v="0"/>
    <x v="578"/>
    <x v="2"/>
    <x v="10"/>
    <x v="0"/>
    <x v="7"/>
    <s v="Andrew Fuller"/>
  </r>
  <r>
    <n v="11073"/>
    <n v="24"/>
    <n v="4.5"/>
    <n v="20"/>
    <n v="0"/>
    <x v="239"/>
    <x v="2"/>
    <x v="10"/>
    <x v="6"/>
    <x v="7"/>
    <s v="Andrew Fuller"/>
  </r>
  <r>
    <n v="11074"/>
    <n v="16"/>
    <n v="17.45"/>
    <n v="14"/>
    <n v="0.05"/>
    <x v="1148"/>
    <x v="2"/>
    <x v="10"/>
    <x v="5"/>
    <x v="17"/>
    <s v="Robert King"/>
  </r>
  <r>
    <n v="11075"/>
    <n v="2"/>
    <n v="19"/>
    <n v="10"/>
    <n v="0.15"/>
    <x v="1045"/>
    <x v="2"/>
    <x v="10"/>
    <x v="6"/>
    <x v="4"/>
    <s v="Laura Callahan"/>
  </r>
  <r>
    <n v="11075"/>
    <n v="46"/>
    <n v="12"/>
    <n v="30"/>
    <n v="0.15"/>
    <x v="588"/>
    <x v="2"/>
    <x v="10"/>
    <x v="3"/>
    <x v="4"/>
    <s v="Laura Callahan"/>
  </r>
  <r>
    <n v="11075"/>
    <n v="76"/>
    <n v="18"/>
    <n v="2"/>
    <n v="0.15"/>
    <x v="886"/>
    <x v="2"/>
    <x v="10"/>
    <x v="6"/>
    <x v="4"/>
    <s v="Laura Callahan"/>
  </r>
  <r>
    <n v="11076"/>
    <n v="6"/>
    <n v="25"/>
    <n v="20"/>
    <n v="0.25"/>
    <x v="559"/>
    <x v="2"/>
    <x v="10"/>
    <x v="4"/>
    <x v="0"/>
    <s v="Margaret Peacock"/>
  </r>
  <r>
    <n v="11076"/>
    <n v="14"/>
    <n v="23.25"/>
    <n v="20"/>
    <n v="0.25"/>
    <x v="1149"/>
    <x v="2"/>
    <x v="10"/>
    <x v="2"/>
    <x v="0"/>
    <s v="Margaret Peacock"/>
  </r>
  <r>
    <n v="11076"/>
    <n v="19"/>
    <n v="9.1999999999999993"/>
    <n v="10"/>
    <n v="0.25"/>
    <x v="1150"/>
    <x v="2"/>
    <x v="10"/>
    <x v="5"/>
    <x v="0"/>
    <s v="Margaret Peacock"/>
  </r>
  <r>
    <n v="11077"/>
    <n v="2"/>
    <n v="19"/>
    <n v="24"/>
    <n v="0.2"/>
    <x v="355"/>
    <x v="2"/>
    <x v="10"/>
    <x v="6"/>
    <x v="8"/>
    <s v="Nancy Davolio"/>
  </r>
  <r>
    <n v="11077"/>
    <n v="3"/>
    <n v="10"/>
    <n v="4"/>
    <n v="0"/>
    <x v="66"/>
    <x v="2"/>
    <x v="10"/>
    <x v="4"/>
    <x v="8"/>
    <s v="Nancy Davolio"/>
  </r>
  <r>
    <n v="11077"/>
    <n v="4"/>
    <n v="22"/>
    <n v="1"/>
    <n v="0"/>
    <x v="1151"/>
    <x v="2"/>
    <x v="10"/>
    <x v="4"/>
    <x v="8"/>
    <s v="Nancy Davolio"/>
  </r>
  <r>
    <n v="11077"/>
    <n v="6"/>
    <n v="25"/>
    <n v="1"/>
    <n v="0.02"/>
    <x v="1152"/>
    <x v="2"/>
    <x v="10"/>
    <x v="4"/>
    <x v="8"/>
    <s v="Nancy Davolio"/>
  </r>
  <r>
    <n v="11077"/>
    <n v="7"/>
    <n v="30"/>
    <n v="1"/>
    <n v="0.05"/>
    <x v="1153"/>
    <x v="2"/>
    <x v="10"/>
    <x v="2"/>
    <x v="8"/>
    <s v="Nancy Davolio"/>
  </r>
  <r>
    <n v="11077"/>
    <n v="8"/>
    <n v="40"/>
    <n v="2"/>
    <n v="0.1"/>
    <x v="197"/>
    <x v="2"/>
    <x v="10"/>
    <x v="4"/>
    <x v="8"/>
    <s v="Nancy Davolio"/>
  </r>
  <r>
    <n v="11077"/>
    <n v="10"/>
    <n v="31"/>
    <n v="1"/>
    <n v="0"/>
    <x v="1154"/>
    <x v="2"/>
    <x v="10"/>
    <x v="3"/>
    <x v="8"/>
    <s v="Nancy Davolio"/>
  </r>
  <r>
    <n v="11077"/>
    <n v="12"/>
    <n v="38"/>
    <n v="2"/>
    <n v="0.05"/>
    <x v="1155"/>
    <x v="2"/>
    <x v="10"/>
    <x v="0"/>
    <x v="8"/>
    <s v="Nancy Davolio"/>
  </r>
  <r>
    <n v="11077"/>
    <n v="13"/>
    <n v="6"/>
    <n v="4"/>
    <n v="0"/>
    <x v="451"/>
    <x v="2"/>
    <x v="10"/>
    <x v="3"/>
    <x v="8"/>
    <s v="Nancy Davolio"/>
  </r>
  <r>
    <n v="11077"/>
    <n v="14"/>
    <n v="23.25"/>
    <n v="1"/>
    <n v="0.03"/>
    <x v="1156"/>
    <x v="2"/>
    <x v="10"/>
    <x v="2"/>
    <x v="8"/>
    <s v="Nancy Davolio"/>
  </r>
  <r>
    <n v="11077"/>
    <n v="16"/>
    <n v="17.45"/>
    <n v="2"/>
    <n v="0.03"/>
    <x v="1157"/>
    <x v="2"/>
    <x v="10"/>
    <x v="5"/>
    <x v="8"/>
    <s v="Nancy Davolio"/>
  </r>
  <r>
    <n v="11077"/>
    <n v="20"/>
    <n v="81"/>
    <n v="1"/>
    <n v="0.04"/>
    <x v="1158"/>
    <x v="2"/>
    <x v="10"/>
    <x v="5"/>
    <x v="8"/>
    <s v="Nancy Davolio"/>
  </r>
  <r>
    <n v="11077"/>
    <n v="23"/>
    <n v="9"/>
    <n v="2"/>
    <n v="0"/>
    <x v="719"/>
    <x v="2"/>
    <x v="10"/>
    <x v="1"/>
    <x v="8"/>
    <s v="Nancy Davolio"/>
  </r>
  <r>
    <n v="11077"/>
    <n v="32"/>
    <n v="32"/>
    <n v="1"/>
    <n v="0"/>
    <x v="419"/>
    <x v="2"/>
    <x v="10"/>
    <x v="0"/>
    <x v="8"/>
    <s v="Nancy Davolio"/>
  </r>
  <r>
    <n v="11077"/>
    <n v="39"/>
    <n v="18"/>
    <n v="2"/>
    <n v="0.05"/>
    <x v="246"/>
    <x v="2"/>
    <x v="10"/>
    <x v="6"/>
    <x v="8"/>
    <s v="Nancy Davolio"/>
  </r>
  <r>
    <n v="11077"/>
    <n v="41"/>
    <n v="9.65"/>
    <n v="3"/>
    <n v="0"/>
    <x v="1159"/>
    <x v="2"/>
    <x v="10"/>
    <x v="3"/>
    <x v="8"/>
    <s v="Nancy Davolio"/>
  </r>
  <r>
    <n v="11077"/>
    <n v="46"/>
    <n v="12"/>
    <n v="3"/>
    <n v="0.02"/>
    <x v="1160"/>
    <x v="2"/>
    <x v="10"/>
    <x v="3"/>
    <x v="8"/>
    <s v="Nancy Davolio"/>
  </r>
  <r>
    <n v="11077"/>
    <n v="52"/>
    <n v="7"/>
    <n v="2"/>
    <n v="0"/>
    <x v="1121"/>
    <x v="2"/>
    <x v="10"/>
    <x v="1"/>
    <x v="8"/>
    <s v="Nancy Davolio"/>
  </r>
  <r>
    <n v="11077"/>
    <n v="55"/>
    <n v="24"/>
    <n v="2"/>
    <n v="0"/>
    <x v="60"/>
    <x v="2"/>
    <x v="10"/>
    <x v="7"/>
    <x v="8"/>
    <s v="Nancy Davolio"/>
  </r>
  <r>
    <n v="11077"/>
    <n v="60"/>
    <n v="34"/>
    <n v="2"/>
    <n v="0.06"/>
    <x v="1161"/>
    <x v="2"/>
    <x v="10"/>
    <x v="0"/>
    <x v="8"/>
    <s v="Nancy Davolio"/>
  </r>
  <r>
    <n v="11077"/>
    <n v="64"/>
    <n v="33.25"/>
    <n v="2"/>
    <n v="0.03"/>
    <x v="1162"/>
    <x v="2"/>
    <x v="10"/>
    <x v="1"/>
    <x v="8"/>
    <s v="Nancy Davolio"/>
  </r>
  <r>
    <n v="11077"/>
    <n v="66"/>
    <n v="17"/>
    <n v="1"/>
    <n v="0"/>
    <x v="772"/>
    <x v="2"/>
    <x v="10"/>
    <x v="4"/>
    <x v="8"/>
    <s v="Nancy Davolio"/>
  </r>
  <r>
    <n v="11077"/>
    <n v="73"/>
    <n v="15"/>
    <n v="2"/>
    <n v="0.01"/>
    <x v="1163"/>
    <x v="2"/>
    <x v="10"/>
    <x v="3"/>
    <x v="8"/>
    <s v="Nancy Davolio"/>
  </r>
  <r>
    <n v="11077"/>
    <n v="75"/>
    <n v="7.75"/>
    <n v="4"/>
    <n v="0"/>
    <x v="1154"/>
    <x v="2"/>
    <x v="10"/>
    <x v="6"/>
    <x v="8"/>
    <s v="Nancy Davolio"/>
  </r>
  <r>
    <n v="11077"/>
    <n v="77"/>
    <n v="13"/>
    <n v="2"/>
    <n v="0"/>
    <x v="1164"/>
    <x v="2"/>
    <x v="10"/>
    <x v="4"/>
    <x v="8"/>
    <s v="Nancy Davolio"/>
  </r>
</pivotCacheRecords>
</file>

<file path=xl/pivotCache/pivotCacheRecords2.xml><?xml version="1.0" encoding="utf-8"?>
<pivotCacheRecords xmlns="http://schemas.openxmlformats.org/spreadsheetml/2006/main" xmlns:r="http://schemas.openxmlformats.org/officeDocument/2006/relationships" count="12">
  <r>
    <x v="0"/>
    <x v="0"/>
  </r>
  <r>
    <x v="1"/>
    <x v="1"/>
  </r>
  <r>
    <x v="2"/>
    <x v="2"/>
  </r>
  <r>
    <x v="3"/>
    <x v="3"/>
  </r>
  <r>
    <x v="4"/>
    <x v="4"/>
  </r>
  <r>
    <x v="5"/>
    <x v="5"/>
  </r>
  <r>
    <x v="6"/>
    <x v="6"/>
  </r>
  <r>
    <x v="7"/>
    <x v="7"/>
  </r>
  <r>
    <x v="8"/>
    <x v="8"/>
  </r>
  <r>
    <x v="9"/>
    <x v="9"/>
  </r>
  <r>
    <x v="10"/>
    <x v="4"/>
  </r>
  <r>
    <x v="11"/>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1" applyNumberFormats="0" applyBorderFormats="0" applyFontFormats="0" applyPatternFormats="0" applyAlignmentFormats="0" applyWidthHeightFormats="1" dataCaption="Values" updatedVersion="4" minRefreshableVersion="3" preserveFormatting="0" itemPrintTitles="1" createdVersion="4" indent="0" outline="1" outlineData="1" multipleFieldFilters="0" chartFormat="3" rowHeaderCaption="">
  <location ref="I15:I16" firstHeaderRow="1" firstDataRow="1" firstDataCol="0"/>
  <pivotFields count="2">
    <pivotField dataField="1" showAll="0">
      <items count="13">
        <item x="0"/>
        <item x="1"/>
        <item x="2"/>
        <item x="3"/>
        <item x="4"/>
        <item x="5"/>
        <item x="6"/>
        <item x="7"/>
        <item x="8"/>
        <item x="9"/>
        <item x="10"/>
        <item x="11"/>
        <item t="default"/>
      </items>
    </pivotField>
    <pivotField showAll="0">
      <items count="12">
        <item x="5"/>
        <item x="6"/>
        <item x="8"/>
        <item x="7"/>
        <item x="4"/>
        <item x="9"/>
        <item x="10"/>
        <item x="1"/>
        <item x="0"/>
        <item x="2"/>
        <item x="3"/>
        <item t="default"/>
      </items>
    </pivotField>
  </pivotFields>
  <rowItems count="1">
    <i/>
  </rowItems>
  <colItems count="1">
    <i/>
  </colItems>
  <dataFields count="1">
    <dataField name=" "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5:B7" firstHeaderRow="1" firstDataRow="1" firstDataCol="1"/>
  <pivotFields count="11">
    <pivotField showAll="0"/>
    <pivotField showAll="0"/>
    <pivotField showAll="0"/>
    <pivotField showAll="0"/>
    <pivotField showAll="0"/>
    <pivotField dataField="1" showAll="0">
      <items count="1166">
        <item x="431"/>
        <item x="84"/>
        <item x="967"/>
        <item x="359"/>
        <item x="884"/>
        <item x="687"/>
        <item x="1121"/>
        <item x="350"/>
        <item x="942"/>
        <item x="708"/>
        <item x="213"/>
        <item x="772"/>
        <item x="1070"/>
        <item x="883"/>
        <item x="719"/>
        <item x="922"/>
        <item x="429"/>
        <item x="879"/>
        <item x="984"/>
        <item x="32"/>
        <item x="85"/>
        <item x="1151"/>
        <item x="901"/>
        <item x="150"/>
        <item x="523"/>
        <item x="1156"/>
        <item x="842"/>
        <item x="642"/>
        <item x="451"/>
        <item x="1152"/>
        <item x="360"/>
        <item x="1101"/>
        <item x="1029"/>
        <item x="1164"/>
        <item x="444"/>
        <item x="336"/>
        <item x="105"/>
        <item x="833"/>
        <item x="413"/>
        <item x="1153"/>
        <item x="147"/>
        <item x="1159"/>
        <item x="144"/>
        <item x="1163"/>
        <item x="658"/>
        <item x="146"/>
        <item x="886"/>
        <item x="1154"/>
        <item x="88"/>
        <item x="228"/>
        <item x="419"/>
        <item x="1016"/>
        <item x="1157"/>
        <item x="517"/>
        <item x="246"/>
        <item x="138"/>
        <item x="564"/>
        <item x="627"/>
        <item x="1160"/>
        <item x="338"/>
        <item x="838"/>
        <item x="903"/>
        <item x="114"/>
        <item x="458"/>
        <item x="471"/>
        <item x="628"/>
        <item x="116"/>
        <item x="566"/>
        <item x="220"/>
        <item x="503"/>
        <item x="778"/>
        <item x="733"/>
        <item x="1065"/>
        <item x="66"/>
        <item x="737"/>
        <item x="71"/>
        <item x="95"/>
        <item x="920"/>
        <item x="81"/>
        <item x="878"/>
        <item x="173"/>
        <item x="603"/>
        <item x="17"/>
        <item x="682"/>
        <item x="1034"/>
        <item x="911"/>
        <item x="12"/>
        <item x="60"/>
        <item x="1024"/>
        <item x="797"/>
        <item x="505"/>
        <item x="660"/>
        <item x="364"/>
        <item x="820"/>
        <item x="741"/>
        <item x="152"/>
        <item x="264"/>
        <item x="536"/>
        <item x="768"/>
        <item x="104"/>
        <item x="303"/>
        <item x="759"/>
        <item x="1057"/>
        <item x="859"/>
        <item x="288"/>
        <item x="699"/>
        <item x="902"/>
        <item x="830"/>
        <item x="727"/>
        <item x="179"/>
        <item x="86"/>
        <item x="1067"/>
        <item x="1072"/>
        <item x="826"/>
        <item x="227"/>
        <item x="283"/>
        <item x="553"/>
        <item x="148"/>
        <item x="41"/>
        <item x="475"/>
        <item x="160"/>
        <item x="346"/>
        <item x="739"/>
        <item x="482"/>
        <item x="1161"/>
        <item x="302"/>
        <item x="770"/>
        <item x="1162"/>
        <item x="406"/>
        <item x="1041"/>
        <item x="702"/>
        <item x="155"/>
        <item x="953"/>
        <item x="1129"/>
        <item x="323"/>
        <item x="335"/>
        <item x="662"/>
        <item x="1150"/>
        <item x="188"/>
        <item x="1088"/>
        <item x="690"/>
        <item x="691"/>
        <item x="613"/>
        <item x="1036"/>
        <item x="197"/>
        <item x="1155"/>
        <item x="268"/>
        <item x="274"/>
        <item x="1120"/>
        <item x="260"/>
        <item x="1027"/>
        <item x="530"/>
        <item x="407"/>
        <item x="111"/>
        <item x="897"/>
        <item x="420"/>
        <item x="5"/>
        <item x="888"/>
        <item x="1138"/>
        <item x="1158"/>
        <item x="639"/>
        <item x="1051"/>
        <item x="405"/>
        <item x="712"/>
        <item x="31"/>
        <item x="400"/>
        <item x="637"/>
        <item x="732"/>
        <item x="91"/>
        <item x="263"/>
        <item x="199"/>
        <item x="810"/>
        <item x="781"/>
        <item x="261"/>
        <item x="313"/>
        <item x="26"/>
        <item x="928"/>
        <item x="1140"/>
        <item x="981"/>
        <item x="388"/>
        <item x="555"/>
        <item x="211"/>
        <item x="960"/>
        <item x="363"/>
        <item x="193"/>
        <item x="195"/>
        <item x="239"/>
        <item x="969"/>
        <item x="307"/>
        <item x="504"/>
        <item x="483"/>
        <item x="33"/>
        <item x="1022"/>
        <item x="814"/>
        <item x="1114"/>
        <item x="744"/>
        <item x="8"/>
        <item x="297"/>
        <item x="529"/>
        <item x="196"/>
        <item x="1"/>
        <item x="986"/>
        <item x="907"/>
        <item x="856"/>
        <item x="1075"/>
        <item x="873"/>
        <item x="187"/>
        <item x="232"/>
        <item x="235"/>
        <item x="43"/>
        <item x="382"/>
        <item x="614"/>
        <item x="909"/>
        <item x="287"/>
        <item x="109"/>
        <item x="624"/>
        <item x="1028"/>
        <item x="563"/>
        <item x="988"/>
        <item x="266"/>
        <item x="472"/>
        <item x="247"/>
        <item x="446"/>
        <item x="1021"/>
        <item x="128"/>
        <item x="548"/>
        <item x="604"/>
        <item x="435"/>
        <item x="55"/>
        <item x="539"/>
        <item x="172"/>
        <item x="921"/>
        <item x="56"/>
        <item x="403"/>
        <item x="832"/>
        <item x="634"/>
        <item x="818"/>
        <item x="178"/>
        <item x="798"/>
        <item x="121"/>
        <item x="1128"/>
        <item x="103"/>
        <item x="479"/>
        <item x="30"/>
        <item x="595"/>
        <item x="87"/>
        <item x="685"/>
        <item x="24"/>
        <item x="345"/>
        <item x="753"/>
        <item x="459"/>
        <item x="466"/>
        <item x="470"/>
        <item x="1131"/>
        <item x="89"/>
        <item x="1064"/>
        <item x="807"/>
        <item x="970"/>
        <item x="387"/>
        <item x="440"/>
        <item x="803"/>
        <item x="135"/>
        <item x="582"/>
        <item x="982"/>
        <item x="273"/>
        <item x="498"/>
        <item x="418"/>
        <item x="924"/>
        <item x="153"/>
        <item x="868"/>
        <item x="365"/>
        <item x="230"/>
        <item x="570"/>
        <item x="65"/>
        <item x="171"/>
        <item x="157"/>
        <item x="347"/>
        <item x="1053"/>
        <item x="293"/>
        <item x="129"/>
        <item x="552"/>
        <item x="495"/>
        <item x="649"/>
        <item x="488"/>
        <item x="410"/>
        <item x="565"/>
        <item x="432"/>
        <item x="369"/>
        <item x="433"/>
        <item x="167"/>
        <item x="738"/>
        <item x="600"/>
        <item x="27"/>
        <item x="1071"/>
        <item x="1104"/>
        <item x="165"/>
        <item x="189"/>
        <item x="428"/>
        <item x="281"/>
        <item x="234"/>
        <item x="392"/>
        <item x="37"/>
        <item x="236"/>
        <item x="1045"/>
        <item x="663"/>
        <item x="497"/>
        <item x="635"/>
        <item x="39"/>
        <item x="47"/>
        <item x="528"/>
        <item x="256"/>
        <item x="441"/>
        <item x="3"/>
        <item x="0"/>
        <item x="716"/>
        <item x="575"/>
        <item x="378"/>
        <item x="828"/>
        <item x="238"/>
        <item x="2"/>
        <item x="245"/>
        <item x="573"/>
        <item x="765"/>
        <item x="841"/>
        <item x="525"/>
        <item x="115"/>
        <item x="207"/>
        <item x="486"/>
        <item x="389"/>
        <item x="994"/>
        <item x="229"/>
        <item x="161"/>
        <item x="844"/>
        <item x="900"/>
        <item x="53"/>
        <item x="1074"/>
        <item x="915"/>
        <item x="971"/>
        <item x="1095"/>
        <item x="83"/>
        <item x="370"/>
        <item x="390"/>
        <item x="643"/>
        <item x="680"/>
        <item x="623"/>
        <item x="36"/>
        <item x="480"/>
        <item x="794"/>
        <item x="300"/>
        <item x="926"/>
        <item x="657"/>
        <item x="764"/>
        <item x="607"/>
        <item x="70"/>
        <item x="298"/>
        <item x="978"/>
        <item x="783"/>
        <item x="490"/>
        <item x="154"/>
        <item x="474"/>
        <item x="709"/>
        <item x="1019"/>
        <item x="990"/>
        <item x="489"/>
        <item x="839"/>
        <item x="14"/>
        <item x="156"/>
        <item x="122"/>
        <item x="655"/>
        <item x="722"/>
        <item x="1000"/>
        <item x="860"/>
        <item x="438"/>
        <item x="452"/>
        <item x="142"/>
        <item x="337"/>
        <item x="916"/>
        <item x="578"/>
        <item x="760"/>
        <item x="477"/>
        <item x="447"/>
        <item x="676"/>
        <item x="7"/>
        <item x="45"/>
        <item x="621"/>
        <item x="304"/>
        <item x="522"/>
        <item x="383"/>
        <item x="998"/>
        <item x="9"/>
        <item x="391"/>
        <item x="340"/>
        <item x="731"/>
        <item x="102"/>
        <item x="686"/>
        <item x="434"/>
        <item x="478"/>
        <item x="463"/>
        <item x="1094"/>
        <item x="993"/>
        <item x="955"/>
        <item x="241"/>
        <item x="320"/>
        <item x="404"/>
        <item x="743"/>
        <item x="1148"/>
        <item x="590"/>
        <item x="1119"/>
        <item x="633"/>
        <item x="380"/>
        <item x="874"/>
        <item x="601"/>
        <item x="735"/>
        <item x="966"/>
        <item x="106"/>
        <item x="1002"/>
        <item x="49"/>
        <item x="761"/>
        <item x="318"/>
        <item x="1102"/>
        <item x="850"/>
        <item x="881"/>
        <item x="592"/>
        <item x="286"/>
        <item x="76"/>
        <item x="174"/>
        <item x="540"/>
        <item x="837"/>
        <item x="943"/>
        <item x="379"/>
        <item x="168"/>
        <item x="544"/>
        <item x="473"/>
        <item x="72"/>
        <item x="500"/>
        <item x="1018"/>
        <item x="267"/>
        <item x="766"/>
        <item x="1090"/>
        <item x="185"/>
        <item x="586"/>
        <item x="597"/>
        <item x="306"/>
        <item x="537"/>
        <item x="117"/>
        <item x="1093"/>
        <item x="481"/>
        <item x="890"/>
        <item x="1134"/>
        <item x="1023"/>
        <item x="143"/>
        <item x="1132"/>
        <item x="1052"/>
        <item x="630"/>
        <item x="561"/>
        <item x="1060"/>
        <item x="944"/>
        <item x="1062"/>
        <item x="758"/>
        <item x="1032"/>
        <item x="351"/>
        <item x="891"/>
        <item x="423"/>
        <item x="449"/>
        <item x="467"/>
        <item x="872"/>
        <item x="726"/>
        <item x="384"/>
        <item x="282"/>
        <item x="521"/>
        <item x="78"/>
        <item x="718"/>
        <item x="314"/>
        <item x="201"/>
        <item x="424"/>
        <item x="163"/>
        <item x="38"/>
        <item x="710"/>
        <item x="248"/>
        <item x="1017"/>
        <item x="964"/>
        <item x="1122"/>
        <item x="215"/>
        <item x="408"/>
        <item x="785"/>
        <item x="411"/>
        <item x="894"/>
        <item x="465"/>
        <item x="455"/>
        <item x="799"/>
        <item x="574"/>
        <item x="79"/>
        <item x="290"/>
        <item x="19"/>
        <item x="588"/>
        <item x="665"/>
        <item x="1126"/>
        <item x="454"/>
        <item x="1143"/>
        <item x="182"/>
        <item x="1141"/>
        <item x="206"/>
        <item x="889"/>
        <item x="848"/>
        <item x="348"/>
        <item x="543"/>
        <item x="591"/>
        <item x="343"/>
        <item x="560"/>
        <item x="577"/>
        <item x="317"/>
        <item x="934"/>
        <item x="683"/>
        <item x="527"/>
        <item x="736"/>
        <item x="439"/>
        <item x="93"/>
        <item x="493"/>
        <item x="855"/>
        <item x="636"/>
        <item x="974"/>
        <item x="622"/>
        <item x="362"/>
        <item x="110"/>
        <item x="291"/>
        <item x="10"/>
        <item x="214"/>
        <item x="858"/>
        <item x="800"/>
        <item x="852"/>
        <item x="107"/>
        <item x="725"/>
        <item x="508"/>
        <item x="18"/>
        <item x="69"/>
        <item x="344"/>
        <item x="50"/>
        <item x="487"/>
        <item x="506"/>
        <item x="412"/>
        <item x="908"/>
        <item x="1149"/>
        <item x="808"/>
        <item x="619"/>
        <item x="80"/>
        <item x="149"/>
        <item x="817"/>
        <item x="809"/>
        <item x="1146"/>
        <item x="951"/>
        <item x="40"/>
        <item x="834"/>
        <item x="352"/>
        <item x="427"/>
        <item x="355"/>
        <item x="805"/>
        <item x="867"/>
        <item x="533"/>
        <item x="648"/>
        <item x="1004"/>
        <item x="821"/>
        <item x="73"/>
        <item x="464"/>
        <item x="647"/>
        <item x="328"/>
        <item x="402"/>
        <item x="935"/>
        <item x="559"/>
        <item x="827"/>
        <item x="1037"/>
        <item x="792"/>
        <item x="21"/>
        <item x="968"/>
        <item x="82"/>
        <item x="862"/>
        <item x="713"/>
        <item x="1145"/>
        <item x="1139"/>
        <item x="513"/>
        <item x="757"/>
        <item x="549"/>
        <item x="61"/>
        <item x="141"/>
        <item x="240"/>
        <item x="851"/>
        <item x="995"/>
        <item x="23"/>
        <item x="692"/>
        <item x="145"/>
        <item x="666"/>
        <item x="92"/>
        <item x="853"/>
        <item x="186"/>
        <item x="309"/>
        <item x="651"/>
        <item x="244"/>
        <item x="284"/>
        <item x="62"/>
        <item x="265"/>
        <item x="262"/>
        <item x="1035"/>
        <item x="652"/>
        <item x="812"/>
        <item x="94"/>
        <item x="632"/>
        <item x="271"/>
        <item x="1047"/>
        <item x="443"/>
        <item x="941"/>
        <item x="532"/>
        <item x="1059"/>
        <item x="123"/>
        <item x="670"/>
        <item x="354"/>
        <item x="723"/>
        <item x="1031"/>
        <item x="750"/>
        <item x="992"/>
        <item x="484"/>
        <item x="492"/>
        <item x="535"/>
        <item x="181"/>
        <item x="414"/>
        <item x="1061"/>
        <item x="333"/>
        <item x="845"/>
        <item x="269"/>
        <item x="1063"/>
        <item x="557"/>
        <item x="1078"/>
        <item x="694"/>
        <item x="124"/>
        <item x="430"/>
        <item x="301"/>
        <item x="401"/>
        <item x="893"/>
        <item x="569"/>
        <item x="977"/>
        <item x="137"/>
        <item x="1050"/>
        <item x="132"/>
        <item x="714"/>
        <item x="35"/>
        <item x="609"/>
        <item x="1144"/>
        <item x="696"/>
        <item x="216"/>
        <item x="762"/>
        <item x="295"/>
        <item x="68"/>
        <item x="1098"/>
        <item x="134"/>
        <item x="58"/>
        <item x="949"/>
        <item x="958"/>
        <item x="937"/>
        <item x="231"/>
        <item x="788"/>
        <item x="118"/>
        <item x="779"/>
        <item x="952"/>
        <item x="97"/>
        <item x="734"/>
        <item x="460"/>
        <item x="292"/>
        <item x="398"/>
        <item x="784"/>
        <item x="101"/>
        <item x="75"/>
        <item x="991"/>
        <item x="610"/>
        <item x="1046"/>
        <item x="910"/>
        <item x="965"/>
        <item x="136"/>
        <item x="1127"/>
        <item x="724"/>
        <item x="913"/>
        <item x="688"/>
        <item x="217"/>
        <item x="20"/>
        <item x="684"/>
        <item x="611"/>
        <item x="740"/>
        <item x="946"/>
        <item x="629"/>
        <item x="1010"/>
        <item x="342"/>
        <item x="593"/>
        <item x="485"/>
        <item x="782"/>
        <item x="1068"/>
        <item x="1099"/>
        <item x="326"/>
        <item x="289"/>
        <item x="169"/>
        <item x="672"/>
        <item x="542"/>
        <item x="457"/>
        <item x="415"/>
        <item x="170"/>
        <item x="442"/>
        <item x="605"/>
        <item x="96"/>
        <item x="752"/>
        <item x="372"/>
        <item x="728"/>
        <item x="835"/>
        <item x="159"/>
        <item x="754"/>
        <item x="906"/>
        <item x="806"/>
        <item x="1110"/>
        <item x="938"/>
        <item x="305"/>
        <item x="57"/>
        <item x="133"/>
        <item x="1073"/>
        <item x="46"/>
        <item x="576"/>
        <item x="1026"/>
        <item x="615"/>
        <item x="311"/>
        <item x="700"/>
        <item x="294"/>
        <item x="416"/>
        <item x="357"/>
        <item x="711"/>
        <item x="377"/>
        <item x="119"/>
        <item x="606"/>
        <item x="126"/>
        <item x="1040"/>
        <item x="596"/>
        <item x="255"/>
        <item x="825"/>
        <item x="1044"/>
        <item x="1080"/>
        <item x="64"/>
        <item x="956"/>
        <item x="422"/>
        <item x="120"/>
        <item x="242"/>
        <item x="394"/>
        <item x="184"/>
        <item x="393"/>
        <item x="791"/>
        <item x="203"/>
        <item x="275"/>
        <item x="322"/>
        <item x="224"/>
        <item x="583"/>
        <item x="1003"/>
        <item x="315"/>
        <item x="496"/>
        <item x="409"/>
        <item x="602"/>
        <item x="192"/>
        <item x="127"/>
        <item x="1123"/>
        <item x="612"/>
        <item x="587"/>
        <item x="641"/>
        <item x="243"/>
        <item x="202"/>
        <item x="638"/>
        <item x="113"/>
        <item x="312"/>
        <item x="15"/>
        <item x="331"/>
        <item x="28"/>
        <item x="226"/>
        <item x="218"/>
        <item x="221"/>
        <item x="285"/>
        <item x="198"/>
        <item x="777"/>
        <item x="1039"/>
        <item x="205"/>
        <item x="864"/>
        <item x="616"/>
        <item x="831"/>
        <item x="42"/>
        <item x="698"/>
        <item x="756"/>
        <item x="1030"/>
        <item x="476"/>
        <item x="16"/>
        <item x="963"/>
        <item x="819"/>
        <item x="898"/>
        <item x="468"/>
        <item x="324"/>
        <item x="836"/>
        <item x="371"/>
        <item x="580"/>
        <item x="775"/>
        <item x="453"/>
        <item x="936"/>
        <item x="77"/>
        <item x="1133"/>
        <item x="250"/>
        <item x="63"/>
        <item x="183"/>
        <item x="861"/>
        <item x="279"/>
        <item x="693"/>
        <item x="572"/>
        <item x="999"/>
        <item x="1137"/>
        <item x="280"/>
        <item x="367"/>
        <item x="456"/>
        <item x="520"/>
        <item x="204"/>
        <item x="1083"/>
        <item x="769"/>
        <item x="257"/>
        <item x="877"/>
        <item x="625"/>
        <item x="341"/>
        <item x="332"/>
        <item x="494"/>
        <item x="940"/>
        <item x="957"/>
        <item x="386"/>
        <item x="448"/>
        <item x="1125"/>
        <item x="929"/>
        <item x="74"/>
        <item x="436"/>
        <item x="562"/>
        <item x="461"/>
        <item x="51"/>
        <item x="151"/>
        <item x="1136"/>
        <item x="249"/>
        <item x="695"/>
        <item x="646"/>
        <item x="556"/>
        <item x="689"/>
        <item x="361"/>
        <item x="979"/>
        <item x="763"/>
        <item x="98"/>
        <item x="1092"/>
        <item x="987"/>
        <item x="1001"/>
        <item x="679"/>
        <item x="450"/>
        <item x="923"/>
        <item x="669"/>
        <item x="742"/>
        <item x="1109"/>
        <item x="985"/>
        <item x="729"/>
        <item x="589"/>
        <item x="730"/>
        <item x="34"/>
        <item x="927"/>
        <item x="917"/>
        <item x="310"/>
        <item x="816"/>
        <item x="1066"/>
        <item x="707"/>
        <item x="771"/>
        <item x="272"/>
        <item x="939"/>
        <item x="584"/>
        <item x="1011"/>
        <item x="399"/>
        <item x="975"/>
        <item x="626"/>
        <item x="512"/>
        <item x="947"/>
        <item x="1042"/>
        <item x="551"/>
        <item x="67"/>
        <item x="681"/>
        <item x="843"/>
        <item x="654"/>
        <item x="259"/>
        <item x="880"/>
        <item x="381"/>
        <item x="822"/>
        <item x="175"/>
        <item x="426"/>
        <item x="125"/>
        <item x="749"/>
        <item x="515"/>
        <item x="278"/>
        <item x="25"/>
        <item x="790"/>
        <item x="366"/>
        <item x="158"/>
        <item x="1009"/>
        <item x="29"/>
        <item x="164"/>
        <item x="887"/>
        <item x="558"/>
        <item x="547"/>
        <item x="1008"/>
        <item x="353"/>
        <item x="793"/>
        <item x="59"/>
        <item x="720"/>
        <item x="373"/>
        <item x="162"/>
        <item x="829"/>
        <item x="976"/>
        <item x="703"/>
        <item x="1055"/>
        <item x="776"/>
        <item x="44"/>
        <item x="1015"/>
        <item x="501"/>
        <item x="48"/>
        <item x="594"/>
        <item x="815"/>
        <item x="932"/>
        <item x="1091"/>
        <item x="945"/>
        <item x="554"/>
        <item x="962"/>
        <item x="571"/>
        <item x="210"/>
        <item x="90"/>
        <item x="617"/>
        <item x="1079"/>
        <item x="531"/>
        <item x="541"/>
        <item x="824"/>
        <item x="54"/>
        <item x="599"/>
        <item x="1085"/>
        <item x="755"/>
        <item x="661"/>
        <item x="225"/>
        <item x="131"/>
        <item x="746"/>
        <item x="905"/>
        <item x="321"/>
        <item x="866"/>
        <item x="631"/>
        <item x="550"/>
        <item x="933"/>
        <item x="308"/>
        <item x="705"/>
        <item x="191"/>
        <item x="469"/>
        <item x="931"/>
        <item x="671"/>
        <item x="1108"/>
        <item x="854"/>
        <item x="13"/>
        <item x="252"/>
        <item x="534"/>
        <item x="385"/>
        <item x="1038"/>
        <item x="209"/>
        <item x="717"/>
        <item x="1048"/>
        <item x="180"/>
        <item x="918"/>
        <item x="645"/>
        <item x="374"/>
        <item x="139"/>
        <item x="233"/>
        <item x="904"/>
        <item x="581"/>
        <item x="546"/>
        <item x="959"/>
        <item x="774"/>
        <item x="701"/>
        <item x="1118"/>
        <item x="857"/>
        <item x="376"/>
        <item x="950"/>
        <item x="989"/>
        <item x="1130"/>
        <item x="914"/>
        <item x="1097"/>
        <item x="1006"/>
        <item x="1081"/>
        <item x="598"/>
        <item x="847"/>
        <item x="747"/>
        <item x="961"/>
        <item x="1100"/>
        <item x="1033"/>
        <item x="640"/>
        <item x="130"/>
        <item x="567"/>
        <item x="1043"/>
        <item x="721"/>
        <item x="925"/>
        <item x="6"/>
        <item x="1124"/>
        <item x="502"/>
        <item x="507"/>
        <item x="876"/>
        <item x="112"/>
        <item x="802"/>
        <item x="316"/>
        <item x="421"/>
        <item x="896"/>
        <item x="885"/>
        <item x="514"/>
        <item x="22"/>
        <item x="1086"/>
        <item x="219"/>
        <item x="258"/>
        <item x="667"/>
        <item x="674"/>
        <item x="650"/>
        <item x="823"/>
        <item x="796"/>
        <item x="334"/>
        <item x="339"/>
        <item x="1107"/>
        <item x="296"/>
        <item x="358"/>
        <item x="212"/>
        <item x="677"/>
        <item x="519"/>
        <item x="1142"/>
        <item x="801"/>
        <item x="1111"/>
        <item x="277"/>
        <item x="99"/>
        <item x="417"/>
        <item x="863"/>
        <item x="811"/>
        <item x="108"/>
        <item x="1112"/>
        <item x="176"/>
        <item x="445"/>
        <item x="840"/>
        <item x="871"/>
        <item x="526"/>
        <item x="1076"/>
        <item x="997"/>
        <item x="356"/>
        <item x="545"/>
        <item x="996"/>
        <item x="100"/>
        <item x="425"/>
        <item x="510"/>
        <item x="1087"/>
        <item x="194"/>
        <item x="437"/>
        <item x="491"/>
        <item x="200"/>
        <item x="980"/>
        <item x="899"/>
        <item x="1116"/>
        <item x="319"/>
        <item x="1012"/>
        <item x="222"/>
        <item x="4"/>
        <item x="846"/>
        <item x="751"/>
        <item x="745"/>
        <item x="1020"/>
        <item x="1069"/>
        <item x="1049"/>
        <item x="396"/>
        <item x="1106"/>
        <item x="678"/>
        <item x="397"/>
        <item x="865"/>
        <item x="618"/>
        <item x="1084"/>
        <item x="748"/>
        <item x="1082"/>
        <item x="299"/>
        <item x="787"/>
        <item x="912"/>
        <item x="895"/>
        <item x="659"/>
        <item x="804"/>
        <item x="1105"/>
        <item x="579"/>
        <item x="270"/>
        <item x="644"/>
        <item x="395"/>
        <item x="948"/>
        <item x="1117"/>
        <item x="251"/>
        <item x="325"/>
        <item x="208"/>
        <item x="327"/>
        <item x="715"/>
        <item x="1005"/>
        <item x="870"/>
        <item x="254"/>
        <item x="1054"/>
        <item x="329"/>
        <item x="585"/>
        <item x="620"/>
        <item x="673"/>
        <item x="972"/>
        <item x="656"/>
        <item x="140"/>
        <item x="875"/>
        <item x="223"/>
        <item x="664"/>
        <item x="869"/>
        <item x="330"/>
        <item x="892"/>
        <item x="789"/>
        <item x="177"/>
        <item x="518"/>
        <item x="11"/>
        <item x="375"/>
        <item x="973"/>
        <item x="849"/>
        <item x="697"/>
        <item x="653"/>
        <item x="52"/>
        <item x="919"/>
        <item x="462"/>
        <item x="608"/>
        <item x="511"/>
        <item x="795"/>
        <item x="1135"/>
        <item x="954"/>
        <item x="166"/>
        <item x="538"/>
        <item x="1056"/>
        <item x="1007"/>
        <item x="1096"/>
        <item x="706"/>
        <item x="509"/>
        <item x="704"/>
        <item x="1013"/>
        <item x="253"/>
        <item x="767"/>
        <item x="780"/>
        <item x="675"/>
        <item x="773"/>
        <item x="1058"/>
        <item x="668"/>
        <item x="813"/>
        <item x="524"/>
        <item x="190"/>
        <item x="1113"/>
        <item x="1147"/>
        <item x="499"/>
        <item x="1089"/>
        <item x="786"/>
        <item x="516"/>
        <item x="1025"/>
        <item x="882"/>
        <item x="1103"/>
        <item x="276"/>
        <item x="1115"/>
        <item x="930"/>
        <item x="568"/>
        <item x="368"/>
        <item x="237"/>
        <item x="1014"/>
        <item x="349"/>
        <item x="983"/>
        <item x="1077"/>
        <item t="default"/>
      </items>
    </pivotField>
    <pivotField axis="axisRow" showAll="0">
      <items count="4">
        <item h="1" x="0"/>
        <item x="1"/>
        <item h="1" x="2"/>
        <item t="default"/>
      </items>
    </pivotField>
    <pivotField showAll="0"/>
    <pivotField showAll="0">
      <items count="9">
        <item h="1" x="6"/>
        <item h="1" x="4"/>
        <item h="1" x="5"/>
        <item x="0"/>
        <item h="1" x="1"/>
        <item h="1" x="7"/>
        <item h="1" x="2"/>
        <item h="1" x="3"/>
        <item t="default"/>
      </items>
    </pivotField>
    <pivotField showAll="0">
      <items count="22">
        <item h="1" x="20"/>
        <item h="1" x="6"/>
        <item h="1" x="3"/>
        <item h="1" x="2"/>
        <item h="1" x="16"/>
        <item x="17"/>
        <item h="1" x="10"/>
        <item h="1" x="0"/>
        <item h="1" x="1"/>
        <item h="1" x="14"/>
        <item h="1" x="11"/>
        <item h="1" x="7"/>
        <item h="1" x="19"/>
        <item h="1" x="18"/>
        <item h="1" x="15"/>
        <item h="1" x="12"/>
        <item h="1" x="9"/>
        <item h="1" x="4"/>
        <item h="1" x="13"/>
        <item h="1" x="8"/>
        <item h="1" x="5"/>
        <item t="default"/>
      </items>
    </pivotField>
    <pivotField showAll="0"/>
  </pivotFields>
  <rowFields count="1">
    <field x="6"/>
  </rowFields>
  <rowItems count="2">
    <i>
      <x v="1"/>
    </i>
    <i t="grand">
      <x/>
    </i>
  </rowItems>
  <colItems count="1">
    <i/>
  </colItems>
  <dataFields count="1">
    <dataField name="Sum of Revenue" fld="5" baseField="0" baseItem="0"/>
  </dataFields>
  <chartFormats count="4">
    <chartFormat chart="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orders" connectionId="4"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customers"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products" connectionId="5"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categories" connectionId="1"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employees" connectionId="3"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shippers" connectionId="6" autoFormatId="16" applyNumberFormats="0" applyBorderFormats="0" applyFontFormats="1" applyPatternFormats="1"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3" name="PivotTable2"/>
  </pivotTables>
  <data>
    <tabular pivotCacheId="1">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3" name="PivotTable2"/>
  </pivotTables>
  <data>
    <tabular pivotCacheId="1">
      <items count="8">
        <i x="6"/>
        <i x="4"/>
        <i x="5"/>
        <i x="0" s="1"/>
        <i x="1"/>
        <i x="7"/>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3" name="PivotTable2"/>
  </pivotTables>
  <data>
    <tabular pivotCacheId="1">
      <items count="21">
        <i x="20"/>
        <i x="6"/>
        <i x="3"/>
        <i x="2"/>
        <i x="16"/>
        <i x="17" s="1"/>
        <i x="10"/>
        <i x="0"/>
        <i x="1"/>
        <i x="14"/>
        <i x="11"/>
        <i x="7"/>
        <i x="18"/>
        <i x="15"/>
        <i x="9"/>
        <i x="4"/>
        <i x="13"/>
        <i x="8"/>
        <i x="5"/>
        <i x="19" nd="1"/>
        <i x="1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Category" cache="Slicer_Category" caption="Category" rowHeight="241300"/>
  <slicer name="Country" cache="Slicer_Country" caption="Country" rowHeight="241300"/>
</slicers>
</file>

<file path=xl/tables/table1.xml><?xml version="1.0" encoding="utf-8"?>
<table xmlns="http://schemas.openxmlformats.org/spreadsheetml/2006/main" id="1" name="Table1" displayName="Table1" ref="A1:K2156" totalsRowShown="0">
  <autoFilter ref="A1:K2156"/>
  <tableColumns count="11">
    <tableColumn id="1" name="orderID"/>
    <tableColumn id="2" name="productID"/>
    <tableColumn id="3" name="unitPrice"/>
    <tableColumn id="4" name="quantity"/>
    <tableColumn id="5" name="discount"/>
    <tableColumn id="6" name="Revenue">
      <calculatedColumnFormula>C2*D2*(1-E2)</calculatedColumnFormula>
    </tableColumn>
    <tableColumn id="7" name="Year">
      <calculatedColumnFormula>YEAR(VLOOKUP(A2,orders!A:D,4,0))</calculatedColumnFormula>
    </tableColumn>
    <tableColumn id="8" name="Month">
      <calculatedColumnFormula>MONTH(INDEX(orders!D:D,MATCH(A2, orders!A:A,0)))</calculatedColumnFormula>
    </tableColumn>
    <tableColumn id="9" name="Category">
      <calculatedColumnFormula>VLOOKUP(VLOOKUP(B2,products!A:F,6,0),categories!A:B,2,0)</calculatedColumnFormula>
    </tableColumn>
    <tableColumn id="10" name="Country">
      <calculatedColumnFormula>VLOOKUP(VLOOKUP(A2,orders!A:B,2,0),customers!A:F,6,0)</calculatedColumnFormula>
    </tableColumn>
    <tableColumn id="11" name="Employee">
      <calculatedColumnFormula>VLOOKUP(VLOOKUP(A2,orders!A:C,3,0),employees!A:B,2,0)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831"/>
  <sheetViews>
    <sheetView tabSelected="1" workbookViewId="0">
      <selection activeCell="BS831" sqref="BS831:BT831"/>
    </sheetView>
  </sheetViews>
  <sheetFormatPr defaultRowHeight="15" x14ac:dyDescent="0.25"/>
  <cols>
    <col min="1" max="1" width="7.7109375" bestFit="1" customWidth="1"/>
    <col min="2" max="2" width="11.140625" bestFit="1" customWidth="1"/>
    <col min="3" max="3" width="11.85546875" bestFit="1" customWidth="1"/>
    <col min="4" max="4" width="10.7109375" bestFit="1" customWidth="1"/>
    <col min="5" max="5" width="12.85546875" bestFit="1" customWidth="1"/>
    <col min="6" max="6" width="12.28515625" bestFit="1" customWidth="1"/>
    <col min="7" max="7" width="9.5703125" bestFit="1" customWidth="1"/>
    <col min="8" max="8" width="8" bestFit="1" customWidth="1"/>
  </cols>
  <sheetData>
    <row r="1" spans="1:9" x14ac:dyDescent="0.25">
      <c r="A1" t="s">
        <v>0</v>
      </c>
      <c r="B1" t="s">
        <v>1</v>
      </c>
      <c r="C1" t="s">
        <v>2</v>
      </c>
      <c r="D1" t="s">
        <v>3</v>
      </c>
      <c r="E1" t="s">
        <v>4</v>
      </c>
      <c r="F1" t="s">
        <v>5</v>
      </c>
      <c r="G1" t="s">
        <v>6</v>
      </c>
      <c r="H1" t="s">
        <v>7</v>
      </c>
      <c r="I1" t="s">
        <v>585</v>
      </c>
    </row>
    <row r="2" spans="1:9" x14ac:dyDescent="0.25">
      <c r="A2">
        <v>10248</v>
      </c>
      <c r="B2" t="s">
        <v>8</v>
      </c>
      <c r="C2">
        <v>5</v>
      </c>
      <c r="D2" s="1">
        <v>41459</v>
      </c>
      <c r="E2" s="1">
        <v>41487</v>
      </c>
      <c r="F2" s="1">
        <v>41471</v>
      </c>
      <c r="G2">
        <v>3</v>
      </c>
      <c r="H2">
        <v>32.380000000000003</v>
      </c>
      <c r="I2">
        <f>YEAR(D2)</f>
        <v>2013</v>
      </c>
    </row>
    <row r="3" spans="1:9" x14ac:dyDescent="0.25">
      <c r="A3">
        <v>10249</v>
      </c>
      <c r="B3" t="s">
        <v>9</v>
      </c>
      <c r="C3">
        <v>6</v>
      </c>
      <c r="D3" s="1">
        <v>41460</v>
      </c>
      <c r="E3" s="1">
        <v>41502</v>
      </c>
      <c r="F3" s="1">
        <v>41465</v>
      </c>
      <c r="G3">
        <v>1</v>
      </c>
      <c r="H3">
        <v>11.61</v>
      </c>
      <c r="I3">
        <f t="shared" ref="I3:I66" si="0">YEAR(D3)</f>
        <v>2013</v>
      </c>
    </row>
    <row r="4" spans="1:9" x14ac:dyDescent="0.25">
      <c r="A4">
        <v>10250</v>
      </c>
      <c r="B4" t="s">
        <v>10</v>
      </c>
      <c r="C4">
        <v>4</v>
      </c>
      <c r="D4" s="1">
        <v>41463</v>
      </c>
      <c r="E4" s="1">
        <v>41491</v>
      </c>
      <c r="F4" s="1">
        <v>41467</v>
      </c>
      <c r="G4">
        <v>2</v>
      </c>
      <c r="H4">
        <v>65.83</v>
      </c>
      <c r="I4">
        <f t="shared" si="0"/>
        <v>2013</v>
      </c>
    </row>
    <row r="5" spans="1:9" x14ac:dyDescent="0.25">
      <c r="A5">
        <v>10251</v>
      </c>
      <c r="B5" t="s">
        <v>11</v>
      </c>
      <c r="C5">
        <v>3</v>
      </c>
      <c r="D5" s="1">
        <v>41463</v>
      </c>
      <c r="E5" s="1">
        <v>41491</v>
      </c>
      <c r="F5" s="1">
        <v>41470</v>
      </c>
      <c r="G5">
        <v>1</v>
      </c>
      <c r="H5">
        <v>41.34</v>
      </c>
      <c r="I5">
        <f t="shared" si="0"/>
        <v>2013</v>
      </c>
    </row>
    <row r="6" spans="1:9" x14ac:dyDescent="0.25">
      <c r="A6">
        <v>10252</v>
      </c>
      <c r="B6" t="s">
        <v>12</v>
      </c>
      <c r="C6">
        <v>4</v>
      </c>
      <c r="D6" s="1">
        <v>41464</v>
      </c>
      <c r="E6" s="1">
        <v>41492</v>
      </c>
      <c r="F6" s="1">
        <v>41466</v>
      </c>
      <c r="G6">
        <v>2</v>
      </c>
      <c r="H6">
        <v>51.3</v>
      </c>
      <c r="I6">
        <f t="shared" si="0"/>
        <v>2013</v>
      </c>
    </row>
    <row r="7" spans="1:9" x14ac:dyDescent="0.25">
      <c r="A7">
        <v>10253</v>
      </c>
      <c r="B7" t="s">
        <v>10</v>
      </c>
      <c r="C7">
        <v>3</v>
      </c>
      <c r="D7" s="1">
        <v>41465</v>
      </c>
      <c r="E7" s="1">
        <v>41479</v>
      </c>
      <c r="F7" s="1">
        <v>41471</v>
      </c>
      <c r="G7">
        <v>2</v>
      </c>
      <c r="H7">
        <v>58.17</v>
      </c>
      <c r="I7">
        <f t="shared" si="0"/>
        <v>2013</v>
      </c>
    </row>
    <row r="8" spans="1:9" x14ac:dyDescent="0.25">
      <c r="A8">
        <v>10254</v>
      </c>
      <c r="B8" t="s">
        <v>13</v>
      </c>
      <c r="C8">
        <v>5</v>
      </c>
      <c r="D8" s="1">
        <v>41466</v>
      </c>
      <c r="E8" s="1">
        <v>41494</v>
      </c>
      <c r="F8" s="1">
        <v>41478</v>
      </c>
      <c r="G8">
        <v>2</v>
      </c>
      <c r="H8">
        <v>22.98</v>
      </c>
      <c r="I8">
        <f t="shared" si="0"/>
        <v>2013</v>
      </c>
    </row>
    <row r="9" spans="1:9" x14ac:dyDescent="0.25">
      <c r="A9">
        <v>10255</v>
      </c>
      <c r="B9" t="s">
        <v>14</v>
      </c>
      <c r="C9">
        <v>9</v>
      </c>
      <c r="D9" s="1">
        <v>41467</v>
      </c>
      <c r="E9" s="1">
        <v>41495</v>
      </c>
      <c r="F9" s="1">
        <v>41470</v>
      </c>
      <c r="G9">
        <v>3</v>
      </c>
      <c r="H9">
        <v>148.33000000000001</v>
      </c>
      <c r="I9">
        <f t="shared" si="0"/>
        <v>2013</v>
      </c>
    </row>
    <row r="10" spans="1:9" x14ac:dyDescent="0.25">
      <c r="A10">
        <v>10256</v>
      </c>
      <c r="B10" t="s">
        <v>15</v>
      </c>
      <c r="C10">
        <v>3</v>
      </c>
      <c r="D10" s="1">
        <v>41470</v>
      </c>
      <c r="E10" s="1">
        <v>41498</v>
      </c>
      <c r="F10" s="1">
        <v>41472</v>
      </c>
      <c r="G10">
        <v>2</v>
      </c>
      <c r="H10">
        <v>13.97</v>
      </c>
      <c r="I10">
        <f t="shared" si="0"/>
        <v>2013</v>
      </c>
    </row>
    <row r="11" spans="1:9" x14ac:dyDescent="0.25">
      <c r="A11">
        <v>10257</v>
      </c>
      <c r="B11" t="s">
        <v>16</v>
      </c>
      <c r="C11">
        <v>4</v>
      </c>
      <c r="D11" s="1">
        <v>41471</v>
      </c>
      <c r="E11" s="1">
        <v>41499</v>
      </c>
      <c r="F11" s="1">
        <v>41477</v>
      </c>
      <c r="G11">
        <v>3</v>
      </c>
      <c r="H11">
        <v>81.91</v>
      </c>
      <c r="I11">
        <f t="shared" si="0"/>
        <v>2013</v>
      </c>
    </row>
    <row r="12" spans="1:9" x14ac:dyDescent="0.25">
      <c r="A12">
        <v>10258</v>
      </c>
      <c r="B12" t="s">
        <v>17</v>
      </c>
      <c r="C12">
        <v>1</v>
      </c>
      <c r="D12" s="1">
        <v>41472</v>
      </c>
      <c r="E12" s="1">
        <v>41500</v>
      </c>
      <c r="F12" s="1">
        <v>41478</v>
      </c>
      <c r="G12">
        <v>1</v>
      </c>
      <c r="H12">
        <v>140.51</v>
      </c>
      <c r="I12">
        <f t="shared" si="0"/>
        <v>2013</v>
      </c>
    </row>
    <row r="13" spans="1:9" x14ac:dyDescent="0.25">
      <c r="A13">
        <v>10259</v>
      </c>
      <c r="B13" t="s">
        <v>18</v>
      </c>
      <c r="C13">
        <v>4</v>
      </c>
      <c r="D13" s="1">
        <v>41473</v>
      </c>
      <c r="E13" s="1">
        <v>41501</v>
      </c>
      <c r="F13" s="1">
        <v>41480</v>
      </c>
      <c r="G13">
        <v>3</v>
      </c>
      <c r="H13">
        <v>3.25</v>
      </c>
      <c r="I13">
        <f t="shared" si="0"/>
        <v>2013</v>
      </c>
    </row>
    <row r="14" spans="1:9" x14ac:dyDescent="0.25">
      <c r="A14">
        <v>10260</v>
      </c>
      <c r="B14" t="s">
        <v>19</v>
      </c>
      <c r="C14">
        <v>4</v>
      </c>
      <c r="D14" s="1">
        <v>41474</v>
      </c>
      <c r="E14" s="1">
        <v>41502</v>
      </c>
      <c r="F14" s="1">
        <v>41484</v>
      </c>
      <c r="G14">
        <v>1</v>
      </c>
      <c r="H14">
        <v>55.09</v>
      </c>
      <c r="I14">
        <f t="shared" si="0"/>
        <v>2013</v>
      </c>
    </row>
    <row r="15" spans="1:9" x14ac:dyDescent="0.25">
      <c r="A15">
        <v>10261</v>
      </c>
      <c r="B15" t="s">
        <v>20</v>
      </c>
      <c r="C15">
        <v>4</v>
      </c>
      <c r="D15" s="1">
        <v>41474</v>
      </c>
      <c r="E15" s="1">
        <v>41502</v>
      </c>
      <c r="F15" s="1">
        <v>41485</v>
      </c>
      <c r="G15">
        <v>2</v>
      </c>
      <c r="H15">
        <v>3.05</v>
      </c>
      <c r="I15">
        <f t="shared" si="0"/>
        <v>2013</v>
      </c>
    </row>
    <row r="16" spans="1:9" x14ac:dyDescent="0.25">
      <c r="A16">
        <v>10262</v>
      </c>
      <c r="B16" t="s">
        <v>21</v>
      </c>
      <c r="C16">
        <v>8</v>
      </c>
      <c r="D16" s="1">
        <v>41477</v>
      </c>
      <c r="E16" s="1">
        <v>41505</v>
      </c>
      <c r="F16" s="1">
        <v>41480</v>
      </c>
      <c r="G16">
        <v>3</v>
      </c>
      <c r="H16">
        <v>48.29</v>
      </c>
      <c r="I16">
        <f t="shared" si="0"/>
        <v>2013</v>
      </c>
    </row>
    <row r="17" spans="1:9" x14ac:dyDescent="0.25">
      <c r="A17">
        <v>10263</v>
      </c>
      <c r="B17" t="s">
        <v>17</v>
      </c>
      <c r="C17">
        <v>9</v>
      </c>
      <c r="D17" s="1">
        <v>41478</v>
      </c>
      <c r="E17" s="1">
        <v>41506</v>
      </c>
      <c r="F17" s="1">
        <v>41486</v>
      </c>
      <c r="G17">
        <v>3</v>
      </c>
      <c r="H17">
        <v>146.06</v>
      </c>
      <c r="I17">
        <f t="shared" si="0"/>
        <v>2013</v>
      </c>
    </row>
    <row r="18" spans="1:9" x14ac:dyDescent="0.25">
      <c r="A18">
        <v>10264</v>
      </c>
      <c r="B18" t="s">
        <v>22</v>
      </c>
      <c r="C18">
        <v>6</v>
      </c>
      <c r="D18" s="1">
        <v>41479</v>
      </c>
      <c r="E18" s="1">
        <v>41507</v>
      </c>
      <c r="F18" s="1">
        <v>41509</v>
      </c>
      <c r="G18">
        <v>3</v>
      </c>
      <c r="H18">
        <v>3.67</v>
      </c>
      <c r="I18">
        <f t="shared" si="0"/>
        <v>2013</v>
      </c>
    </row>
    <row r="19" spans="1:9" x14ac:dyDescent="0.25">
      <c r="A19">
        <v>10265</v>
      </c>
      <c r="B19" t="s">
        <v>23</v>
      </c>
      <c r="C19">
        <v>2</v>
      </c>
      <c r="D19" s="1">
        <v>41480</v>
      </c>
      <c r="E19" s="1">
        <v>41508</v>
      </c>
      <c r="F19" s="1">
        <v>41498</v>
      </c>
      <c r="G19">
        <v>1</v>
      </c>
      <c r="H19">
        <v>55.28</v>
      </c>
      <c r="I19">
        <f t="shared" si="0"/>
        <v>2013</v>
      </c>
    </row>
    <row r="20" spans="1:9" x14ac:dyDescent="0.25">
      <c r="A20">
        <v>10266</v>
      </c>
      <c r="B20" t="s">
        <v>24</v>
      </c>
      <c r="C20">
        <v>3</v>
      </c>
      <c r="D20" s="1">
        <v>41481</v>
      </c>
      <c r="E20" s="1">
        <v>41523</v>
      </c>
      <c r="F20" s="1">
        <v>41486</v>
      </c>
      <c r="G20">
        <v>3</v>
      </c>
      <c r="H20">
        <v>25.73</v>
      </c>
      <c r="I20">
        <f t="shared" si="0"/>
        <v>2013</v>
      </c>
    </row>
    <row r="21" spans="1:9" x14ac:dyDescent="0.25">
      <c r="A21">
        <v>10267</v>
      </c>
      <c r="B21" t="s">
        <v>25</v>
      </c>
      <c r="C21">
        <v>4</v>
      </c>
      <c r="D21" s="1">
        <v>41484</v>
      </c>
      <c r="E21" s="1">
        <v>41512</v>
      </c>
      <c r="F21" s="1">
        <v>41492</v>
      </c>
      <c r="G21">
        <v>1</v>
      </c>
      <c r="H21">
        <v>208.58</v>
      </c>
      <c r="I21">
        <f t="shared" si="0"/>
        <v>2013</v>
      </c>
    </row>
    <row r="22" spans="1:9" x14ac:dyDescent="0.25">
      <c r="A22">
        <v>10268</v>
      </c>
      <c r="B22" t="s">
        <v>26</v>
      </c>
      <c r="C22">
        <v>8</v>
      </c>
      <c r="D22" s="1">
        <v>41485</v>
      </c>
      <c r="E22" s="1">
        <v>41513</v>
      </c>
      <c r="F22" s="1">
        <v>41488</v>
      </c>
      <c r="G22">
        <v>3</v>
      </c>
      <c r="H22">
        <v>66.290000000000006</v>
      </c>
      <c r="I22">
        <f t="shared" si="0"/>
        <v>2013</v>
      </c>
    </row>
    <row r="23" spans="1:9" x14ac:dyDescent="0.25">
      <c r="A23">
        <v>10269</v>
      </c>
      <c r="B23" t="s">
        <v>27</v>
      </c>
      <c r="C23">
        <v>5</v>
      </c>
      <c r="D23" s="1">
        <v>41486</v>
      </c>
      <c r="E23" s="1">
        <v>41500</v>
      </c>
      <c r="F23" s="1">
        <v>41495</v>
      </c>
      <c r="G23">
        <v>1</v>
      </c>
      <c r="H23">
        <v>4.5599999999999996</v>
      </c>
      <c r="I23">
        <f t="shared" si="0"/>
        <v>2013</v>
      </c>
    </row>
    <row r="24" spans="1:9" x14ac:dyDescent="0.25">
      <c r="A24">
        <v>10270</v>
      </c>
      <c r="B24" t="s">
        <v>24</v>
      </c>
      <c r="C24">
        <v>1</v>
      </c>
      <c r="D24" s="1">
        <v>41487</v>
      </c>
      <c r="E24" s="1">
        <v>41515</v>
      </c>
      <c r="F24" s="1">
        <v>41488</v>
      </c>
      <c r="G24">
        <v>1</v>
      </c>
      <c r="H24">
        <v>136.54</v>
      </c>
      <c r="I24">
        <f t="shared" si="0"/>
        <v>2013</v>
      </c>
    </row>
    <row r="25" spans="1:9" x14ac:dyDescent="0.25">
      <c r="A25">
        <v>10271</v>
      </c>
      <c r="B25" t="s">
        <v>28</v>
      </c>
      <c r="C25">
        <v>6</v>
      </c>
      <c r="D25" s="1">
        <v>41487</v>
      </c>
      <c r="E25" s="1">
        <v>41515</v>
      </c>
      <c r="F25" s="1">
        <v>41516</v>
      </c>
      <c r="G25">
        <v>2</v>
      </c>
      <c r="H25">
        <v>4.54</v>
      </c>
      <c r="I25">
        <f t="shared" si="0"/>
        <v>2013</v>
      </c>
    </row>
    <row r="26" spans="1:9" x14ac:dyDescent="0.25">
      <c r="A26">
        <v>10272</v>
      </c>
      <c r="B26" t="s">
        <v>21</v>
      </c>
      <c r="C26">
        <v>6</v>
      </c>
      <c r="D26" s="1">
        <v>41488</v>
      </c>
      <c r="E26" s="1">
        <v>41516</v>
      </c>
      <c r="F26" s="1">
        <v>41492</v>
      </c>
      <c r="G26">
        <v>2</v>
      </c>
      <c r="H26">
        <v>98.03</v>
      </c>
      <c r="I26">
        <f t="shared" si="0"/>
        <v>2013</v>
      </c>
    </row>
    <row r="27" spans="1:9" x14ac:dyDescent="0.25">
      <c r="A27">
        <v>10273</v>
      </c>
      <c r="B27" t="s">
        <v>29</v>
      </c>
      <c r="C27">
        <v>3</v>
      </c>
      <c r="D27" s="1">
        <v>41491</v>
      </c>
      <c r="E27" s="1">
        <v>41519</v>
      </c>
      <c r="F27" s="1">
        <v>41498</v>
      </c>
      <c r="G27">
        <v>3</v>
      </c>
      <c r="H27">
        <v>76.069999999999993</v>
      </c>
      <c r="I27">
        <f t="shared" si="0"/>
        <v>2013</v>
      </c>
    </row>
    <row r="28" spans="1:9" x14ac:dyDescent="0.25">
      <c r="A28">
        <v>10274</v>
      </c>
      <c r="B28" t="s">
        <v>8</v>
      </c>
      <c r="C28">
        <v>6</v>
      </c>
      <c r="D28" s="1">
        <v>41492</v>
      </c>
      <c r="E28" s="1">
        <v>41520</v>
      </c>
      <c r="F28" s="1">
        <v>41502</v>
      </c>
      <c r="G28">
        <v>1</v>
      </c>
      <c r="H28">
        <v>6.01</v>
      </c>
      <c r="I28">
        <f t="shared" si="0"/>
        <v>2013</v>
      </c>
    </row>
    <row r="29" spans="1:9" x14ac:dyDescent="0.25">
      <c r="A29">
        <v>10275</v>
      </c>
      <c r="B29" t="s">
        <v>30</v>
      </c>
      <c r="C29">
        <v>1</v>
      </c>
      <c r="D29" s="1">
        <v>41493</v>
      </c>
      <c r="E29" s="1">
        <v>41521</v>
      </c>
      <c r="F29" s="1">
        <v>41495</v>
      </c>
      <c r="G29">
        <v>1</v>
      </c>
      <c r="H29">
        <v>26.93</v>
      </c>
      <c r="I29">
        <f t="shared" si="0"/>
        <v>2013</v>
      </c>
    </row>
    <row r="30" spans="1:9" x14ac:dyDescent="0.25">
      <c r="A30">
        <v>10276</v>
      </c>
      <c r="B30" t="s">
        <v>31</v>
      </c>
      <c r="C30">
        <v>8</v>
      </c>
      <c r="D30" s="1">
        <v>41494</v>
      </c>
      <c r="E30" s="1">
        <v>41508</v>
      </c>
      <c r="F30" s="1">
        <v>41500</v>
      </c>
      <c r="G30">
        <v>3</v>
      </c>
      <c r="H30">
        <v>13.84</v>
      </c>
      <c r="I30">
        <f t="shared" si="0"/>
        <v>2013</v>
      </c>
    </row>
    <row r="31" spans="1:9" x14ac:dyDescent="0.25">
      <c r="A31">
        <v>10277</v>
      </c>
      <c r="B31" t="s">
        <v>32</v>
      </c>
      <c r="C31">
        <v>2</v>
      </c>
      <c r="D31" s="1">
        <v>41495</v>
      </c>
      <c r="E31" s="1">
        <v>41523</v>
      </c>
      <c r="F31" s="1">
        <v>41499</v>
      </c>
      <c r="G31">
        <v>3</v>
      </c>
      <c r="H31">
        <v>125.77</v>
      </c>
      <c r="I31">
        <f t="shared" si="0"/>
        <v>2013</v>
      </c>
    </row>
    <row r="32" spans="1:9" x14ac:dyDescent="0.25">
      <c r="A32">
        <v>10278</v>
      </c>
      <c r="B32" t="s">
        <v>33</v>
      </c>
      <c r="C32">
        <v>8</v>
      </c>
      <c r="D32" s="1">
        <v>41498</v>
      </c>
      <c r="E32" s="1">
        <v>41526</v>
      </c>
      <c r="F32" s="1">
        <v>41502</v>
      </c>
      <c r="G32">
        <v>2</v>
      </c>
      <c r="H32">
        <v>92.69</v>
      </c>
      <c r="I32">
        <f t="shared" si="0"/>
        <v>2013</v>
      </c>
    </row>
    <row r="33" spans="1:9" x14ac:dyDescent="0.25">
      <c r="A33">
        <v>10279</v>
      </c>
      <c r="B33" t="s">
        <v>34</v>
      </c>
      <c r="C33">
        <v>8</v>
      </c>
      <c r="D33" s="1">
        <v>41499</v>
      </c>
      <c r="E33" s="1">
        <v>41527</v>
      </c>
      <c r="F33" s="1">
        <v>41502</v>
      </c>
      <c r="G33">
        <v>2</v>
      </c>
      <c r="H33">
        <v>25.83</v>
      </c>
      <c r="I33">
        <f t="shared" si="0"/>
        <v>2013</v>
      </c>
    </row>
    <row r="34" spans="1:9" x14ac:dyDescent="0.25">
      <c r="A34">
        <v>10280</v>
      </c>
      <c r="B34" t="s">
        <v>33</v>
      </c>
      <c r="C34">
        <v>2</v>
      </c>
      <c r="D34" s="1">
        <v>41500</v>
      </c>
      <c r="E34" s="1">
        <v>41528</v>
      </c>
      <c r="F34" s="1">
        <v>41529</v>
      </c>
      <c r="G34">
        <v>1</v>
      </c>
      <c r="H34">
        <v>8.98</v>
      </c>
      <c r="I34">
        <f t="shared" si="0"/>
        <v>2013</v>
      </c>
    </row>
    <row r="35" spans="1:9" x14ac:dyDescent="0.25">
      <c r="A35">
        <v>10281</v>
      </c>
      <c r="B35" t="s">
        <v>35</v>
      </c>
      <c r="C35">
        <v>4</v>
      </c>
      <c r="D35" s="1">
        <v>41500</v>
      </c>
      <c r="E35" s="1">
        <v>41514</v>
      </c>
      <c r="F35" s="1">
        <v>41507</v>
      </c>
      <c r="G35">
        <v>1</v>
      </c>
      <c r="H35">
        <v>2.94</v>
      </c>
      <c r="I35">
        <f t="shared" si="0"/>
        <v>2013</v>
      </c>
    </row>
    <row r="36" spans="1:9" x14ac:dyDescent="0.25">
      <c r="A36">
        <v>10282</v>
      </c>
      <c r="B36" t="s">
        <v>35</v>
      </c>
      <c r="C36">
        <v>4</v>
      </c>
      <c r="D36" s="1">
        <v>41501</v>
      </c>
      <c r="E36" s="1">
        <v>41529</v>
      </c>
      <c r="F36" s="1">
        <v>41507</v>
      </c>
      <c r="G36">
        <v>1</v>
      </c>
      <c r="H36">
        <v>12.69</v>
      </c>
      <c r="I36">
        <f t="shared" si="0"/>
        <v>2013</v>
      </c>
    </row>
    <row r="37" spans="1:9" x14ac:dyDescent="0.25">
      <c r="A37">
        <v>10283</v>
      </c>
      <c r="B37" t="s">
        <v>36</v>
      </c>
      <c r="C37">
        <v>3</v>
      </c>
      <c r="D37" s="1">
        <v>41502</v>
      </c>
      <c r="E37" s="1">
        <v>41530</v>
      </c>
      <c r="F37" s="1">
        <v>41509</v>
      </c>
      <c r="G37">
        <v>3</v>
      </c>
      <c r="H37">
        <v>84.81</v>
      </c>
      <c r="I37">
        <f t="shared" si="0"/>
        <v>2013</v>
      </c>
    </row>
    <row r="38" spans="1:9" x14ac:dyDescent="0.25">
      <c r="A38">
        <v>10284</v>
      </c>
      <c r="B38" t="s">
        <v>34</v>
      </c>
      <c r="C38">
        <v>4</v>
      </c>
      <c r="D38" s="1">
        <v>41505</v>
      </c>
      <c r="E38" s="1">
        <v>41533</v>
      </c>
      <c r="F38" s="1">
        <v>41513</v>
      </c>
      <c r="G38">
        <v>1</v>
      </c>
      <c r="H38">
        <v>76.56</v>
      </c>
      <c r="I38">
        <f t="shared" si="0"/>
        <v>2013</v>
      </c>
    </row>
    <row r="39" spans="1:9" x14ac:dyDescent="0.25">
      <c r="A39">
        <v>10285</v>
      </c>
      <c r="B39" t="s">
        <v>29</v>
      </c>
      <c r="C39">
        <v>1</v>
      </c>
      <c r="D39" s="1">
        <v>41506</v>
      </c>
      <c r="E39" s="1">
        <v>41534</v>
      </c>
      <c r="F39" s="1">
        <v>41512</v>
      </c>
      <c r="G39">
        <v>2</v>
      </c>
      <c r="H39">
        <v>76.83</v>
      </c>
      <c r="I39">
        <f t="shared" si="0"/>
        <v>2013</v>
      </c>
    </row>
    <row r="40" spans="1:9" x14ac:dyDescent="0.25">
      <c r="A40">
        <v>10286</v>
      </c>
      <c r="B40" t="s">
        <v>29</v>
      </c>
      <c r="C40">
        <v>8</v>
      </c>
      <c r="D40" s="1">
        <v>41507</v>
      </c>
      <c r="E40" s="1">
        <v>41535</v>
      </c>
      <c r="F40" s="1">
        <v>41516</v>
      </c>
      <c r="G40">
        <v>3</v>
      </c>
      <c r="H40">
        <v>229.24</v>
      </c>
      <c r="I40">
        <f t="shared" si="0"/>
        <v>2013</v>
      </c>
    </row>
    <row r="41" spans="1:9" x14ac:dyDescent="0.25">
      <c r="A41">
        <v>10287</v>
      </c>
      <c r="B41" t="s">
        <v>37</v>
      </c>
      <c r="C41">
        <v>8</v>
      </c>
      <c r="D41" s="1">
        <v>41508</v>
      </c>
      <c r="E41" s="1">
        <v>41536</v>
      </c>
      <c r="F41" s="1">
        <v>41514</v>
      </c>
      <c r="G41">
        <v>3</v>
      </c>
      <c r="H41">
        <v>12.76</v>
      </c>
      <c r="I41">
        <f t="shared" si="0"/>
        <v>2013</v>
      </c>
    </row>
    <row r="42" spans="1:9" x14ac:dyDescent="0.25">
      <c r="A42">
        <v>10288</v>
      </c>
      <c r="B42" t="s">
        <v>38</v>
      </c>
      <c r="C42">
        <v>4</v>
      </c>
      <c r="D42" s="1">
        <v>41509</v>
      </c>
      <c r="E42" s="1">
        <v>41537</v>
      </c>
      <c r="F42" s="1">
        <v>41520</v>
      </c>
      <c r="G42">
        <v>1</v>
      </c>
      <c r="H42">
        <v>7.45</v>
      </c>
      <c r="I42">
        <f t="shared" si="0"/>
        <v>2013</v>
      </c>
    </row>
    <row r="43" spans="1:9" x14ac:dyDescent="0.25">
      <c r="A43">
        <v>10289</v>
      </c>
      <c r="B43" t="s">
        <v>39</v>
      </c>
      <c r="C43">
        <v>7</v>
      </c>
      <c r="D43" s="1">
        <v>41512</v>
      </c>
      <c r="E43" s="1">
        <v>41540</v>
      </c>
      <c r="F43" s="1">
        <v>41514</v>
      </c>
      <c r="G43">
        <v>3</v>
      </c>
      <c r="H43">
        <v>22.77</v>
      </c>
      <c r="I43">
        <f t="shared" si="0"/>
        <v>2013</v>
      </c>
    </row>
    <row r="44" spans="1:9" x14ac:dyDescent="0.25">
      <c r="A44">
        <v>10290</v>
      </c>
      <c r="B44" t="s">
        <v>40</v>
      </c>
      <c r="C44">
        <v>8</v>
      </c>
      <c r="D44" s="1">
        <v>41513</v>
      </c>
      <c r="E44" s="1">
        <v>41541</v>
      </c>
      <c r="F44" s="1">
        <v>41520</v>
      </c>
      <c r="G44">
        <v>1</v>
      </c>
      <c r="H44">
        <v>79.7</v>
      </c>
      <c r="I44">
        <f t="shared" si="0"/>
        <v>2013</v>
      </c>
    </row>
    <row r="45" spans="1:9" x14ac:dyDescent="0.25">
      <c r="A45">
        <v>10291</v>
      </c>
      <c r="B45" t="s">
        <v>20</v>
      </c>
      <c r="C45">
        <v>6</v>
      </c>
      <c r="D45" s="1">
        <v>41513</v>
      </c>
      <c r="E45" s="1">
        <v>41541</v>
      </c>
      <c r="F45" s="1">
        <v>41521</v>
      </c>
      <c r="G45">
        <v>2</v>
      </c>
      <c r="H45">
        <v>6.4</v>
      </c>
      <c r="I45">
        <f t="shared" si="0"/>
        <v>2013</v>
      </c>
    </row>
    <row r="46" spans="1:9" x14ac:dyDescent="0.25">
      <c r="A46">
        <v>10292</v>
      </c>
      <c r="B46" t="s">
        <v>41</v>
      </c>
      <c r="C46">
        <v>1</v>
      </c>
      <c r="D46" s="1">
        <v>41514</v>
      </c>
      <c r="E46" s="1">
        <v>41542</v>
      </c>
      <c r="F46" s="1">
        <v>41519</v>
      </c>
      <c r="G46">
        <v>2</v>
      </c>
      <c r="H46">
        <v>1.35</v>
      </c>
      <c r="I46">
        <f t="shared" si="0"/>
        <v>2013</v>
      </c>
    </row>
    <row r="47" spans="1:9" x14ac:dyDescent="0.25">
      <c r="A47">
        <v>10293</v>
      </c>
      <c r="B47" t="s">
        <v>31</v>
      </c>
      <c r="C47">
        <v>1</v>
      </c>
      <c r="D47" s="1">
        <v>41515</v>
      </c>
      <c r="E47" s="1">
        <v>41543</v>
      </c>
      <c r="F47" s="1">
        <v>41528</v>
      </c>
      <c r="G47">
        <v>3</v>
      </c>
      <c r="H47">
        <v>21.18</v>
      </c>
      <c r="I47">
        <f t="shared" si="0"/>
        <v>2013</v>
      </c>
    </row>
    <row r="48" spans="1:9" x14ac:dyDescent="0.25">
      <c r="A48">
        <v>10294</v>
      </c>
      <c r="B48" t="s">
        <v>21</v>
      </c>
      <c r="C48">
        <v>4</v>
      </c>
      <c r="D48" s="1">
        <v>41516</v>
      </c>
      <c r="E48" s="1">
        <v>41544</v>
      </c>
      <c r="F48" s="1">
        <v>41522</v>
      </c>
      <c r="G48">
        <v>2</v>
      </c>
      <c r="H48">
        <v>147.26</v>
      </c>
      <c r="I48">
        <f t="shared" si="0"/>
        <v>2013</v>
      </c>
    </row>
    <row r="49" spans="1:9" x14ac:dyDescent="0.25">
      <c r="A49">
        <v>10295</v>
      </c>
      <c r="B49" t="s">
        <v>8</v>
      </c>
      <c r="C49">
        <v>2</v>
      </c>
      <c r="D49" s="1">
        <v>41519</v>
      </c>
      <c r="E49" s="1">
        <v>41547</v>
      </c>
      <c r="F49" s="1">
        <v>41527</v>
      </c>
      <c r="G49">
        <v>2</v>
      </c>
      <c r="H49">
        <v>1.1499999999999999</v>
      </c>
      <c r="I49">
        <f t="shared" si="0"/>
        <v>2013</v>
      </c>
    </row>
    <row r="50" spans="1:9" x14ac:dyDescent="0.25">
      <c r="A50">
        <v>10296</v>
      </c>
      <c r="B50" t="s">
        <v>36</v>
      </c>
      <c r="C50">
        <v>6</v>
      </c>
      <c r="D50" s="1">
        <v>41520</v>
      </c>
      <c r="E50" s="1">
        <v>41548</v>
      </c>
      <c r="F50" s="1">
        <v>41528</v>
      </c>
      <c r="G50">
        <v>1</v>
      </c>
      <c r="H50">
        <v>0.12</v>
      </c>
      <c r="I50">
        <f t="shared" si="0"/>
        <v>2013</v>
      </c>
    </row>
    <row r="51" spans="1:9" x14ac:dyDescent="0.25">
      <c r="A51">
        <v>10297</v>
      </c>
      <c r="B51" t="s">
        <v>23</v>
      </c>
      <c r="C51">
        <v>5</v>
      </c>
      <c r="D51" s="1">
        <v>41521</v>
      </c>
      <c r="E51" s="1">
        <v>41563</v>
      </c>
      <c r="F51" s="1">
        <v>41527</v>
      </c>
      <c r="G51">
        <v>2</v>
      </c>
      <c r="H51">
        <v>5.74</v>
      </c>
      <c r="I51">
        <f t="shared" si="0"/>
        <v>2013</v>
      </c>
    </row>
    <row r="52" spans="1:9" x14ac:dyDescent="0.25">
      <c r="A52">
        <v>10298</v>
      </c>
      <c r="B52" t="s">
        <v>42</v>
      </c>
      <c r="C52">
        <v>6</v>
      </c>
      <c r="D52" s="1">
        <v>41522</v>
      </c>
      <c r="E52" s="1">
        <v>41550</v>
      </c>
      <c r="F52" s="1">
        <v>41528</v>
      </c>
      <c r="G52">
        <v>2</v>
      </c>
      <c r="H52">
        <v>168.22</v>
      </c>
      <c r="I52">
        <f t="shared" si="0"/>
        <v>2013</v>
      </c>
    </row>
    <row r="53" spans="1:9" x14ac:dyDescent="0.25">
      <c r="A53">
        <v>10299</v>
      </c>
      <c r="B53" t="s">
        <v>37</v>
      </c>
      <c r="C53">
        <v>4</v>
      </c>
      <c r="D53" s="1">
        <v>41523</v>
      </c>
      <c r="E53" s="1">
        <v>41551</v>
      </c>
      <c r="F53" s="1">
        <v>41530</v>
      </c>
      <c r="G53">
        <v>2</v>
      </c>
      <c r="H53">
        <v>29.76</v>
      </c>
      <c r="I53">
        <f t="shared" si="0"/>
        <v>2013</v>
      </c>
    </row>
    <row r="54" spans="1:9" x14ac:dyDescent="0.25">
      <c r="A54">
        <v>10300</v>
      </c>
      <c r="B54" t="s">
        <v>30</v>
      </c>
      <c r="C54">
        <v>2</v>
      </c>
      <c r="D54" s="1">
        <v>41526</v>
      </c>
      <c r="E54" s="1">
        <v>41554</v>
      </c>
      <c r="F54" s="1">
        <v>41535</v>
      </c>
      <c r="G54">
        <v>2</v>
      </c>
      <c r="H54">
        <v>17.68</v>
      </c>
      <c r="I54">
        <f t="shared" si="0"/>
        <v>2013</v>
      </c>
    </row>
    <row r="55" spans="1:9" x14ac:dyDescent="0.25">
      <c r="A55">
        <v>10301</v>
      </c>
      <c r="B55" t="s">
        <v>43</v>
      </c>
      <c r="C55">
        <v>8</v>
      </c>
      <c r="D55" s="1">
        <v>41526</v>
      </c>
      <c r="E55" s="1">
        <v>41554</v>
      </c>
      <c r="F55" s="1">
        <v>41534</v>
      </c>
      <c r="G55">
        <v>2</v>
      </c>
      <c r="H55">
        <v>45.08</v>
      </c>
      <c r="I55">
        <f t="shared" si="0"/>
        <v>2013</v>
      </c>
    </row>
    <row r="56" spans="1:9" x14ac:dyDescent="0.25">
      <c r="A56">
        <v>10302</v>
      </c>
      <c r="B56" t="s">
        <v>12</v>
      </c>
      <c r="C56">
        <v>4</v>
      </c>
      <c r="D56" s="1">
        <v>41527</v>
      </c>
      <c r="E56" s="1">
        <v>41555</v>
      </c>
      <c r="F56" s="1">
        <v>41556</v>
      </c>
      <c r="G56">
        <v>2</v>
      </c>
      <c r="H56">
        <v>6.27</v>
      </c>
      <c r="I56">
        <f t="shared" si="0"/>
        <v>2013</v>
      </c>
    </row>
    <row r="57" spans="1:9" x14ac:dyDescent="0.25">
      <c r="A57">
        <v>10303</v>
      </c>
      <c r="B57" t="s">
        <v>44</v>
      </c>
      <c r="C57">
        <v>7</v>
      </c>
      <c r="D57" s="1">
        <v>41528</v>
      </c>
      <c r="E57" s="1">
        <v>41556</v>
      </c>
      <c r="F57" s="1">
        <v>41535</v>
      </c>
      <c r="G57">
        <v>2</v>
      </c>
      <c r="H57">
        <v>107.83</v>
      </c>
      <c r="I57">
        <f t="shared" si="0"/>
        <v>2013</v>
      </c>
    </row>
    <row r="58" spans="1:9" x14ac:dyDescent="0.25">
      <c r="A58">
        <v>10304</v>
      </c>
      <c r="B58" t="s">
        <v>31</v>
      </c>
      <c r="C58">
        <v>1</v>
      </c>
      <c r="D58" s="1">
        <v>41529</v>
      </c>
      <c r="E58" s="1">
        <v>41557</v>
      </c>
      <c r="F58" s="1">
        <v>41534</v>
      </c>
      <c r="G58">
        <v>2</v>
      </c>
      <c r="H58">
        <v>63.79</v>
      </c>
      <c r="I58">
        <f t="shared" si="0"/>
        <v>2013</v>
      </c>
    </row>
    <row r="59" spans="1:9" x14ac:dyDescent="0.25">
      <c r="A59">
        <v>10305</v>
      </c>
      <c r="B59" t="s">
        <v>45</v>
      </c>
      <c r="C59">
        <v>8</v>
      </c>
      <c r="D59" s="1">
        <v>41530</v>
      </c>
      <c r="E59" s="1">
        <v>41558</v>
      </c>
      <c r="F59" s="1">
        <v>41556</v>
      </c>
      <c r="G59">
        <v>3</v>
      </c>
      <c r="H59">
        <v>257.62</v>
      </c>
      <c r="I59">
        <f t="shared" si="0"/>
        <v>2013</v>
      </c>
    </row>
    <row r="60" spans="1:9" x14ac:dyDescent="0.25">
      <c r="A60">
        <v>10306</v>
      </c>
      <c r="B60" t="s">
        <v>35</v>
      </c>
      <c r="C60">
        <v>1</v>
      </c>
      <c r="D60" s="1">
        <v>41533</v>
      </c>
      <c r="E60" s="1">
        <v>41561</v>
      </c>
      <c r="F60" s="1">
        <v>41540</v>
      </c>
      <c r="G60">
        <v>3</v>
      </c>
      <c r="H60">
        <v>7.56</v>
      </c>
      <c r="I60">
        <f t="shared" si="0"/>
        <v>2013</v>
      </c>
    </row>
    <row r="61" spans="1:9" x14ac:dyDescent="0.25">
      <c r="A61">
        <v>10307</v>
      </c>
      <c r="B61" t="s">
        <v>46</v>
      </c>
      <c r="C61">
        <v>2</v>
      </c>
      <c r="D61" s="1">
        <v>41534</v>
      </c>
      <c r="E61" s="1">
        <v>41562</v>
      </c>
      <c r="F61" s="1">
        <v>41542</v>
      </c>
      <c r="G61">
        <v>2</v>
      </c>
      <c r="H61">
        <v>0.56000000000000005</v>
      </c>
      <c r="I61">
        <f t="shared" si="0"/>
        <v>2013</v>
      </c>
    </row>
    <row r="62" spans="1:9" x14ac:dyDescent="0.25">
      <c r="A62">
        <v>10308</v>
      </c>
      <c r="B62" t="s">
        <v>47</v>
      </c>
      <c r="C62">
        <v>7</v>
      </c>
      <c r="D62" s="1">
        <v>41535</v>
      </c>
      <c r="E62" s="1">
        <v>41563</v>
      </c>
      <c r="F62" s="1">
        <v>41541</v>
      </c>
      <c r="G62">
        <v>3</v>
      </c>
      <c r="H62">
        <v>1.61</v>
      </c>
      <c r="I62">
        <f t="shared" si="0"/>
        <v>2013</v>
      </c>
    </row>
    <row r="63" spans="1:9" x14ac:dyDescent="0.25">
      <c r="A63">
        <v>10309</v>
      </c>
      <c r="B63" t="s">
        <v>42</v>
      </c>
      <c r="C63">
        <v>3</v>
      </c>
      <c r="D63" s="1">
        <v>41536</v>
      </c>
      <c r="E63" s="1">
        <v>41564</v>
      </c>
      <c r="F63" s="1">
        <v>41570</v>
      </c>
      <c r="G63">
        <v>1</v>
      </c>
      <c r="H63">
        <v>47.3</v>
      </c>
      <c r="I63">
        <f t="shared" si="0"/>
        <v>2013</v>
      </c>
    </row>
    <row r="64" spans="1:9" x14ac:dyDescent="0.25">
      <c r="A64">
        <v>10310</v>
      </c>
      <c r="B64" t="s">
        <v>48</v>
      </c>
      <c r="C64">
        <v>8</v>
      </c>
      <c r="D64" s="1">
        <v>41537</v>
      </c>
      <c r="E64" s="1">
        <v>41565</v>
      </c>
      <c r="F64" s="1">
        <v>41544</v>
      </c>
      <c r="G64">
        <v>2</v>
      </c>
      <c r="H64">
        <v>17.52</v>
      </c>
      <c r="I64">
        <f t="shared" si="0"/>
        <v>2013</v>
      </c>
    </row>
    <row r="65" spans="1:9" x14ac:dyDescent="0.25">
      <c r="A65">
        <v>10311</v>
      </c>
      <c r="B65" t="s">
        <v>49</v>
      </c>
      <c r="C65">
        <v>1</v>
      </c>
      <c r="D65" s="1">
        <v>41537</v>
      </c>
      <c r="E65" s="1">
        <v>41551</v>
      </c>
      <c r="F65" s="1">
        <v>41543</v>
      </c>
      <c r="G65">
        <v>3</v>
      </c>
      <c r="H65">
        <v>24.69</v>
      </c>
      <c r="I65">
        <f t="shared" si="0"/>
        <v>2013</v>
      </c>
    </row>
    <row r="66" spans="1:9" x14ac:dyDescent="0.25">
      <c r="A66">
        <v>10312</v>
      </c>
      <c r="B66" t="s">
        <v>43</v>
      </c>
      <c r="C66">
        <v>2</v>
      </c>
      <c r="D66" s="1">
        <v>41540</v>
      </c>
      <c r="E66" s="1">
        <v>41568</v>
      </c>
      <c r="F66" s="1">
        <v>41550</v>
      </c>
      <c r="G66">
        <v>2</v>
      </c>
      <c r="H66">
        <v>40.26</v>
      </c>
      <c r="I66">
        <f t="shared" si="0"/>
        <v>2013</v>
      </c>
    </row>
    <row r="67" spans="1:9" x14ac:dyDescent="0.25">
      <c r="A67">
        <v>10313</v>
      </c>
      <c r="B67" t="s">
        <v>29</v>
      </c>
      <c r="C67">
        <v>2</v>
      </c>
      <c r="D67" s="1">
        <v>41541</v>
      </c>
      <c r="E67" s="1">
        <v>41569</v>
      </c>
      <c r="F67" s="1">
        <v>41551</v>
      </c>
      <c r="G67">
        <v>2</v>
      </c>
      <c r="H67">
        <v>1.96</v>
      </c>
      <c r="I67">
        <f t="shared" ref="I67:I130" si="1">YEAR(D67)</f>
        <v>2013</v>
      </c>
    </row>
    <row r="68" spans="1:9" x14ac:dyDescent="0.25">
      <c r="A68">
        <v>10314</v>
      </c>
      <c r="B68" t="s">
        <v>21</v>
      </c>
      <c r="C68">
        <v>1</v>
      </c>
      <c r="D68" s="1">
        <v>41542</v>
      </c>
      <c r="E68" s="1">
        <v>41570</v>
      </c>
      <c r="F68" s="1">
        <v>41551</v>
      </c>
      <c r="G68">
        <v>2</v>
      </c>
      <c r="H68">
        <v>74.16</v>
      </c>
      <c r="I68">
        <f t="shared" si="1"/>
        <v>2013</v>
      </c>
    </row>
    <row r="69" spans="1:9" x14ac:dyDescent="0.25">
      <c r="A69">
        <v>10315</v>
      </c>
      <c r="B69" t="s">
        <v>50</v>
      </c>
      <c r="C69">
        <v>4</v>
      </c>
      <c r="D69" s="1">
        <v>41543</v>
      </c>
      <c r="E69" s="1">
        <v>41571</v>
      </c>
      <c r="F69" s="1">
        <v>41550</v>
      </c>
      <c r="G69">
        <v>2</v>
      </c>
      <c r="H69">
        <v>41.76</v>
      </c>
      <c r="I69">
        <f t="shared" si="1"/>
        <v>2013</v>
      </c>
    </row>
    <row r="70" spans="1:9" x14ac:dyDescent="0.25">
      <c r="A70">
        <v>10316</v>
      </c>
      <c r="B70" t="s">
        <v>21</v>
      </c>
      <c r="C70">
        <v>1</v>
      </c>
      <c r="D70" s="1">
        <v>41544</v>
      </c>
      <c r="E70" s="1">
        <v>41572</v>
      </c>
      <c r="F70" s="1">
        <v>41555</v>
      </c>
      <c r="G70">
        <v>3</v>
      </c>
      <c r="H70">
        <v>150.15</v>
      </c>
      <c r="I70">
        <f t="shared" si="1"/>
        <v>2013</v>
      </c>
    </row>
    <row r="71" spans="1:9" x14ac:dyDescent="0.25">
      <c r="A71">
        <v>10317</v>
      </c>
      <c r="B71" t="s">
        <v>46</v>
      </c>
      <c r="C71">
        <v>6</v>
      </c>
      <c r="D71" s="1">
        <v>41547</v>
      </c>
      <c r="E71" s="1">
        <v>41575</v>
      </c>
      <c r="F71" s="1">
        <v>41557</v>
      </c>
      <c r="G71">
        <v>1</v>
      </c>
      <c r="H71">
        <v>12.69</v>
      </c>
      <c r="I71">
        <f t="shared" si="1"/>
        <v>2013</v>
      </c>
    </row>
    <row r="72" spans="1:9" x14ac:dyDescent="0.25">
      <c r="A72">
        <v>10318</v>
      </c>
      <c r="B72" t="s">
        <v>50</v>
      </c>
      <c r="C72">
        <v>8</v>
      </c>
      <c r="D72" s="1">
        <v>41548</v>
      </c>
      <c r="E72" s="1">
        <v>41576</v>
      </c>
      <c r="F72" s="1">
        <v>41551</v>
      </c>
      <c r="G72">
        <v>2</v>
      </c>
      <c r="H72">
        <v>4.7300000000000004</v>
      </c>
      <c r="I72">
        <f t="shared" si="1"/>
        <v>2013</v>
      </c>
    </row>
    <row r="73" spans="1:9" x14ac:dyDescent="0.25">
      <c r="A73">
        <v>10319</v>
      </c>
      <c r="B73" t="s">
        <v>31</v>
      </c>
      <c r="C73">
        <v>7</v>
      </c>
      <c r="D73" s="1">
        <v>41549</v>
      </c>
      <c r="E73" s="1">
        <v>41577</v>
      </c>
      <c r="F73" s="1">
        <v>41558</v>
      </c>
      <c r="G73">
        <v>3</v>
      </c>
      <c r="H73">
        <v>64.5</v>
      </c>
      <c r="I73">
        <f t="shared" si="1"/>
        <v>2013</v>
      </c>
    </row>
    <row r="74" spans="1:9" x14ac:dyDescent="0.25">
      <c r="A74">
        <v>10320</v>
      </c>
      <c r="B74" t="s">
        <v>24</v>
      </c>
      <c r="C74">
        <v>5</v>
      </c>
      <c r="D74" s="1">
        <v>41550</v>
      </c>
      <c r="E74" s="1">
        <v>41564</v>
      </c>
      <c r="F74" s="1">
        <v>41565</v>
      </c>
      <c r="G74">
        <v>3</v>
      </c>
      <c r="H74">
        <v>34.57</v>
      </c>
      <c r="I74">
        <f t="shared" si="1"/>
        <v>2013</v>
      </c>
    </row>
    <row r="75" spans="1:9" x14ac:dyDescent="0.25">
      <c r="A75">
        <v>10321</v>
      </c>
      <c r="B75" t="s">
        <v>50</v>
      </c>
      <c r="C75">
        <v>3</v>
      </c>
      <c r="D75" s="1">
        <v>41550</v>
      </c>
      <c r="E75" s="1">
        <v>41578</v>
      </c>
      <c r="F75" s="1">
        <v>41558</v>
      </c>
      <c r="G75">
        <v>2</v>
      </c>
      <c r="H75">
        <v>3.43</v>
      </c>
      <c r="I75">
        <f t="shared" si="1"/>
        <v>2013</v>
      </c>
    </row>
    <row r="76" spans="1:9" x14ac:dyDescent="0.25">
      <c r="A76">
        <v>10322</v>
      </c>
      <c r="B76" t="s">
        <v>51</v>
      </c>
      <c r="C76">
        <v>7</v>
      </c>
      <c r="D76" s="1">
        <v>41551</v>
      </c>
      <c r="E76" s="1">
        <v>41579</v>
      </c>
      <c r="F76" s="1">
        <v>41570</v>
      </c>
      <c r="G76">
        <v>3</v>
      </c>
      <c r="H76">
        <v>0.4</v>
      </c>
      <c r="I76">
        <f t="shared" si="1"/>
        <v>2013</v>
      </c>
    </row>
    <row r="77" spans="1:9" x14ac:dyDescent="0.25">
      <c r="A77">
        <v>10323</v>
      </c>
      <c r="B77" t="s">
        <v>52</v>
      </c>
      <c r="C77">
        <v>4</v>
      </c>
      <c r="D77" s="1">
        <v>41554</v>
      </c>
      <c r="E77" s="1">
        <v>41582</v>
      </c>
      <c r="F77" s="1">
        <v>41561</v>
      </c>
      <c r="G77">
        <v>1</v>
      </c>
      <c r="H77">
        <v>4.88</v>
      </c>
      <c r="I77">
        <f t="shared" si="1"/>
        <v>2013</v>
      </c>
    </row>
    <row r="78" spans="1:9" x14ac:dyDescent="0.25">
      <c r="A78">
        <v>10324</v>
      </c>
      <c r="B78" t="s">
        <v>53</v>
      </c>
      <c r="C78">
        <v>9</v>
      </c>
      <c r="D78" s="1">
        <v>41555</v>
      </c>
      <c r="E78" s="1">
        <v>41583</v>
      </c>
      <c r="F78" s="1">
        <v>41557</v>
      </c>
      <c r="G78">
        <v>1</v>
      </c>
      <c r="H78">
        <v>214.27</v>
      </c>
      <c r="I78">
        <f t="shared" si="1"/>
        <v>2013</v>
      </c>
    </row>
    <row r="79" spans="1:9" x14ac:dyDescent="0.25">
      <c r="A79">
        <v>10325</v>
      </c>
      <c r="B79" t="s">
        <v>52</v>
      </c>
      <c r="C79">
        <v>1</v>
      </c>
      <c r="D79" s="1">
        <v>41556</v>
      </c>
      <c r="E79" s="1">
        <v>41570</v>
      </c>
      <c r="F79" s="1">
        <v>41561</v>
      </c>
      <c r="G79">
        <v>3</v>
      </c>
      <c r="H79">
        <v>64.86</v>
      </c>
      <c r="I79">
        <f t="shared" si="1"/>
        <v>2013</v>
      </c>
    </row>
    <row r="80" spans="1:9" x14ac:dyDescent="0.25">
      <c r="A80">
        <v>10326</v>
      </c>
      <c r="B80" t="s">
        <v>54</v>
      </c>
      <c r="C80">
        <v>4</v>
      </c>
      <c r="D80" s="1">
        <v>41557</v>
      </c>
      <c r="E80" s="1">
        <v>41585</v>
      </c>
      <c r="F80" s="1">
        <v>41561</v>
      </c>
      <c r="G80">
        <v>2</v>
      </c>
      <c r="H80">
        <v>77.92</v>
      </c>
      <c r="I80">
        <f t="shared" si="1"/>
        <v>2013</v>
      </c>
    </row>
    <row r="81" spans="1:9" x14ac:dyDescent="0.25">
      <c r="A81">
        <v>10327</v>
      </c>
      <c r="B81" t="s">
        <v>22</v>
      </c>
      <c r="C81">
        <v>2</v>
      </c>
      <c r="D81" s="1">
        <v>41558</v>
      </c>
      <c r="E81" s="1">
        <v>41586</v>
      </c>
      <c r="F81" s="1">
        <v>41561</v>
      </c>
      <c r="G81">
        <v>1</v>
      </c>
      <c r="H81">
        <v>63.36</v>
      </c>
      <c r="I81">
        <f t="shared" si="1"/>
        <v>2013</v>
      </c>
    </row>
    <row r="82" spans="1:9" x14ac:dyDescent="0.25">
      <c r="A82">
        <v>10328</v>
      </c>
      <c r="B82" t="s">
        <v>55</v>
      </c>
      <c r="C82">
        <v>4</v>
      </c>
      <c r="D82" s="1">
        <v>41561</v>
      </c>
      <c r="E82" s="1">
        <v>41589</v>
      </c>
      <c r="F82" s="1">
        <v>41564</v>
      </c>
      <c r="G82">
        <v>3</v>
      </c>
      <c r="H82">
        <v>87.03</v>
      </c>
      <c r="I82">
        <f t="shared" si="1"/>
        <v>2013</v>
      </c>
    </row>
    <row r="83" spans="1:9" x14ac:dyDescent="0.25">
      <c r="A83">
        <v>10329</v>
      </c>
      <c r="B83" t="s">
        <v>28</v>
      </c>
      <c r="C83">
        <v>4</v>
      </c>
      <c r="D83" s="1">
        <v>41562</v>
      </c>
      <c r="E83" s="1">
        <v>41604</v>
      </c>
      <c r="F83" s="1">
        <v>41570</v>
      </c>
      <c r="G83">
        <v>2</v>
      </c>
      <c r="H83">
        <v>191.67</v>
      </c>
      <c r="I83">
        <f t="shared" si="1"/>
        <v>2013</v>
      </c>
    </row>
    <row r="84" spans="1:9" x14ac:dyDescent="0.25">
      <c r="A84">
        <v>10330</v>
      </c>
      <c r="B84" t="s">
        <v>36</v>
      </c>
      <c r="C84">
        <v>3</v>
      </c>
      <c r="D84" s="1">
        <v>41563</v>
      </c>
      <c r="E84" s="1">
        <v>41591</v>
      </c>
      <c r="F84" s="1">
        <v>41575</v>
      </c>
      <c r="G84">
        <v>1</v>
      </c>
      <c r="H84">
        <v>12.75</v>
      </c>
      <c r="I84">
        <f t="shared" si="1"/>
        <v>2013</v>
      </c>
    </row>
    <row r="85" spans="1:9" x14ac:dyDescent="0.25">
      <c r="A85">
        <v>10331</v>
      </c>
      <c r="B85" t="s">
        <v>56</v>
      </c>
      <c r="C85">
        <v>9</v>
      </c>
      <c r="D85" s="1">
        <v>41563</v>
      </c>
      <c r="E85" s="1">
        <v>41605</v>
      </c>
      <c r="F85" s="1">
        <v>41568</v>
      </c>
      <c r="G85">
        <v>1</v>
      </c>
      <c r="H85">
        <v>10.19</v>
      </c>
      <c r="I85">
        <f t="shared" si="1"/>
        <v>2013</v>
      </c>
    </row>
    <row r="86" spans="1:9" x14ac:dyDescent="0.25">
      <c r="A86">
        <v>10332</v>
      </c>
      <c r="B86" t="s">
        <v>57</v>
      </c>
      <c r="C86">
        <v>3</v>
      </c>
      <c r="D86" s="1">
        <v>41564</v>
      </c>
      <c r="E86" s="1">
        <v>41606</v>
      </c>
      <c r="F86" s="1">
        <v>41568</v>
      </c>
      <c r="G86">
        <v>2</v>
      </c>
      <c r="H86">
        <v>52.84</v>
      </c>
      <c r="I86">
        <f t="shared" si="1"/>
        <v>2013</v>
      </c>
    </row>
    <row r="87" spans="1:9" x14ac:dyDescent="0.25">
      <c r="A87">
        <v>10333</v>
      </c>
      <c r="B87" t="s">
        <v>24</v>
      </c>
      <c r="C87">
        <v>5</v>
      </c>
      <c r="D87" s="1">
        <v>41565</v>
      </c>
      <c r="E87" s="1">
        <v>41593</v>
      </c>
      <c r="F87" s="1">
        <v>41572</v>
      </c>
      <c r="G87">
        <v>3</v>
      </c>
      <c r="H87">
        <v>0.59</v>
      </c>
      <c r="I87">
        <f t="shared" si="1"/>
        <v>2013</v>
      </c>
    </row>
    <row r="88" spans="1:9" x14ac:dyDescent="0.25">
      <c r="A88">
        <v>10334</v>
      </c>
      <c r="B88" t="s">
        <v>11</v>
      </c>
      <c r="C88">
        <v>8</v>
      </c>
      <c r="D88" s="1">
        <v>41568</v>
      </c>
      <c r="E88" s="1">
        <v>41596</v>
      </c>
      <c r="F88" s="1">
        <v>41575</v>
      </c>
      <c r="G88">
        <v>2</v>
      </c>
      <c r="H88">
        <v>8.56</v>
      </c>
      <c r="I88">
        <f t="shared" si="1"/>
        <v>2013</v>
      </c>
    </row>
    <row r="89" spans="1:9" x14ac:dyDescent="0.25">
      <c r="A89">
        <v>10335</v>
      </c>
      <c r="B89" t="s">
        <v>42</v>
      </c>
      <c r="C89">
        <v>7</v>
      </c>
      <c r="D89" s="1">
        <v>41569</v>
      </c>
      <c r="E89" s="1">
        <v>41597</v>
      </c>
      <c r="F89" s="1">
        <v>41571</v>
      </c>
      <c r="G89">
        <v>2</v>
      </c>
      <c r="H89">
        <v>42.11</v>
      </c>
      <c r="I89">
        <f t="shared" si="1"/>
        <v>2013</v>
      </c>
    </row>
    <row r="90" spans="1:9" x14ac:dyDescent="0.25">
      <c r="A90">
        <v>10336</v>
      </c>
      <c r="B90" t="s">
        <v>58</v>
      </c>
      <c r="C90">
        <v>7</v>
      </c>
      <c r="D90" s="1">
        <v>41570</v>
      </c>
      <c r="E90" s="1">
        <v>41598</v>
      </c>
      <c r="F90" s="1">
        <v>41572</v>
      </c>
      <c r="G90">
        <v>2</v>
      </c>
      <c r="H90">
        <v>15.51</v>
      </c>
      <c r="I90">
        <f t="shared" si="1"/>
        <v>2013</v>
      </c>
    </row>
    <row r="91" spans="1:9" x14ac:dyDescent="0.25">
      <c r="A91">
        <v>10337</v>
      </c>
      <c r="B91" t="s">
        <v>25</v>
      </c>
      <c r="C91">
        <v>4</v>
      </c>
      <c r="D91" s="1">
        <v>41571</v>
      </c>
      <c r="E91" s="1">
        <v>41599</v>
      </c>
      <c r="F91" s="1">
        <v>41576</v>
      </c>
      <c r="G91">
        <v>3</v>
      </c>
      <c r="H91">
        <v>108.26</v>
      </c>
      <c r="I91">
        <f t="shared" si="1"/>
        <v>2013</v>
      </c>
    </row>
    <row r="92" spans="1:9" x14ac:dyDescent="0.25">
      <c r="A92">
        <v>10338</v>
      </c>
      <c r="B92" t="s">
        <v>45</v>
      </c>
      <c r="C92">
        <v>4</v>
      </c>
      <c r="D92" s="1">
        <v>41572</v>
      </c>
      <c r="E92" s="1">
        <v>41600</v>
      </c>
      <c r="F92" s="1">
        <v>41576</v>
      </c>
      <c r="G92">
        <v>3</v>
      </c>
      <c r="H92">
        <v>84.21</v>
      </c>
      <c r="I92">
        <f t="shared" si="1"/>
        <v>2013</v>
      </c>
    </row>
    <row r="93" spans="1:9" x14ac:dyDescent="0.25">
      <c r="A93">
        <v>10339</v>
      </c>
      <c r="B93" t="s">
        <v>57</v>
      </c>
      <c r="C93">
        <v>2</v>
      </c>
      <c r="D93" s="1">
        <v>41575</v>
      </c>
      <c r="E93" s="1">
        <v>41603</v>
      </c>
      <c r="F93" s="1">
        <v>41582</v>
      </c>
      <c r="G93">
        <v>2</v>
      </c>
      <c r="H93">
        <v>15.66</v>
      </c>
      <c r="I93">
        <f t="shared" si="1"/>
        <v>2013</v>
      </c>
    </row>
    <row r="94" spans="1:9" x14ac:dyDescent="0.25">
      <c r="A94">
        <v>10340</v>
      </c>
      <c r="B94" t="s">
        <v>56</v>
      </c>
      <c r="C94">
        <v>1</v>
      </c>
      <c r="D94" s="1">
        <v>41576</v>
      </c>
      <c r="E94" s="1">
        <v>41604</v>
      </c>
      <c r="F94" s="1">
        <v>41586</v>
      </c>
      <c r="G94">
        <v>3</v>
      </c>
      <c r="H94">
        <v>166.31</v>
      </c>
      <c r="I94">
        <f t="shared" si="1"/>
        <v>2013</v>
      </c>
    </row>
    <row r="95" spans="1:9" x14ac:dyDescent="0.25">
      <c r="A95">
        <v>10341</v>
      </c>
      <c r="B95" t="s">
        <v>59</v>
      </c>
      <c r="C95">
        <v>7</v>
      </c>
      <c r="D95" s="1">
        <v>41576</v>
      </c>
      <c r="E95" s="1">
        <v>41604</v>
      </c>
      <c r="F95" s="1">
        <v>41583</v>
      </c>
      <c r="G95">
        <v>3</v>
      </c>
      <c r="H95">
        <v>26.78</v>
      </c>
      <c r="I95">
        <f t="shared" si="1"/>
        <v>2013</v>
      </c>
    </row>
    <row r="96" spans="1:9" x14ac:dyDescent="0.25">
      <c r="A96">
        <v>10342</v>
      </c>
      <c r="B96" t="s">
        <v>25</v>
      </c>
      <c r="C96">
        <v>4</v>
      </c>
      <c r="D96" s="1">
        <v>41577</v>
      </c>
      <c r="E96" s="1">
        <v>41591</v>
      </c>
      <c r="F96" s="1">
        <v>41582</v>
      </c>
      <c r="G96">
        <v>2</v>
      </c>
      <c r="H96">
        <v>54.83</v>
      </c>
      <c r="I96">
        <f t="shared" si="1"/>
        <v>2013</v>
      </c>
    </row>
    <row r="97" spans="1:9" x14ac:dyDescent="0.25">
      <c r="A97">
        <v>10343</v>
      </c>
      <c r="B97" t="s">
        <v>34</v>
      </c>
      <c r="C97">
        <v>4</v>
      </c>
      <c r="D97" s="1">
        <v>41578</v>
      </c>
      <c r="E97" s="1">
        <v>41606</v>
      </c>
      <c r="F97" s="1">
        <v>41584</v>
      </c>
      <c r="G97">
        <v>1</v>
      </c>
      <c r="H97">
        <v>110.37</v>
      </c>
      <c r="I97">
        <f t="shared" si="1"/>
        <v>2013</v>
      </c>
    </row>
    <row r="98" spans="1:9" x14ac:dyDescent="0.25">
      <c r="A98">
        <v>10344</v>
      </c>
      <c r="B98" t="s">
        <v>27</v>
      </c>
      <c r="C98">
        <v>4</v>
      </c>
      <c r="D98" s="1">
        <v>41579</v>
      </c>
      <c r="E98" s="1">
        <v>41607</v>
      </c>
      <c r="F98" s="1">
        <v>41583</v>
      </c>
      <c r="G98">
        <v>2</v>
      </c>
      <c r="H98">
        <v>23.29</v>
      </c>
      <c r="I98">
        <f t="shared" si="1"/>
        <v>2013</v>
      </c>
    </row>
    <row r="99" spans="1:9" x14ac:dyDescent="0.25">
      <c r="A99">
        <v>10345</v>
      </c>
      <c r="B99" t="s">
        <v>29</v>
      </c>
      <c r="C99">
        <v>2</v>
      </c>
      <c r="D99" s="1">
        <v>41582</v>
      </c>
      <c r="E99" s="1">
        <v>41610</v>
      </c>
      <c r="F99" s="1">
        <v>41589</v>
      </c>
      <c r="G99">
        <v>2</v>
      </c>
      <c r="H99">
        <v>249.06</v>
      </c>
      <c r="I99">
        <f t="shared" si="1"/>
        <v>2013</v>
      </c>
    </row>
    <row r="100" spans="1:9" x14ac:dyDescent="0.25">
      <c r="A100">
        <v>10346</v>
      </c>
      <c r="B100" t="s">
        <v>21</v>
      </c>
      <c r="C100">
        <v>3</v>
      </c>
      <c r="D100" s="1">
        <v>41583</v>
      </c>
      <c r="E100" s="1">
        <v>41625</v>
      </c>
      <c r="F100" s="1">
        <v>41586</v>
      </c>
      <c r="G100">
        <v>3</v>
      </c>
      <c r="H100">
        <v>142.08000000000001</v>
      </c>
      <c r="I100">
        <f t="shared" si="1"/>
        <v>2013</v>
      </c>
    </row>
    <row r="101" spans="1:9" x14ac:dyDescent="0.25">
      <c r="A101">
        <v>10347</v>
      </c>
      <c r="B101" t="s">
        <v>60</v>
      </c>
      <c r="C101">
        <v>4</v>
      </c>
      <c r="D101" s="1">
        <v>41584</v>
      </c>
      <c r="E101" s="1">
        <v>41612</v>
      </c>
      <c r="F101" s="1">
        <v>41586</v>
      </c>
      <c r="G101">
        <v>3</v>
      </c>
      <c r="H101">
        <v>3.1</v>
      </c>
      <c r="I101">
        <f t="shared" si="1"/>
        <v>2013</v>
      </c>
    </row>
    <row r="102" spans="1:9" x14ac:dyDescent="0.25">
      <c r="A102">
        <v>10348</v>
      </c>
      <c r="B102" t="s">
        <v>43</v>
      </c>
      <c r="C102">
        <v>4</v>
      </c>
      <c r="D102" s="1">
        <v>41585</v>
      </c>
      <c r="E102" s="1">
        <v>41613</v>
      </c>
      <c r="F102" s="1">
        <v>41593</v>
      </c>
      <c r="G102">
        <v>2</v>
      </c>
      <c r="H102">
        <v>0.78</v>
      </c>
      <c r="I102">
        <f t="shared" si="1"/>
        <v>2013</v>
      </c>
    </row>
    <row r="103" spans="1:9" x14ac:dyDescent="0.25">
      <c r="A103">
        <v>10349</v>
      </c>
      <c r="B103" t="s">
        <v>28</v>
      </c>
      <c r="C103">
        <v>7</v>
      </c>
      <c r="D103" s="1">
        <v>41586</v>
      </c>
      <c r="E103" s="1">
        <v>41614</v>
      </c>
      <c r="F103" s="1">
        <v>41593</v>
      </c>
      <c r="G103">
        <v>1</v>
      </c>
      <c r="H103">
        <v>8.6300000000000008</v>
      </c>
      <c r="I103">
        <f t="shared" si="1"/>
        <v>2013</v>
      </c>
    </row>
    <row r="104" spans="1:9" x14ac:dyDescent="0.25">
      <c r="A104">
        <v>10350</v>
      </c>
      <c r="B104" t="s">
        <v>61</v>
      </c>
      <c r="C104">
        <v>6</v>
      </c>
      <c r="D104" s="1">
        <v>41589</v>
      </c>
      <c r="E104" s="1">
        <v>41617</v>
      </c>
      <c r="F104" s="1">
        <v>41611</v>
      </c>
      <c r="G104">
        <v>2</v>
      </c>
      <c r="H104">
        <v>64.19</v>
      </c>
      <c r="I104">
        <f t="shared" si="1"/>
        <v>2013</v>
      </c>
    </row>
    <row r="105" spans="1:9" x14ac:dyDescent="0.25">
      <c r="A105">
        <v>10351</v>
      </c>
      <c r="B105" t="s">
        <v>17</v>
      </c>
      <c r="C105">
        <v>1</v>
      </c>
      <c r="D105" s="1">
        <v>41589</v>
      </c>
      <c r="E105" s="1">
        <v>41617</v>
      </c>
      <c r="F105" s="1">
        <v>41598</v>
      </c>
      <c r="G105">
        <v>1</v>
      </c>
      <c r="H105">
        <v>162.33000000000001</v>
      </c>
      <c r="I105">
        <f t="shared" si="1"/>
        <v>2013</v>
      </c>
    </row>
    <row r="106" spans="1:9" x14ac:dyDescent="0.25">
      <c r="A106">
        <v>10352</v>
      </c>
      <c r="B106" t="s">
        <v>55</v>
      </c>
      <c r="C106">
        <v>3</v>
      </c>
      <c r="D106" s="1">
        <v>41590</v>
      </c>
      <c r="E106" s="1">
        <v>41604</v>
      </c>
      <c r="F106" s="1">
        <v>41596</v>
      </c>
      <c r="G106">
        <v>3</v>
      </c>
      <c r="H106">
        <v>1.3</v>
      </c>
      <c r="I106">
        <f t="shared" si="1"/>
        <v>2013</v>
      </c>
    </row>
    <row r="107" spans="1:9" x14ac:dyDescent="0.25">
      <c r="A107">
        <v>10353</v>
      </c>
      <c r="B107" t="s">
        <v>62</v>
      </c>
      <c r="C107">
        <v>7</v>
      </c>
      <c r="D107" s="1">
        <v>41591</v>
      </c>
      <c r="E107" s="1">
        <v>41619</v>
      </c>
      <c r="F107" s="1">
        <v>41603</v>
      </c>
      <c r="G107">
        <v>3</v>
      </c>
      <c r="H107">
        <v>360.63</v>
      </c>
      <c r="I107">
        <f t="shared" si="1"/>
        <v>2013</v>
      </c>
    </row>
    <row r="108" spans="1:9" x14ac:dyDescent="0.25">
      <c r="A108">
        <v>10354</v>
      </c>
      <c r="B108" t="s">
        <v>51</v>
      </c>
      <c r="C108">
        <v>8</v>
      </c>
      <c r="D108" s="1">
        <v>41592</v>
      </c>
      <c r="E108" s="1">
        <v>41620</v>
      </c>
      <c r="F108" s="1">
        <v>41598</v>
      </c>
      <c r="G108">
        <v>3</v>
      </c>
      <c r="H108">
        <v>53.8</v>
      </c>
      <c r="I108">
        <f t="shared" si="1"/>
        <v>2013</v>
      </c>
    </row>
    <row r="109" spans="1:9" x14ac:dyDescent="0.25">
      <c r="A109">
        <v>10355</v>
      </c>
      <c r="B109" t="s">
        <v>63</v>
      </c>
      <c r="C109">
        <v>6</v>
      </c>
      <c r="D109" s="1">
        <v>41593</v>
      </c>
      <c r="E109" s="1">
        <v>41621</v>
      </c>
      <c r="F109" s="1">
        <v>41598</v>
      </c>
      <c r="G109">
        <v>1</v>
      </c>
      <c r="H109">
        <v>41.95</v>
      </c>
      <c r="I109">
        <f t="shared" si="1"/>
        <v>2013</v>
      </c>
    </row>
    <row r="110" spans="1:9" x14ac:dyDescent="0.25">
      <c r="A110">
        <v>10356</v>
      </c>
      <c r="B110" t="s">
        <v>43</v>
      </c>
      <c r="C110">
        <v>6</v>
      </c>
      <c r="D110" s="1">
        <v>41596</v>
      </c>
      <c r="E110" s="1">
        <v>41624</v>
      </c>
      <c r="F110" s="1">
        <v>41605</v>
      </c>
      <c r="G110">
        <v>2</v>
      </c>
      <c r="H110">
        <v>36.71</v>
      </c>
      <c r="I110">
        <f t="shared" si="1"/>
        <v>2013</v>
      </c>
    </row>
    <row r="111" spans="1:9" x14ac:dyDescent="0.25">
      <c r="A111">
        <v>10357</v>
      </c>
      <c r="B111" t="s">
        <v>36</v>
      </c>
      <c r="C111">
        <v>1</v>
      </c>
      <c r="D111" s="1">
        <v>41597</v>
      </c>
      <c r="E111" s="1">
        <v>41625</v>
      </c>
      <c r="F111" s="1">
        <v>41610</v>
      </c>
      <c r="G111">
        <v>3</v>
      </c>
      <c r="H111">
        <v>34.880000000000003</v>
      </c>
      <c r="I111">
        <f t="shared" si="1"/>
        <v>2013</v>
      </c>
    </row>
    <row r="112" spans="1:9" x14ac:dyDescent="0.25">
      <c r="A112">
        <v>10358</v>
      </c>
      <c r="B112" t="s">
        <v>61</v>
      </c>
      <c r="C112">
        <v>5</v>
      </c>
      <c r="D112" s="1">
        <v>41598</v>
      </c>
      <c r="E112" s="1">
        <v>41626</v>
      </c>
      <c r="F112" s="1">
        <v>41605</v>
      </c>
      <c r="G112">
        <v>1</v>
      </c>
      <c r="H112">
        <v>19.64</v>
      </c>
      <c r="I112">
        <f t="shared" si="1"/>
        <v>2013</v>
      </c>
    </row>
    <row r="113" spans="1:9" x14ac:dyDescent="0.25">
      <c r="A113">
        <v>10359</v>
      </c>
      <c r="B113" t="s">
        <v>64</v>
      </c>
      <c r="C113">
        <v>5</v>
      </c>
      <c r="D113" s="1">
        <v>41599</v>
      </c>
      <c r="E113" s="1">
        <v>41627</v>
      </c>
      <c r="F113" s="1">
        <v>41604</v>
      </c>
      <c r="G113">
        <v>3</v>
      </c>
      <c r="H113">
        <v>288.43</v>
      </c>
      <c r="I113">
        <f t="shared" si="1"/>
        <v>2013</v>
      </c>
    </row>
    <row r="114" spans="1:9" x14ac:dyDescent="0.25">
      <c r="A114">
        <v>10360</v>
      </c>
      <c r="B114" t="s">
        <v>23</v>
      </c>
      <c r="C114">
        <v>4</v>
      </c>
      <c r="D114" s="1">
        <v>41600</v>
      </c>
      <c r="E114" s="1">
        <v>41628</v>
      </c>
      <c r="F114" s="1">
        <v>41610</v>
      </c>
      <c r="G114">
        <v>3</v>
      </c>
      <c r="H114">
        <v>131.69999999999999</v>
      </c>
      <c r="I114">
        <f t="shared" si="1"/>
        <v>2013</v>
      </c>
    </row>
    <row r="115" spans="1:9" x14ac:dyDescent="0.25">
      <c r="A115">
        <v>10361</v>
      </c>
      <c r="B115" t="s">
        <v>29</v>
      </c>
      <c r="C115">
        <v>1</v>
      </c>
      <c r="D115" s="1">
        <v>41600</v>
      </c>
      <c r="E115" s="1">
        <v>41628</v>
      </c>
      <c r="F115" s="1">
        <v>41611</v>
      </c>
      <c r="G115">
        <v>2</v>
      </c>
      <c r="H115">
        <v>183.17</v>
      </c>
      <c r="I115">
        <f t="shared" si="1"/>
        <v>2013</v>
      </c>
    </row>
    <row r="116" spans="1:9" x14ac:dyDescent="0.25">
      <c r="A116">
        <v>10362</v>
      </c>
      <c r="B116" t="s">
        <v>56</v>
      </c>
      <c r="C116">
        <v>3</v>
      </c>
      <c r="D116" s="1">
        <v>41603</v>
      </c>
      <c r="E116" s="1">
        <v>41631</v>
      </c>
      <c r="F116" s="1">
        <v>41606</v>
      </c>
      <c r="G116">
        <v>1</v>
      </c>
      <c r="H116">
        <v>96.04</v>
      </c>
      <c r="I116">
        <f t="shared" si="1"/>
        <v>2013</v>
      </c>
    </row>
    <row r="117" spans="1:9" x14ac:dyDescent="0.25">
      <c r="A117">
        <v>10363</v>
      </c>
      <c r="B117" t="s">
        <v>65</v>
      </c>
      <c r="C117">
        <v>4</v>
      </c>
      <c r="D117" s="1">
        <v>41604</v>
      </c>
      <c r="E117" s="1">
        <v>41632</v>
      </c>
      <c r="F117" s="1">
        <v>41612</v>
      </c>
      <c r="G117">
        <v>3</v>
      </c>
      <c r="H117">
        <v>30.54</v>
      </c>
      <c r="I117">
        <f t="shared" si="1"/>
        <v>2013</v>
      </c>
    </row>
    <row r="118" spans="1:9" x14ac:dyDescent="0.25">
      <c r="A118">
        <v>10364</v>
      </c>
      <c r="B118" t="s">
        <v>66</v>
      </c>
      <c r="C118">
        <v>1</v>
      </c>
      <c r="D118" s="1">
        <v>41604</v>
      </c>
      <c r="E118" s="1">
        <v>41646</v>
      </c>
      <c r="F118" s="1">
        <v>41612</v>
      </c>
      <c r="G118">
        <v>1</v>
      </c>
      <c r="H118">
        <v>71.97</v>
      </c>
      <c r="I118">
        <f t="shared" si="1"/>
        <v>2013</v>
      </c>
    </row>
    <row r="119" spans="1:9" x14ac:dyDescent="0.25">
      <c r="A119">
        <v>10365</v>
      </c>
      <c r="B119" t="s">
        <v>67</v>
      </c>
      <c r="C119">
        <v>3</v>
      </c>
      <c r="D119" s="1">
        <v>41605</v>
      </c>
      <c r="E119" s="1">
        <v>41633</v>
      </c>
      <c r="F119" s="1">
        <v>41610</v>
      </c>
      <c r="G119">
        <v>2</v>
      </c>
      <c r="H119">
        <v>22</v>
      </c>
      <c r="I119">
        <f t="shared" si="1"/>
        <v>2013</v>
      </c>
    </row>
    <row r="120" spans="1:9" x14ac:dyDescent="0.25">
      <c r="A120">
        <v>10366</v>
      </c>
      <c r="B120" t="s">
        <v>68</v>
      </c>
      <c r="C120">
        <v>8</v>
      </c>
      <c r="D120" s="1">
        <v>41606</v>
      </c>
      <c r="E120" s="1">
        <v>41648</v>
      </c>
      <c r="F120" s="1">
        <v>41638</v>
      </c>
      <c r="G120">
        <v>2</v>
      </c>
      <c r="H120">
        <v>10.14</v>
      </c>
      <c r="I120">
        <f t="shared" si="1"/>
        <v>2013</v>
      </c>
    </row>
    <row r="121" spans="1:9" x14ac:dyDescent="0.25">
      <c r="A121">
        <v>10367</v>
      </c>
      <c r="B121" t="s">
        <v>69</v>
      </c>
      <c r="C121">
        <v>7</v>
      </c>
      <c r="D121" s="1">
        <v>41606</v>
      </c>
      <c r="E121" s="1">
        <v>41634</v>
      </c>
      <c r="F121" s="1">
        <v>41610</v>
      </c>
      <c r="G121">
        <v>3</v>
      </c>
      <c r="H121">
        <v>13.55</v>
      </c>
      <c r="I121">
        <f t="shared" si="1"/>
        <v>2013</v>
      </c>
    </row>
    <row r="122" spans="1:9" x14ac:dyDescent="0.25">
      <c r="A122">
        <v>10368</v>
      </c>
      <c r="B122" t="s">
        <v>17</v>
      </c>
      <c r="C122">
        <v>2</v>
      </c>
      <c r="D122" s="1">
        <v>41607</v>
      </c>
      <c r="E122" s="1">
        <v>41635</v>
      </c>
      <c r="F122" s="1">
        <v>41610</v>
      </c>
      <c r="G122">
        <v>2</v>
      </c>
      <c r="H122">
        <v>101.95</v>
      </c>
      <c r="I122">
        <f t="shared" si="1"/>
        <v>2013</v>
      </c>
    </row>
    <row r="123" spans="1:9" x14ac:dyDescent="0.25">
      <c r="A123">
        <v>10369</v>
      </c>
      <c r="B123" t="s">
        <v>28</v>
      </c>
      <c r="C123">
        <v>8</v>
      </c>
      <c r="D123" s="1">
        <v>41610</v>
      </c>
      <c r="E123" s="1">
        <v>41638</v>
      </c>
      <c r="F123" s="1">
        <v>41617</v>
      </c>
      <c r="G123">
        <v>2</v>
      </c>
      <c r="H123">
        <v>195.68</v>
      </c>
      <c r="I123">
        <f t="shared" si="1"/>
        <v>2013</v>
      </c>
    </row>
    <row r="124" spans="1:9" x14ac:dyDescent="0.25">
      <c r="A124">
        <v>10370</v>
      </c>
      <c r="B124" t="s">
        <v>13</v>
      </c>
      <c r="C124">
        <v>6</v>
      </c>
      <c r="D124" s="1">
        <v>41611</v>
      </c>
      <c r="E124" s="1">
        <v>41639</v>
      </c>
      <c r="F124" s="1">
        <v>41635</v>
      </c>
      <c r="G124">
        <v>2</v>
      </c>
      <c r="H124">
        <v>1.17</v>
      </c>
      <c r="I124">
        <f t="shared" si="1"/>
        <v>2013</v>
      </c>
    </row>
    <row r="125" spans="1:9" x14ac:dyDescent="0.25">
      <c r="A125">
        <v>10371</v>
      </c>
      <c r="B125" t="s">
        <v>61</v>
      </c>
      <c r="C125">
        <v>1</v>
      </c>
      <c r="D125" s="1">
        <v>41611</v>
      </c>
      <c r="E125" s="1">
        <v>41639</v>
      </c>
      <c r="F125" s="1">
        <v>41632</v>
      </c>
      <c r="G125">
        <v>1</v>
      </c>
      <c r="H125">
        <v>0.45</v>
      </c>
      <c r="I125">
        <f t="shared" si="1"/>
        <v>2013</v>
      </c>
    </row>
    <row r="126" spans="1:9" x14ac:dyDescent="0.25">
      <c r="A126">
        <v>10372</v>
      </c>
      <c r="B126" t="s">
        <v>70</v>
      </c>
      <c r="C126">
        <v>5</v>
      </c>
      <c r="D126" s="1">
        <v>41612</v>
      </c>
      <c r="E126" s="1">
        <v>41640</v>
      </c>
      <c r="F126" s="1">
        <v>41617</v>
      </c>
      <c r="G126">
        <v>2</v>
      </c>
      <c r="H126">
        <v>890.78</v>
      </c>
      <c r="I126">
        <f t="shared" si="1"/>
        <v>2013</v>
      </c>
    </row>
    <row r="127" spans="1:9" x14ac:dyDescent="0.25">
      <c r="A127">
        <v>10373</v>
      </c>
      <c r="B127" t="s">
        <v>42</v>
      </c>
      <c r="C127">
        <v>4</v>
      </c>
      <c r="D127" s="1">
        <v>41613</v>
      </c>
      <c r="E127" s="1">
        <v>41641</v>
      </c>
      <c r="F127" s="1">
        <v>41619</v>
      </c>
      <c r="G127">
        <v>3</v>
      </c>
      <c r="H127">
        <v>124.12</v>
      </c>
      <c r="I127">
        <f t="shared" si="1"/>
        <v>2013</v>
      </c>
    </row>
    <row r="128" spans="1:9" x14ac:dyDescent="0.25">
      <c r="A128">
        <v>10374</v>
      </c>
      <c r="B128" t="s">
        <v>71</v>
      </c>
      <c r="C128">
        <v>1</v>
      </c>
      <c r="D128" s="1">
        <v>41613</v>
      </c>
      <c r="E128" s="1">
        <v>41641</v>
      </c>
      <c r="F128" s="1">
        <v>41617</v>
      </c>
      <c r="G128">
        <v>3</v>
      </c>
      <c r="H128">
        <v>3.94</v>
      </c>
      <c r="I128">
        <f t="shared" si="1"/>
        <v>2013</v>
      </c>
    </row>
    <row r="129" spans="1:9" x14ac:dyDescent="0.25">
      <c r="A129">
        <v>10375</v>
      </c>
      <c r="B129" t="s">
        <v>72</v>
      </c>
      <c r="C129">
        <v>3</v>
      </c>
      <c r="D129" s="1">
        <v>41614</v>
      </c>
      <c r="E129" s="1">
        <v>41642</v>
      </c>
      <c r="F129" s="1">
        <v>41617</v>
      </c>
      <c r="G129">
        <v>2</v>
      </c>
      <c r="H129">
        <v>20.12</v>
      </c>
      <c r="I129">
        <f t="shared" si="1"/>
        <v>2013</v>
      </c>
    </row>
    <row r="130" spans="1:9" x14ac:dyDescent="0.25">
      <c r="A130">
        <v>10376</v>
      </c>
      <c r="B130" t="s">
        <v>57</v>
      </c>
      <c r="C130">
        <v>1</v>
      </c>
      <c r="D130" s="1">
        <v>41617</v>
      </c>
      <c r="E130" s="1">
        <v>41645</v>
      </c>
      <c r="F130" s="1">
        <v>41621</v>
      </c>
      <c r="G130">
        <v>2</v>
      </c>
      <c r="H130">
        <v>20.39</v>
      </c>
      <c r="I130">
        <f t="shared" si="1"/>
        <v>2013</v>
      </c>
    </row>
    <row r="131" spans="1:9" x14ac:dyDescent="0.25">
      <c r="A131">
        <v>10377</v>
      </c>
      <c r="B131" t="s">
        <v>64</v>
      </c>
      <c r="C131">
        <v>1</v>
      </c>
      <c r="D131" s="1">
        <v>41617</v>
      </c>
      <c r="E131" s="1">
        <v>41645</v>
      </c>
      <c r="F131" s="1">
        <v>41621</v>
      </c>
      <c r="G131">
        <v>3</v>
      </c>
      <c r="H131">
        <v>22.21</v>
      </c>
      <c r="I131">
        <f t="shared" ref="I131:I194" si="2">YEAR(D131)</f>
        <v>2013</v>
      </c>
    </row>
    <row r="132" spans="1:9" x14ac:dyDescent="0.25">
      <c r="A132">
        <v>10378</v>
      </c>
      <c r="B132" t="s">
        <v>22</v>
      </c>
      <c r="C132">
        <v>5</v>
      </c>
      <c r="D132" s="1">
        <v>41618</v>
      </c>
      <c r="E132" s="1">
        <v>41646</v>
      </c>
      <c r="F132" s="1">
        <v>41627</v>
      </c>
      <c r="G132">
        <v>3</v>
      </c>
      <c r="H132">
        <v>5.44</v>
      </c>
      <c r="I132">
        <f t="shared" si="2"/>
        <v>2013</v>
      </c>
    </row>
    <row r="133" spans="1:9" x14ac:dyDescent="0.25">
      <c r="A133">
        <v>10379</v>
      </c>
      <c r="B133" t="s">
        <v>20</v>
      </c>
      <c r="C133">
        <v>2</v>
      </c>
      <c r="D133" s="1">
        <v>41619</v>
      </c>
      <c r="E133" s="1">
        <v>41647</v>
      </c>
      <c r="F133" s="1">
        <v>41621</v>
      </c>
      <c r="G133">
        <v>1</v>
      </c>
      <c r="H133">
        <v>45.03</v>
      </c>
      <c r="I133">
        <f t="shared" si="2"/>
        <v>2013</v>
      </c>
    </row>
    <row r="134" spans="1:9" x14ac:dyDescent="0.25">
      <c r="A134">
        <v>10380</v>
      </c>
      <c r="B134" t="s">
        <v>42</v>
      </c>
      <c r="C134">
        <v>8</v>
      </c>
      <c r="D134" s="1">
        <v>41620</v>
      </c>
      <c r="E134" s="1">
        <v>41648</v>
      </c>
      <c r="F134" s="1">
        <v>41655</v>
      </c>
      <c r="G134">
        <v>3</v>
      </c>
      <c r="H134">
        <v>35.03</v>
      </c>
      <c r="I134">
        <f t="shared" si="2"/>
        <v>2013</v>
      </c>
    </row>
    <row r="135" spans="1:9" x14ac:dyDescent="0.25">
      <c r="A135">
        <v>10381</v>
      </c>
      <c r="B135" t="s">
        <v>36</v>
      </c>
      <c r="C135">
        <v>3</v>
      </c>
      <c r="D135" s="1">
        <v>41620</v>
      </c>
      <c r="E135" s="1">
        <v>41648</v>
      </c>
      <c r="F135" s="1">
        <v>41621</v>
      </c>
      <c r="G135">
        <v>3</v>
      </c>
      <c r="H135">
        <v>7.99</v>
      </c>
      <c r="I135">
        <f t="shared" si="2"/>
        <v>2013</v>
      </c>
    </row>
    <row r="136" spans="1:9" x14ac:dyDescent="0.25">
      <c r="A136">
        <v>10382</v>
      </c>
      <c r="B136" t="s">
        <v>17</v>
      </c>
      <c r="C136">
        <v>4</v>
      </c>
      <c r="D136" s="1">
        <v>41621</v>
      </c>
      <c r="E136" s="1">
        <v>41649</v>
      </c>
      <c r="F136" s="1">
        <v>41624</v>
      </c>
      <c r="G136">
        <v>1</v>
      </c>
      <c r="H136">
        <v>94.77</v>
      </c>
      <c r="I136">
        <f t="shared" si="2"/>
        <v>2013</v>
      </c>
    </row>
    <row r="137" spans="1:9" x14ac:dyDescent="0.25">
      <c r="A137">
        <v>10383</v>
      </c>
      <c r="B137" t="s">
        <v>63</v>
      </c>
      <c r="C137">
        <v>8</v>
      </c>
      <c r="D137" s="1">
        <v>41624</v>
      </c>
      <c r="E137" s="1">
        <v>41652</v>
      </c>
      <c r="F137" s="1">
        <v>41626</v>
      </c>
      <c r="G137">
        <v>3</v>
      </c>
      <c r="H137">
        <v>34.24</v>
      </c>
      <c r="I137">
        <f t="shared" si="2"/>
        <v>2013</v>
      </c>
    </row>
    <row r="138" spans="1:9" x14ac:dyDescent="0.25">
      <c r="A138">
        <v>10384</v>
      </c>
      <c r="B138" t="s">
        <v>33</v>
      </c>
      <c r="C138">
        <v>3</v>
      </c>
      <c r="D138" s="1">
        <v>41624</v>
      </c>
      <c r="E138" s="1">
        <v>41652</v>
      </c>
      <c r="F138" s="1">
        <v>41628</v>
      </c>
      <c r="G138">
        <v>3</v>
      </c>
      <c r="H138">
        <v>168.64</v>
      </c>
      <c r="I138">
        <f t="shared" si="2"/>
        <v>2013</v>
      </c>
    </row>
    <row r="139" spans="1:9" x14ac:dyDescent="0.25">
      <c r="A139">
        <v>10385</v>
      </c>
      <c r="B139" t="s">
        <v>28</v>
      </c>
      <c r="C139">
        <v>1</v>
      </c>
      <c r="D139" s="1">
        <v>41625</v>
      </c>
      <c r="E139" s="1">
        <v>41653</v>
      </c>
      <c r="F139" s="1">
        <v>41631</v>
      </c>
      <c r="G139">
        <v>2</v>
      </c>
      <c r="H139">
        <v>30.96</v>
      </c>
      <c r="I139">
        <f t="shared" si="2"/>
        <v>2013</v>
      </c>
    </row>
    <row r="140" spans="1:9" x14ac:dyDescent="0.25">
      <c r="A140">
        <v>10386</v>
      </c>
      <c r="B140" t="s">
        <v>60</v>
      </c>
      <c r="C140">
        <v>9</v>
      </c>
      <c r="D140" s="1">
        <v>41626</v>
      </c>
      <c r="E140" s="1">
        <v>41640</v>
      </c>
      <c r="F140" s="1">
        <v>41633</v>
      </c>
      <c r="G140">
        <v>3</v>
      </c>
      <c r="H140">
        <v>13.99</v>
      </c>
      <c r="I140">
        <f t="shared" si="2"/>
        <v>2013</v>
      </c>
    </row>
    <row r="141" spans="1:9" x14ac:dyDescent="0.25">
      <c r="A141">
        <v>10387</v>
      </c>
      <c r="B141" t="s">
        <v>73</v>
      </c>
      <c r="C141">
        <v>1</v>
      </c>
      <c r="D141" s="1">
        <v>41626</v>
      </c>
      <c r="E141" s="1">
        <v>41654</v>
      </c>
      <c r="F141" s="1">
        <v>41628</v>
      </c>
      <c r="G141">
        <v>2</v>
      </c>
      <c r="H141">
        <v>93.63</v>
      </c>
      <c r="I141">
        <f t="shared" si="2"/>
        <v>2013</v>
      </c>
    </row>
    <row r="142" spans="1:9" x14ac:dyDescent="0.25">
      <c r="A142">
        <v>10388</v>
      </c>
      <c r="B142" t="s">
        <v>64</v>
      </c>
      <c r="C142">
        <v>2</v>
      </c>
      <c r="D142" s="1">
        <v>41627</v>
      </c>
      <c r="E142" s="1">
        <v>41655</v>
      </c>
      <c r="F142" s="1">
        <v>41628</v>
      </c>
      <c r="G142">
        <v>1</v>
      </c>
      <c r="H142">
        <v>34.86</v>
      </c>
      <c r="I142">
        <f t="shared" si="2"/>
        <v>2013</v>
      </c>
    </row>
    <row r="143" spans="1:9" x14ac:dyDescent="0.25">
      <c r="A143">
        <v>10389</v>
      </c>
      <c r="B143" t="s">
        <v>74</v>
      </c>
      <c r="C143">
        <v>4</v>
      </c>
      <c r="D143" s="1">
        <v>41628</v>
      </c>
      <c r="E143" s="1">
        <v>41656</v>
      </c>
      <c r="F143" s="1">
        <v>41632</v>
      </c>
      <c r="G143">
        <v>2</v>
      </c>
      <c r="H143">
        <v>47.42</v>
      </c>
      <c r="I143">
        <f t="shared" si="2"/>
        <v>2013</v>
      </c>
    </row>
    <row r="144" spans="1:9" x14ac:dyDescent="0.25">
      <c r="A144">
        <v>10390</v>
      </c>
      <c r="B144" t="s">
        <v>17</v>
      </c>
      <c r="C144">
        <v>6</v>
      </c>
      <c r="D144" s="1">
        <v>41631</v>
      </c>
      <c r="E144" s="1">
        <v>41659</v>
      </c>
      <c r="F144" s="1">
        <v>41634</v>
      </c>
      <c r="G144">
        <v>1</v>
      </c>
      <c r="H144">
        <v>126.38</v>
      </c>
      <c r="I144">
        <f t="shared" si="2"/>
        <v>2013</v>
      </c>
    </row>
    <row r="145" spans="1:9" x14ac:dyDescent="0.25">
      <c r="A145">
        <v>10391</v>
      </c>
      <c r="B145" t="s">
        <v>65</v>
      </c>
      <c r="C145">
        <v>3</v>
      </c>
      <c r="D145" s="1">
        <v>41631</v>
      </c>
      <c r="E145" s="1">
        <v>41659</v>
      </c>
      <c r="F145" s="1">
        <v>41639</v>
      </c>
      <c r="G145">
        <v>3</v>
      </c>
      <c r="H145">
        <v>5.45</v>
      </c>
      <c r="I145">
        <f t="shared" si="2"/>
        <v>2013</v>
      </c>
    </row>
    <row r="146" spans="1:9" x14ac:dyDescent="0.25">
      <c r="A146">
        <v>10392</v>
      </c>
      <c r="B146" t="s">
        <v>62</v>
      </c>
      <c r="C146">
        <v>2</v>
      </c>
      <c r="D146" s="1">
        <v>41632</v>
      </c>
      <c r="E146" s="1">
        <v>41660</v>
      </c>
      <c r="F146" s="1">
        <v>41640</v>
      </c>
      <c r="G146">
        <v>3</v>
      </c>
      <c r="H146">
        <v>122.46</v>
      </c>
      <c r="I146">
        <f t="shared" si="2"/>
        <v>2013</v>
      </c>
    </row>
    <row r="147" spans="1:9" x14ac:dyDescent="0.25">
      <c r="A147">
        <v>10393</v>
      </c>
      <c r="B147" t="s">
        <v>53</v>
      </c>
      <c r="C147">
        <v>1</v>
      </c>
      <c r="D147" s="1">
        <v>41633</v>
      </c>
      <c r="E147" s="1">
        <v>41661</v>
      </c>
      <c r="F147" s="1">
        <v>41642</v>
      </c>
      <c r="G147">
        <v>3</v>
      </c>
      <c r="H147">
        <v>126.56</v>
      </c>
      <c r="I147">
        <f t="shared" si="2"/>
        <v>2013</v>
      </c>
    </row>
    <row r="148" spans="1:9" x14ac:dyDescent="0.25">
      <c r="A148">
        <v>10394</v>
      </c>
      <c r="B148" t="s">
        <v>72</v>
      </c>
      <c r="C148">
        <v>1</v>
      </c>
      <c r="D148" s="1">
        <v>41633</v>
      </c>
      <c r="E148" s="1">
        <v>41661</v>
      </c>
      <c r="F148" s="1">
        <v>41642</v>
      </c>
      <c r="G148">
        <v>3</v>
      </c>
      <c r="H148">
        <v>30.34</v>
      </c>
      <c r="I148">
        <f t="shared" si="2"/>
        <v>2013</v>
      </c>
    </row>
    <row r="149" spans="1:9" x14ac:dyDescent="0.25">
      <c r="A149">
        <v>10395</v>
      </c>
      <c r="B149" t="s">
        <v>16</v>
      </c>
      <c r="C149">
        <v>6</v>
      </c>
      <c r="D149" s="1">
        <v>41634</v>
      </c>
      <c r="E149" s="1">
        <v>41662</v>
      </c>
      <c r="F149" s="1">
        <v>41642</v>
      </c>
      <c r="G149">
        <v>1</v>
      </c>
      <c r="H149">
        <v>184.41</v>
      </c>
      <c r="I149">
        <f t="shared" si="2"/>
        <v>2013</v>
      </c>
    </row>
    <row r="150" spans="1:9" x14ac:dyDescent="0.25">
      <c r="A150">
        <v>10396</v>
      </c>
      <c r="B150" t="s">
        <v>25</v>
      </c>
      <c r="C150">
        <v>1</v>
      </c>
      <c r="D150" s="1">
        <v>41635</v>
      </c>
      <c r="E150" s="1">
        <v>41649</v>
      </c>
      <c r="F150" s="1">
        <v>41645</v>
      </c>
      <c r="G150">
        <v>3</v>
      </c>
      <c r="H150">
        <v>135.35</v>
      </c>
      <c r="I150">
        <f t="shared" si="2"/>
        <v>2013</v>
      </c>
    </row>
    <row r="151" spans="1:9" x14ac:dyDescent="0.25">
      <c r="A151">
        <v>10397</v>
      </c>
      <c r="B151" t="s">
        <v>58</v>
      </c>
      <c r="C151">
        <v>5</v>
      </c>
      <c r="D151" s="1">
        <v>41635</v>
      </c>
      <c r="E151" s="1">
        <v>41663</v>
      </c>
      <c r="F151" s="1">
        <v>41641</v>
      </c>
      <c r="G151">
        <v>1</v>
      </c>
      <c r="H151">
        <v>60.26</v>
      </c>
      <c r="I151">
        <f t="shared" si="2"/>
        <v>2013</v>
      </c>
    </row>
    <row r="152" spans="1:9" x14ac:dyDescent="0.25">
      <c r="A152">
        <v>10398</v>
      </c>
      <c r="B152" t="s">
        <v>53</v>
      </c>
      <c r="C152">
        <v>2</v>
      </c>
      <c r="D152" s="1">
        <v>41638</v>
      </c>
      <c r="E152" s="1">
        <v>41666</v>
      </c>
      <c r="F152" s="1">
        <v>41648</v>
      </c>
      <c r="G152">
        <v>3</v>
      </c>
      <c r="H152">
        <v>89.16</v>
      </c>
      <c r="I152">
        <f t="shared" si="2"/>
        <v>2013</v>
      </c>
    </row>
    <row r="153" spans="1:9" x14ac:dyDescent="0.25">
      <c r="A153">
        <v>10399</v>
      </c>
      <c r="B153" t="s">
        <v>69</v>
      </c>
      <c r="C153">
        <v>8</v>
      </c>
      <c r="D153" s="1">
        <v>41639</v>
      </c>
      <c r="E153" s="1">
        <v>41653</v>
      </c>
      <c r="F153" s="1">
        <v>41647</v>
      </c>
      <c r="G153">
        <v>3</v>
      </c>
      <c r="H153">
        <v>27.36</v>
      </c>
      <c r="I153">
        <f t="shared" si="2"/>
        <v>2013</v>
      </c>
    </row>
    <row r="154" spans="1:9" x14ac:dyDescent="0.25">
      <c r="A154">
        <v>10400</v>
      </c>
      <c r="B154" t="s">
        <v>66</v>
      </c>
      <c r="C154">
        <v>1</v>
      </c>
      <c r="D154" s="1">
        <v>41640</v>
      </c>
      <c r="E154" s="1">
        <v>41668</v>
      </c>
      <c r="F154" s="1">
        <v>41655</v>
      </c>
      <c r="G154">
        <v>3</v>
      </c>
      <c r="H154">
        <v>83.93</v>
      </c>
      <c r="I154">
        <f t="shared" si="2"/>
        <v>2014</v>
      </c>
    </row>
    <row r="155" spans="1:9" x14ac:dyDescent="0.25">
      <c r="A155">
        <v>10401</v>
      </c>
      <c r="B155" t="s">
        <v>21</v>
      </c>
      <c r="C155">
        <v>1</v>
      </c>
      <c r="D155" s="1">
        <v>41640</v>
      </c>
      <c r="E155" s="1">
        <v>41668</v>
      </c>
      <c r="F155" s="1">
        <v>41649</v>
      </c>
      <c r="G155">
        <v>1</v>
      </c>
      <c r="H155">
        <v>12.51</v>
      </c>
      <c r="I155">
        <f t="shared" si="2"/>
        <v>2014</v>
      </c>
    </row>
    <row r="156" spans="1:9" x14ac:dyDescent="0.25">
      <c r="A156">
        <v>10402</v>
      </c>
      <c r="B156" t="s">
        <v>17</v>
      </c>
      <c r="C156">
        <v>8</v>
      </c>
      <c r="D156" s="1">
        <v>41641</v>
      </c>
      <c r="E156" s="1">
        <v>41683</v>
      </c>
      <c r="F156" s="1">
        <v>41649</v>
      </c>
      <c r="G156">
        <v>2</v>
      </c>
      <c r="H156">
        <v>67.88</v>
      </c>
      <c r="I156">
        <f t="shared" si="2"/>
        <v>2014</v>
      </c>
    </row>
    <row r="157" spans="1:9" x14ac:dyDescent="0.25">
      <c r="A157">
        <v>10403</v>
      </c>
      <c r="B157" t="s">
        <v>17</v>
      </c>
      <c r="C157">
        <v>4</v>
      </c>
      <c r="D157" s="1">
        <v>41642</v>
      </c>
      <c r="E157" s="1">
        <v>41670</v>
      </c>
      <c r="F157" s="1">
        <v>41648</v>
      </c>
      <c r="G157">
        <v>3</v>
      </c>
      <c r="H157">
        <v>73.790000000000006</v>
      </c>
      <c r="I157">
        <f t="shared" si="2"/>
        <v>2014</v>
      </c>
    </row>
    <row r="158" spans="1:9" x14ac:dyDescent="0.25">
      <c r="A158">
        <v>10404</v>
      </c>
      <c r="B158" t="s">
        <v>30</v>
      </c>
      <c r="C158">
        <v>2</v>
      </c>
      <c r="D158" s="1">
        <v>41642</v>
      </c>
      <c r="E158" s="1">
        <v>41670</v>
      </c>
      <c r="F158" s="1">
        <v>41647</v>
      </c>
      <c r="G158">
        <v>1</v>
      </c>
      <c r="H158">
        <v>155.97</v>
      </c>
      <c r="I158">
        <f t="shared" si="2"/>
        <v>2014</v>
      </c>
    </row>
    <row r="159" spans="1:9" x14ac:dyDescent="0.25">
      <c r="A159">
        <v>10405</v>
      </c>
      <c r="B159" t="s">
        <v>75</v>
      </c>
      <c r="C159">
        <v>1</v>
      </c>
      <c r="D159" s="1">
        <v>41645</v>
      </c>
      <c r="E159" s="1">
        <v>41673</v>
      </c>
      <c r="F159" s="1">
        <v>41661</v>
      </c>
      <c r="G159">
        <v>1</v>
      </c>
      <c r="H159">
        <v>34.82</v>
      </c>
      <c r="I159">
        <f t="shared" si="2"/>
        <v>2014</v>
      </c>
    </row>
    <row r="160" spans="1:9" x14ac:dyDescent="0.25">
      <c r="A160">
        <v>10406</v>
      </c>
      <c r="B160" t="s">
        <v>70</v>
      </c>
      <c r="C160">
        <v>7</v>
      </c>
      <c r="D160" s="1">
        <v>41646</v>
      </c>
      <c r="E160" s="1">
        <v>41688</v>
      </c>
      <c r="F160" s="1">
        <v>41652</v>
      </c>
      <c r="G160">
        <v>1</v>
      </c>
      <c r="H160">
        <v>108.04</v>
      </c>
      <c r="I160">
        <f t="shared" si="2"/>
        <v>2014</v>
      </c>
    </row>
    <row r="161" spans="1:9" x14ac:dyDescent="0.25">
      <c r="A161">
        <v>10407</v>
      </c>
      <c r="B161" t="s">
        <v>19</v>
      </c>
      <c r="C161">
        <v>2</v>
      </c>
      <c r="D161" s="1">
        <v>41646</v>
      </c>
      <c r="E161" s="1">
        <v>41674</v>
      </c>
      <c r="F161" s="1">
        <v>41669</v>
      </c>
      <c r="G161">
        <v>2</v>
      </c>
      <c r="H161">
        <v>91.48</v>
      </c>
      <c r="I161">
        <f t="shared" si="2"/>
        <v>2014</v>
      </c>
    </row>
    <row r="162" spans="1:9" x14ac:dyDescent="0.25">
      <c r="A162">
        <v>10408</v>
      </c>
      <c r="B162" t="s">
        <v>76</v>
      </c>
      <c r="C162">
        <v>8</v>
      </c>
      <c r="D162" s="1">
        <v>41647</v>
      </c>
      <c r="E162" s="1">
        <v>41675</v>
      </c>
      <c r="F162" s="1">
        <v>41653</v>
      </c>
      <c r="G162">
        <v>1</v>
      </c>
      <c r="H162">
        <v>11.26</v>
      </c>
      <c r="I162">
        <f t="shared" si="2"/>
        <v>2014</v>
      </c>
    </row>
    <row r="163" spans="1:9" x14ac:dyDescent="0.25">
      <c r="A163">
        <v>10409</v>
      </c>
      <c r="B163" t="s">
        <v>77</v>
      </c>
      <c r="C163">
        <v>3</v>
      </c>
      <c r="D163" s="1">
        <v>41648</v>
      </c>
      <c r="E163" s="1">
        <v>41676</v>
      </c>
      <c r="F163" s="1">
        <v>41653</v>
      </c>
      <c r="G163">
        <v>1</v>
      </c>
      <c r="H163">
        <v>29.83</v>
      </c>
      <c r="I163">
        <f t="shared" si="2"/>
        <v>2014</v>
      </c>
    </row>
    <row r="164" spans="1:9" x14ac:dyDescent="0.25">
      <c r="A164">
        <v>10410</v>
      </c>
      <c r="B164" t="s">
        <v>74</v>
      </c>
      <c r="C164">
        <v>3</v>
      </c>
      <c r="D164" s="1">
        <v>41649</v>
      </c>
      <c r="E164" s="1">
        <v>41677</v>
      </c>
      <c r="F164" s="1">
        <v>41654</v>
      </c>
      <c r="G164">
        <v>3</v>
      </c>
      <c r="H164">
        <v>2.4</v>
      </c>
      <c r="I164">
        <f t="shared" si="2"/>
        <v>2014</v>
      </c>
    </row>
    <row r="165" spans="1:9" x14ac:dyDescent="0.25">
      <c r="A165">
        <v>10411</v>
      </c>
      <c r="B165" t="s">
        <v>74</v>
      </c>
      <c r="C165">
        <v>9</v>
      </c>
      <c r="D165" s="1">
        <v>41649</v>
      </c>
      <c r="E165" s="1">
        <v>41677</v>
      </c>
      <c r="F165" s="1">
        <v>41660</v>
      </c>
      <c r="G165">
        <v>3</v>
      </c>
      <c r="H165">
        <v>23.65</v>
      </c>
      <c r="I165">
        <f t="shared" si="2"/>
        <v>2014</v>
      </c>
    </row>
    <row r="166" spans="1:9" x14ac:dyDescent="0.25">
      <c r="A166">
        <v>10412</v>
      </c>
      <c r="B166" t="s">
        <v>24</v>
      </c>
      <c r="C166">
        <v>8</v>
      </c>
      <c r="D166" s="1">
        <v>41652</v>
      </c>
      <c r="E166" s="1">
        <v>41680</v>
      </c>
      <c r="F166" s="1">
        <v>41654</v>
      </c>
      <c r="G166">
        <v>2</v>
      </c>
      <c r="H166">
        <v>3.77</v>
      </c>
      <c r="I166">
        <f t="shared" si="2"/>
        <v>2014</v>
      </c>
    </row>
    <row r="167" spans="1:9" x14ac:dyDescent="0.25">
      <c r="A167">
        <v>10413</v>
      </c>
      <c r="B167" t="s">
        <v>61</v>
      </c>
      <c r="C167">
        <v>3</v>
      </c>
      <c r="D167" s="1">
        <v>41653</v>
      </c>
      <c r="E167" s="1">
        <v>41681</v>
      </c>
      <c r="F167" s="1">
        <v>41655</v>
      </c>
      <c r="G167">
        <v>2</v>
      </c>
      <c r="H167">
        <v>95.66</v>
      </c>
      <c r="I167">
        <f t="shared" si="2"/>
        <v>2014</v>
      </c>
    </row>
    <row r="168" spans="1:9" x14ac:dyDescent="0.25">
      <c r="A168">
        <v>10414</v>
      </c>
      <c r="B168" t="s">
        <v>60</v>
      </c>
      <c r="C168">
        <v>2</v>
      </c>
      <c r="D168" s="1">
        <v>41653</v>
      </c>
      <c r="E168" s="1">
        <v>41681</v>
      </c>
      <c r="F168" s="1">
        <v>41656</v>
      </c>
      <c r="G168">
        <v>3</v>
      </c>
      <c r="H168">
        <v>21.48</v>
      </c>
      <c r="I168">
        <f t="shared" si="2"/>
        <v>2014</v>
      </c>
    </row>
    <row r="169" spans="1:9" x14ac:dyDescent="0.25">
      <c r="A169">
        <v>10415</v>
      </c>
      <c r="B169" t="s">
        <v>72</v>
      </c>
      <c r="C169">
        <v>3</v>
      </c>
      <c r="D169" s="1">
        <v>41654</v>
      </c>
      <c r="E169" s="1">
        <v>41682</v>
      </c>
      <c r="F169" s="1">
        <v>41663</v>
      </c>
      <c r="G169">
        <v>1</v>
      </c>
      <c r="H169">
        <v>0.2</v>
      </c>
      <c r="I169">
        <f t="shared" si="2"/>
        <v>2014</v>
      </c>
    </row>
    <row r="170" spans="1:9" x14ac:dyDescent="0.25">
      <c r="A170">
        <v>10416</v>
      </c>
      <c r="B170" t="s">
        <v>24</v>
      </c>
      <c r="C170">
        <v>8</v>
      </c>
      <c r="D170" s="1">
        <v>41655</v>
      </c>
      <c r="E170" s="1">
        <v>41683</v>
      </c>
      <c r="F170" s="1">
        <v>41666</v>
      </c>
      <c r="G170">
        <v>3</v>
      </c>
      <c r="H170">
        <v>22.72</v>
      </c>
      <c r="I170">
        <f t="shared" si="2"/>
        <v>2014</v>
      </c>
    </row>
    <row r="171" spans="1:9" x14ac:dyDescent="0.25">
      <c r="A171">
        <v>10417</v>
      </c>
      <c r="B171" t="s">
        <v>59</v>
      </c>
      <c r="C171">
        <v>4</v>
      </c>
      <c r="D171" s="1">
        <v>41655</v>
      </c>
      <c r="E171" s="1">
        <v>41683</v>
      </c>
      <c r="F171" s="1">
        <v>41667</v>
      </c>
      <c r="G171">
        <v>3</v>
      </c>
      <c r="H171">
        <v>70.290000000000006</v>
      </c>
      <c r="I171">
        <f t="shared" si="2"/>
        <v>2014</v>
      </c>
    </row>
    <row r="172" spans="1:9" x14ac:dyDescent="0.25">
      <c r="A172">
        <v>10418</v>
      </c>
      <c r="B172" t="s">
        <v>29</v>
      </c>
      <c r="C172">
        <v>4</v>
      </c>
      <c r="D172" s="1">
        <v>41656</v>
      </c>
      <c r="E172" s="1">
        <v>41684</v>
      </c>
      <c r="F172" s="1">
        <v>41663</v>
      </c>
      <c r="G172">
        <v>1</v>
      </c>
      <c r="H172">
        <v>17.55</v>
      </c>
      <c r="I172">
        <f t="shared" si="2"/>
        <v>2014</v>
      </c>
    </row>
    <row r="173" spans="1:9" x14ac:dyDescent="0.25">
      <c r="A173">
        <v>10419</v>
      </c>
      <c r="B173" t="s">
        <v>14</v>
      </c>
      <c r="C173">
        <v>4</v>
      </c>
      <c r="D173" s="1">
        <v>41659</v>
      </c>
      <c r="E173" s="1">
        <v>41687</v>
      </c>
      <c r="F173" s="1">
        <v>41669</v>
      </c>
      <c r="G173">
        <v>2</v>
      </c>
      <c r="H173">
        <v>137.35</v>
      </c>
      <c r="I173">
        <f t="shared" si="2"/>
        <v>2014</v>
      </c>
    </row>
    <row r="174" spans="1:9" x14ac:dyDescent="0.25">
      <c r="A174">
        <v>10420</v>
      </c>
      <c r="B174" t="s">
        <v>15</v>
      </c>
      <c r="C174">
        <v>3</v>
      </c>
      <c r="D174" s="1">
        <v>41660</v>
      </c>
      <c r="E174" s="1">
        <v>41688</v>
      </c>
      <c r="F174" s="1">
        <v>41666</v>
      </c>
      <c r="G174">
        <v>1</v>
      </c>
      <c r="H174">
        <v>44.12</v>
      </c>
      <c r="I174">
        <f t="shared" si="2"/>
        <v>2014</v>
      </c>
    </row>
    <row r="175" spans="1:9" x14ac:dyDescent="0.25">
      <c r="A175">
        <v>10421</v>
      </c>
      <c r="B175" t="s">
        <v>20</v>
      </c>
      <c r="C175">
        <v>8</v>
      </c>
      <c r="D175" s="1">
        <v>41660</v>
      </c>
      <c r="E175" s="1">
        <v>41702</v>
      </c>
      <c r="F175" s="1">
        <v>41666</v>
      </c>
      <c r="G175">
        <v>1</v>
      </c>
      <c r="H175">
        <v>99.23</v>
      </c>
      <c r="I175">
        <f t="shared" si="2"/>
        <v>2014</v>
      </c>
    </row>
    <row r="176" spans="1:9" x14ac:dyDescent="0.25">
      <c r="A176">
        <v>10422</v>
      </c>
      <c r="B176" t="s">
        <v>78</v>
      </c>
      <c r="C176">
        <v>2</v>
      </c>
      <c r="D176" s="1">
        <v>41661</v>
      </c>
      <c r="E176" s="1">
        <v>41689</v>
      </c>
      <c r="F176" s="1">
        <v>41670</v>
      </c>
      <c r="G176">
        <v>1</v>
      </c>
      <c r="H176">
        <v>3.02</v>
      </c>
      <c r="I176">
        <f t="shared" si="2"/>
        <v>2014</v>
      </c>
    </row>
    <row r="177" spans="1:9" x14ac:dyDescent="0.25">
      <c r="A177">
        <v>10423</v>
      </c>
      <c r="B177" t="s">
        <v>79</v>
      </c>
      <c r="C177">
        <v>6</v>
      </c>
      <c r="D177" s="1">
        <v>41662</v>
      </c>
      <c r="E177" s="1">
        <v>41676</v>
      </c>
      <c r="F177" s="1">
        <v>41694</v>
      </c>
      <c r="G177">
        <v>3</v>
      </c>
      <c r="H177">
        <v>24.5</v>
      </c>
      <c r="I177">
        <f t="shared" si="2"/>
        <v>2014</v>
      </c>
    </row>
    <row r="178" spans="1:9" x14ac:dyDescent="0.25">
      <c r="A178">
        <v>10424</v>
      </c>
      <c r="B178" t="s">
        <v>57</v>
      </c>
      <c r="C178">
        <v>7</v>
      </c>
      <c r="D178" s="1">
        <v>41662</v>
      </c>
      <c r="E178" s="1">
        <v>41690</v>
      </c>
      <c r="F178" s="1">
        <v>41666</v>
      </c>
      <c r="G178">
        <v>2</v>
      </c>
      <c r="H178">
        <v>370.61</v>
      </c>
      <c r="I178">
        <f t="shared" si="2"/>
        <v>2014</v>
      </c>
    </row>
    <row r="179" spans="1:9" x14ac:dyDescent="0.25">
      <c r="A179">
        <v>10425</v>
      </c>
      <c r="B179" t="s">
        <v>61</v>
      </c>
      <c r="C179">
        <v>6</v>
      </c>
      <c r="D179" s="1">
        <v>41663</v>
      </c>
      <c r="E179" s="1">
        <v>41691</v>
      </c>
      <c r="F179" s="1">
        <v>41684</v>
      </c>
      <c r="G179">
        <v>2</v>
      </c>
      <c r="H179">
        <v>7.93</v>
      </c>
      <c r="I179">
        <f t="shared" si="2"/>
        <v>2014</v>
      </c>
    </row>
    <row r="180" spans="1:9" x14ac:dyDescent="0.25">
      <c r="A180">
        <v>10426</v>
      </c>
      <c r="B180" t="s">
        <v>68</v>
      </c>
      <c r="C180">
        <v>4</v>
      </c>
      <c r="D180" s="1">
        <v>41666</v>
      </c>
      <c r="E180" s="1">
        <v>41694</v>
      </c>
      <c r="F180" s="1">
        <v>41676</v>
      </c>
      <c r="G180">
        <v>1</v>
      </c>
      <c r="H180">
        <v>18.690000000000001</v>
      </c>
      <c r="I180">
        <f t="shared" si="2"/>
        <v>2014</v>
      </c>
    </row>
    <row r="181" spans="1:9" x14ac:dyDescent="0.25">
      <c r="A181">
        <v>10427</v>
      </c>
      <c r="B181" t="s">
        <v>62</v>
      </c>
      <c r="C181">
        <v>4</v>
      </c>
      <c r="D181" s="1">
        <v>41666</v>
      </c>
      <c r="E181" s="1">
        <v>41694</v>
      </c>
      <c r="F181" s="1">
        <v>41701</v>
      </c>
      <c r="G181">
        <v>2</v>
      </c>
      <c r="H181">
        <v>31.29</v>
      </c>
      <c r="I181">
        <f t="shared" si="2"/>
        <v>2014</v>
      </c>
    </row>
    <row r="182" spans="1:9" x14ac:dyDescent="0.25">
      <c r="A182">
        <v>10428</v>
      </c>
      <c r="B182" t="s">
        <v>38</v>
      </c>
      <c r="C182">
        <v>7</v>
      </c>
      <c r="D182" s="1">
        <v>41667</v>
      </c>
      <c r="E182" s="1">
        <v>41695</v>
      </c>
      <c r="F182" s="1">
        <v>41674</v>
      </c>
      <c r="G182">
        <v>1</v>
      </c>
      <c r="H182">
        <v>11.09</v>
      </c>
      <c r="I182">
        <f t="shared" si="2"/>
        <v>2014</v>
      </c>
    </row>
    <row r="183" spans="1:9" x14ac:dyDescent="0.25">
      <c r="A183">
        <v>10429</v>
      </c>
      <c r="B183" t="s">
        <v>42</v>
      </c>
      <c r="C183">
        <v>3</v>
      </c>
      <c r="D183" s="1">
        <v>41668</v>
      </c>
      <c r="E183" s="1">
        <v>41710</v>
      </c>
      <c r="F183" s="1">
        <v>41677</v>
      </c>
      <c r="G183">
        <v>2</v>
      </c>
      <c r="H183">
        <v>56.63</v>
      </c>
      <c r="I183">
        <f t="shared" si="2"/>
        <v>2014</v>
      </c>
    </row>
    <row r="184" spans="1:9" x14ac:dyDescent="0.25">
      <c r="A184">
        <v>10430</v>
      </c>
      <c r="B184" t="s">
        <v>17</v>
      </c>
      <c r="C184">
        <v>4</v>
      </c>
      <c r="D184" s="1">
        <v>41669</v>
      </c>
      <c r="E184" s="1">
        <v>41683</v>
      </c>
      <c r="F184" s="1">
        <v>41673</v>
      </c>
      <c r="G184">
        <v>1</v>
      </c>
      <c r="H184">
        <v>458.78</v>
      </c>
      <c r="I184">
        <f t="shared" si="2"/>
        <v>2014</v>
      </c>
    </row>
    <row r="185" spans="1:9" x14ac:dyDescent="0.25">
      <c r="A185">
        <v>10431</v>
      </c>
      <c r="B185" t="s">
        <v>74</v>
      </c>
      <c r="C185">
        <v>4</v>
      </c>
      <c r="D185" s="1">
        <v>41669</v>
      </c>
      <c r="E185" s="1">
        <v>41683</v>
      </c>
      <c r="F185" s="1">
        <v>41677</v>
      </c>
      <c r="G185">
        <v>2</v>
      </c>
      <c r="H185">
        <v>44.17</v>
      </c>
      <c r="I185">
        <f t="shared" si="2"/>
        <v>2014</v>
      </c>
    </row>
    <row r="186" spans="1:9" x14ac:dyDescent="0.25">
      <c r="A186">
        <v>10432</v>
      </c>
      <c r="B186" t="s">
        <v>28</v>
      </c>
      <c r="C186">
        <v>3</v>
      </c>
      <c r="D186" s="1">
        <v>41670</v>
      </c>
      <c r="E186" s="1">
        <v>41684</v>
      </c>
      <c r="F186" s="1">
        <v>41677</v>
      </c>
      <c r="G186">
        <v>2</v>
      </c>
      <c r="H186">
        <v>4.34</v>
      </c>
      <c r="I186">
        <f t="shared" si="2"/>
        <v>2014</v>
      </c>
    </row>
    <row r="187" spans="1:9" x14ac:dyDescent="0.25">
      <c r="A187">
        <v>10433</v>
      </c>
      <c r="B187" t="s">
        <v>58</v>
      </c>
      <c r="C187">
        <v>3</v>
      </c>
      <c r="D187" s="1">
        <v>41673</v>
      </c>
      <c r="E187" s="1">
        <v>41701</v>
      </c>
      <c r="F187" s="1">
        <v>41702</v>
      </c>
      <c r="G187">
        <v>3</v>
      </c>
      <c r="H187">
        <v>73.83</v>
      </c>
      <c r="I187">
        <f t="shared" si="2"/>
        <v>2014</v>
      </c>
    </row>
    <row r="188" spans="1:9" x14ac:dyDescent="0.25">
      <c r="A188">
        <v>10434</v>
      </c>
      <c r="B188" t="s">
        <v>22</v>
      </c>
      <c r="C188">
        <v>3</v>
      </c>
      <c r="D188" s="1">
        <v>41673</v>
      </c>
      <c r="E188" s="1">
        <v>41701</v>
      </c>
      <c r="F188" s="1">
        <v>41683</v>
      </c>
      <c r="G188">
        <v>2</v>
      </c>
      <c r="H188">
        <v>17.920000000000002</v>
      </c>
      <c r="I188">
        <f t="shared" si="2"/>
        <v>2014</v>
      </c>
    </row>
    <row r="189" spans="1:9" x14ac:dyDescent="0.25">
      <c r="A189">
        <v>10435</v>
      </c>
      <c r="B189" t="s">
        <v>80</v>
      </c>
      <c r="C189">
        <v>8</v>
      </c>
      <c r="D189" s="1">
        <v>41674</v>
      </c>
      <c r="E189" s="1">
        <v>41716</v>
      </c>
      <c r="F189" s="1">
        <v>41677</v>
      </c>
      <c r="G189">
        <v>2</v>
      </c>
      <c r="H189">
        <v>9.2100000000000009</v>
      </c>
      <c r="I189">
        <f t="shared" si="2"/>
        <v>2014</v>
      </c>
    </row>
    <row r="190" spans="1:9" x14ac:dyDescent="0.25">
      <c r="A190">
        <v>10436</v>
      </c>
      <c r="B190" t="s">
        <v>23</v>
      </c>
      <c r="C190">
        <v>3</v>
      </c>
      <c r="D190" s="1">
        <v>41675</v>
      </c>
      <c r="E190" s="1">
        <v>41703</v>
      </c>
      <c r="F190" s="1">
        <v>41681</v>
      </c>
      <c r="G190">
        <v>2</v>
      </c>
      <c r="H190">
        <v>156.66</v>
      </c>
      <c r="I190">
        <f t="shared" si="2"/>
        <v>2014</v>
      </c>
    </row>
    <row r="191" spans="1:9" x14ac:dyDescent="0.25">
      <c r="A191">
        <v>10437</v>
      </c>
      <c r="B191" t="s">
        <v>24</v>
      </c>
      <c r="C191">
        <v>8</v>
      </c>
      <c r="D191" s="1">
        <v>41675</v>
      </c>
      <c r="E191" s="1">
        <v>41703</v>
      </c>
      <c r="F191" s="1">
        <v>41682</v>
      </c>
      <c r="G191">
        <v>1</v>
      </c>
      <c r="H191">
        <v>19.97</v>
      </c>
      <c r="I191">
        <f t="shared" si="2"/>
        <v>2014</v>
      </c>
    </row>
    <row r="192" spans="1:9" x14ac:dyDescent="0.25">
      <c r="A192">
        <v>10438</v>
      </c>
      <c r="B192" t="s">
        <v>9</v>
      </c>
      <c r="C192">
        <v>3</v>
      </c>
      <c r="D192" s="1">
        <v>41676</v>
      </c>
      <c r="E192" s="1">
        <v>41704</v>
      </c>
      <c r="F192" s="1">
        <v>41684</v>
      </c>
      <c r="G192">
        <v>2</v>
      </c>
      <c r="H192">
        <v>8.24</v>
      </c>
      <c r="I192">
        <f t="shared" si="2"/>
        <v>2014</v>
      </c>
    </row>
    <row r="193" spans="1:9" x14ac:dyDescent="0.25">
      <c r="A193">
        <v>10439</v>
      </c>
      <c r="B193" t="s">
        <v>57</v>
      </c>
      <c r="C193">
        <v>6</v>
      </c>
      <c r="D193" s="1">
        <v>41677</v>
      </c>
      <c r="E193" s="1">
        <v>41705</v>
      </c>
      <c r="F193" s="1">
        <v>41680</v>
      </c>
      <c r="G193">
        <v>3</v>
      </c>
      <c r="H193">
        <v>4.07</v>
      </c>
      <c r="I193">
        <f t="shared" si="2"/>
        <v>2014</v>
      </c>
    </row>
    <row r="194" spans="1:9" x14ac:dyDescent="0.25">
      <c r="A194">
        <v>10440</v>
      </c>
      <c r="B194" t="s">
        <v>53</v>
      </c>
      <c r="C194">
        <v>4</v>
      </c>
      <c r="D194" s="1">
        <v>41680</v>
      </c>
      <c r="E194" s="1">
        <v>41708</v>
      </c>
      <c r="F194" s="1">
        <v>41698</v>
      </c>
      <c r="G194">
        <v>2</v>
      </c>
      <c r="H194">
        <v>86.53</v>
      </c>
      <c r="I194">
        <f t="shared" si="2"/>
        <v>2014</v>
      </c>
    </row>
    <row r="195" spans="1:9" x14ac:dyDescent="0.25">
      <c r="A195">
        <v>10441</v>
      </c>
      <c r="B195" t="s">
        <v>45</v>
      </c>
      <c r="C195">
        <v>3</v>
      </c>
      <c r="D195" s="1">
        <v>41680</v>
      </c>
      <c r="E195" s="1">
        <v>41722</v>
      </c>
      <c r="F195" s="1">
        <v>41712</v>
      </c>
      <c r="G195">
        <v>2</v>
      </c>
      <c r="H195">
        <v>73.02</v>
      </c>
      <c r="I195">
        <f t="shared" ref="I195:I258" si="3">YEAR(D195)</f>
        <v>2014</v>
      </c>
    </row>
    <row r="196" spans="1:9" x14ac:dyDescent="0.25">
      <c r="A196">
        <v>10442</v>
      </c>
      <c r="B196" t="s">
        <v>17</v>
      </c>
      <c r="C196">
        <v>3</v>
      </c>
      <c r="D196" s="1">
        <v>41681</v>
      </c>
      <c r="E196" s="1">
        <v>41709</v>
      </c>
      <c r="F196" s="1">
        <v>41688</v>
      </c>
      <c r="G196">
        <v>2</v>
      </c>
      <c r="H196">
        <v>47.94</v>
      </c>
      <c r="I196">
        <f t="shared" si="3"/>
        <v>2014</v>
      </c>
    </row>
    <row r="197" spans="1:9" x14ac:dyDescent="0.25">
      <c r="A197">
        <v>10443</v>
      </c>
      <c r="B197" t="s">
        <v>38</v>
      </c>
      <c r="C197">
        <v>8</v>
      </c>
      <c r="D197" s="1">
        <v>41682</v>
      </c>
      <c r="E197" s="1">
        <v>41710</v>
      </c>
      <c r="F197" s="1">
        <v>41684</v>
      </c>
      <c r="G197">
        <v>1</v>
      </c>
      <c r="H197">
        <v>13.95</v>
      </c>
      <c r="I197">
        <f t="shared" si="3"/>
        <v>2014</v>
      </c>
    </row>
    <row r="198" spans="1:9" x14ac:dyDescent="0.25">
      <c r="A198">
        <v>10444</v>
      </c>
      <c r="B198" t="s">
        <v>33</v>
      </c>
      <c r="C198">
        <v>3</v>
      </c>
      <c r="D198" s="1">
        <v>41682</v>
      </c>
      <c r="E198" s="1">
        <v>41710</v>
      </c>
      <c r="F198" s="1">
        <v>41691</v>
      </c>
      <c r="G198">
        <v>3</v>
      </c>
      <c r="H198">
        <v>3.5</v>
      </c>
      <c r="I198">
        <f t="shared" si="3"/>
        <v>2014</v>
      </c>
    </row>
    <row r="199" spans="1:9" x14ac:dyDescent="0.25">
      <c r="A199">
        <v>10445</v>
      </c>
      <c r="B199" t="s">
        <v>33</v>
      </c>
      <c r="C199">
        <v>3</v>
      </c>
      <c r="D199" s="1">
        <v>41683</v>
      </c>
      <c r="E199" s="1">
        <v>41711</v>
      </c>
      <c r="F199" s="1">
        <v>41690</v>
      </c>
      <c r="G199">
        <v>1</v>
      </c>
      <c r="H199">
        <v>9.3000000000000007</v>
      </c>
      <c r="I199">
        <f t="shared" si="3"/>
        <v>2014</v>
      </c>
    </row>
    <row r="200" spans="1:9" x14ac:dyDescent="0.25">
      <c r="A200">
        <v>10446</v>
      </c>
      <c r="B200" t="s">
        <v>9</v>
      </c>
      <c r="C200">
        <v>6</v>
      </c>
      <c r="D200" s="1">
        <v>41684</v>
      </c>
      <c r="E200" s="1">
        <v>41712</v>
      </c>
      <c r="F200" s="1">
        <v>41689</v>
      </c>
      <c r="G200">
        <v>1</v>
      </c>
      <c r="H200">
        <v>14.68</v>
      </c>
      <c r="I200">
        <f t="shared" si="3"/>
        <v>2014</v>
      </c>
    </row>
    <row r="201" spans="1:9" x14ac:dyDescent="0.25">
      <c r="A201">
        <v>10447</v>
      </c>
      <c r="B201" t="s">
        <v>37</v>
      </c>
      <c r="C201">
        <v>4</v>
      </c>
      <c r="D201" s="1">
        <v>41684</v>
      </c>
      <c r="E201" s="1">
        <v>41712</v>
      </c>
      <c r="F201" s="1">
        <v>41705</v>
      </c>
      <c r="G201">
        <v>2</v>
      </c>
      <c r="H201">
        <v>68.66</v>
      </c>
      <c r="I201">
        <f t="shared" si="3"/>
        <v>2014</v>
      </c>
    </row>
    <row r="202" spans="1:9" x14ac:dyDescent="0.25">
      <c r="A202">
        <v>10448</v>
      </c>
      <c r="B202" t="s">
        <v>81</v>
      </c>
      <c r="C202">
        <v>4</v>
      </c>
      <c r="D202" s="1">
        <v>41687</v>
      </c>
      <c r="E202" s="1">
        <v>41715</v>
      </c>
      <c r="F202" s="1">
        <v>41694</v>
      </c>
      <c r="G202">
        <v>2</v>
      </c>
      <c r="H202">
        <v>38.82</v>
      </c>
      <c r="I202">
        <f t="shared" si="3"/>
        <v>2014</v>
      </c>
    </row>
    <row r="203" spans="1:9" x14ac:dyDescent="0.25">
      <c r="A203">
        <v>10449</v>
      </c>
      <c r="B203" t="s">
        <v>23</v>
      </c>
      <c r="C203">
        <v>3</v>
      </c>
      <c r="D203" s="1">
        <v>41688</v>
      </c>
      <c r="E203" s="1">
        <v>41716</v>
      </c>
      <c r="F203" s="1">
        <v>41697</v>
      </c>
      <c r="G203">
        <v>2</v>
      </c>
      <c r="H203">
        <v>53.3</v>
      </c>
      <c r="I203">
        <f t="shared" si="3"/>
        <v>2014</v>
      </c>
    </row>
    <row r="204" spans="1:9" x14ac:dyDescent="0.25">
      <c r="A204">
        <v>10450</v>
      </c>
      <c r="B204" t="s">
        <v>11</v>
      </c>
      <c r="C204">
        <v>8</v>
      </c>
      <c r="D204" s="1">
        <v>41689</v>
      </c>
      <c r="E204" s="1">
        <v>41717</v>
      </c>
      <c r="F204" s="1">
        <v>41709</v>
      </c>
      <c r="G204">
        <v>2</v>
      </c>
      <c r="H204">
        <v>7.23</v>
      </c>
      <c r="I204">
        <f t="shared" si="3"/>
        <v>2014</v>
      </c>
    </row>
    <row r="205" spans="1:9" x14ac:dyDescent="0.25">
      <c r="A205">
        <v>10451</v>
      </c>
      <c r="B205" t="s">
        <v>29</v>
      </c>
      <c r="C205">
        <v>4</v>
      </c>
      <c r="D205" s="1">
        <v>41689</v>
      </c>
      <c r="E205" s="1">
        <v>41703</v>
      </c>
      <c r="F205" s="1">
        <v>41710</v>
      </c>
      <c r="G205">
        <v>3</v>
      </c>
      <c r="H205">
        <v>189.09</v>
      </c>
      <c r="I205">
        <f t="shared" si="3"/>
        <v>2014</v>
      </c>
    </row>
    <row r="206" spans="1:9" x14ac:dyDescent="0.25">
      <c r="A206">
        <v>10452</v>
      </c>
      <c r="B206" t="s">
        <v>53</v>
      </c>
      <c r="C206">
        <v>8</v>
      </c>
      <c r="D206" s="1">
        <v>41690</v>
      </c>
      <c r="E206" s="1">
        <v>41718</v>
      </c>
      <c r="F206" s="1">
        <v>41696</v>
      </c>
      <c r="G206">
        <v>1</v>
      </c>
      <c r="H206">
        <v>140.26</v>
      </c>
      <c r="I206">
        <f t="shared" si="3"/>
        <v>2014</v>
      </c>
    </row>
    <row r="207" spans="1:9" x14ac:dyDescent="0.25">
      <c r="A207">
        <v>10453</v>
      </c>
      <c r="B207" t="s">
        <v>63</v>
      </c>
      <c r="C207">
        <v>1</v>
      </c>
      <c r="D207" s="1">
        <v>41691</v>
      </c>
      <c r="E207" s="1">
        <v>41719</v>
      </c>
      <c r="F207" s="1">
        <v>41696</v>
      </c>
      <c r="G207">
        <v>2</v>
      </c>
      <c r="H207">
        <v>25.36</v>
      </c>
      <c r="I207">
        <f t="shared" si="3"/>
        <v>2014</v>
      </c>
    </row>
    <row r="208" spans="1:9" x14ac:dyDescent="0.25">
      <c r="A208">
        <v>10454</v>
      </c>
      <c r="B208" t="s">
        <v>61</v>
      </c>
      <c r="C208">
        <v>4</v>
      </c>
      <c r="D208" s="1">
        <v>41691</v>
      </c>
      <c r="E208" s="1">
        <v>41719</v>
      </c>
      <c r="F208" s="1">
        <v>41695</v>
      </c>
      <c r="G208">
        <v>3</v>
      </c>
      <c r="H208">
        <v>2.74</v>
      </c>
      <c r="I208">
        <f t="shared" si="3"/>
        <v>2014</v>
      </c>
    </row>
    <row r="209" spans="1:9" x14ac:dyDescent="0.25">
      <c r="A209">
        <v>10455</v>
      </c>
      <c r="B209" t="s">
        <v>24</v>
      </c>
      <c r="C209">
        <v>8</v>
      </c>
      <c r="D209" s="1">
        <v>41694</v>
      </c>
      <c r="E209" s="1">
        <v>41736</v>
      </c>
      <c r="F209" s="1">
        <v>41701</v>
      </c>
      <c r="G209">
        <v>2</v>
      </c>
      <c r="H209">
        <v>180.45</v>
      </c>
      <c r="I209">
        <f t="shared" si="3"/>
        <v>2014</v>
      </c>
    </row>
    <row r="210" spans="1:9" x14ac:dyDescent="0.25">
      <c r="A210">
        <v>10456</v>
      </c>
      <c r="B210" t="s">
        <v>52</v>
      </c>
      <c r="C210">
        <v>8</v>
      </c>
      <c r="D210" s="1">
        <v>41695</v>
      </c>
      <c r="E210" s="1">
        <v>41737</v>
      </c>
      <c r="F210" s="1">
        <v>41698</v>
      </c>
      <c r="G210">
        <v>2</v>
      </c>
      <c r="H210">
        <v>8.1199999999999992</v>
      </c>
      <c r="I210">
        <f t="shared" si="3"/>
        <v>2014</v>
      </c>
    </row>
    <row r="211" spans="1:9" x14ac:dyDescent="0.25">
      <c r="A211">
        <v>10457</v>
      </c>
      <c r="B211" t="s">
        <v>52</v>
      </c>
      <c r="C211">
        <v>2</v>
      </c>
      <c r="D211" s="1">
        <v>41695</v>
      </c>
      <c r="E211" s="1">
        <v>41723</v>
      </c>
      <c r="F211" s="1">
        <v>41701</v>
      </c>
      <c r="G211">
        <v>1</v>
      </c>
      <c r="H211">
        <v>11.57</v>
      </c>
      <c r="I211">
        <f t="shared" si="3"/>
        <v>2014</v>
      </c>
    </row>
    <row r="212" spans="1:9" x14ac:dyDescent="0.25">
      <c r="A212">
        <v>10458</v>
      </c>
      <c r="B212" t="s">
        <v>12</v>
      </c>
      <c r="C212">
        <v>7</v>
      </c>
      <c r="D212" s="1">
        <v>41696</v>
      </c>
      <c r="E212" s="1">
        <v>41724</v>
      </c>
      <c r="F212" s="1">
        <v>41702</v>
      </c>
      <c r="G212">
        <v>3</v>
      </c>
      <c r="H212">
        <v>147.06</v>
      </c>
      <c r="I212">
        <f t="shared" si="3"/>
        <v>2014</v>
      </c>
    </row>
    <row r="213" spans="1:9" x14ac:dyDescent="0.25">
      <c r="A213">
        <v>10459</v>
      </c>
      <c r="B213" t="s">
        <v>11</v>
      </c>
      <c r="C213">
        <v>4</v>
      </c>
      <c r="D213" s="1">
        <v>41697</v>
      </c>
      <c r="E213" s="1">
        <v>41725</v>
      </c>
      <c r="F213" s="1">
        <v>41698</v>
      </c>
      <c r="G213">
        <v>2</v>
      </c>
      <c r="H213">
        <v>25.09</v>
      </c>
      <c r="I213">
        <f t="shared" si="3"/>
        <v>2014</v>
      </c>
    </row>
    <row r="214" spans="1:9" x14ac:dyDescent="0.25">
      <c r="A214">
        <v>10460</v>
      </c>
      <c r="B214" t="s">
        <v>22</v>
      </c>
      <c r="C214">
        <v>8</v>
      </c>
      <c r="D214" s="1">
        <v>41698</v>
      </c>
      <c r="E214" s="1">
        <v>41726</v>
      </c>
      <c r="F214" s="1">
        <v>41701</v>
      </c>
      <c r="G214">
        <v>1</v>
      </c>
      <c r="H214">
        <v>16.27</v>
      </c>
      <c r="I214">
        <f t="shared" si="3"/>
        <v>2014</v>
      </c>
    </row>
    <row r="215" spans="1:9" x14ac:dyDescent="0.25">
      <c r="A215">
        <v>10461</v>
      </c>
      <c r="B215" t="s">
        <v>36</v>
      </c>
      <c r="C215">
        <v>1</v>
      </c>
      <c r="D215" s="1">
        <v>41698</v>
      </c>
      <c r="E215" s="1">
        <v>41726</v>
      </c>
      <c r="F215" s="1">
        <v>41703</v>
      </c>
      <c r="G215">
        <v>3</v>
      </c>
      <c r="H215">
        <v>148.61000000000001</v>
      </c>
      <c r="I215">
        <f t="shared" si="3"/>
        <v>2014</v>
      </c>
    </row>
    <row r="216" spans="1:9" x14ac:dyDescent="0.25">
      <c r="A216">
        <v>10462</v>
      </c>
      <c r="B216" t="s">
        <v>80</v>
      </c>
      <c r="C216">
        <v>2</v>
      </c>
      <c r="D216" s="1">
        <v>41701</v>
      </c>
      <c r="E216" s="1">
        <v>41729</v>
      </c>
      <c r="F216" s="1">
        <v>41716</v>
      </c>
      <c r="G216">
        <v>1</v>
      </c>
      <c r="H216">
        <v>6.17</v>
      </c>
      <c r="I216">
        <f t="shared" si="3"/>
        <v>2014</v>
      </c>
    </row>
    <row r="217" spans="1:9" x14ac:dyDescent="0.25">
      <c r="A217">
        <v>10463</v>
      </c>
      <c r="B217" t="s">
        <v>12</v>
      </c>
      <c r="C217">
        <v>5</v>
      </c>
      <c r="D217" s="1">
        <v>41702</v>
      </c>
      <c r="E217" s="1">
        <v>41730</v>
      </c>
      <c r="F217" s="1">
        <v>41704</v>
      </c>
      <c r="G217">
        <v>3</v>
      </c>
      <c r="H217">
        <v>14.78</v>
      </c>
      <c r="I217">
        <f t="shared" si="3"/>
        <v>2014</v>
      </c>
    </row>
    <row r="218" spans="1:9" x14ac:dyDescent="0.25">
      <c r="A218">
        <v>10464</v>
      </c>
      <c r="B218" t="s">
        <v>55</v>
      </c>
      <c r="C218">
        <v>4</v>
      </c>
      <c r="D218" s="1">
        <v>41702</v>
      </c>
      <c r="E218" s="1">
        <v>41730</v>
      </c>
      <c r="F218" s="1">
        <v>41712</v>
      </c>
      <c r="G218">
        <v>2</v>
      </c>
      <c r="H218">
        <v>89</v>
      </c>
      <c r="I218">
        <f t="shared" si="3"/>
        <v>2014</v>
      </c>
    </row>
    <row r="219" spans="1:9" x14ac:dyDescent="0.25">
      <c r="A219">
        <v>10465</v>
      </c>
      <c r="B219" t="s">
        <v>69</v>
      </c>
      <c r="C219">
        <v>1</v>
      </c>
      <c r="D219" s="1">
        <v>41703</v>
      </c>
      <c r="E219" s="1">
        <v>41731</v>
      </c>
      <c r="F219" s="1">
        <v>41712</v>
      </c>
      <c r="G219">
        <v>3</v>
      </c>
      <c r="H219">
        <v>145.04</v>
      </c>
      <c r="I219">
        <f t="shared" si="3"/>
        <v>2014</v>
      </c>
    </row>
    <row r="220" spans="1:9" x14ac:dyDescent="0.25">
      <c r="A220">
        <v>10466</v>
      </c>
      <c r="B220" t="s">
        <v>40</v>
      </c>
      <c r="C220">
        <v>4</v>
      </c>
      <c r="D220" s="1">
        <v>41704</v>
      </c>
      <c r="E220" s="1">
        <v>41732</v>
      </c>
      <c r="F220" s="1">
        <v>41711</v>
      </c>
      <c r="G220">
        <v>1</v>
      </c>
      <c r="H220">
        <v>11.93</v>
      </c>
      <c r="I220">
        <f t="shared" si="3"/>
        <v>2014</v>
      </c>
    </row>
    <row r="221" spans="1:9" x14ac:dyDescent="0.25">
      <c r="A221">
        <v>10467</v>
      </c>
      <c r="B221" t="s">
        <v>30</v>
      </c>
      <c r="C221">
        <v>8</v>
      </c>
      <c r="D221" s="1">
        <v>41704</v>
      </c>
      <c r="E221" s="1">
        <v>41732</v>
      </c>
      <c r="F221" s="1">
        <v>41709</v>
      </c>
      <c r="G221">
        <v>2</v>
      </c>
      <c r="H221">
        <v>4.93</v>
      </c>
      <c r="I221">
        <f t="shared" si="3"/>
        <v>2014</v>
      </c>
    </row>
    <row r="222" spans="1:9" x14ac:dyDescent="0.25">
      <c r="A222">
        <v>10468</v>
      </c>
      <c r="B222" t="s">
        <v>52</v>
      </c>
      <c r="C222">
        <v>3</v>
      </c>
      <c r="D222" s="1">
        <v>41705</v>
      </c>
      <c r="E222" s="1">
        <v>41733</v>
      </c>
      <c r="F222" s="1">
        <v>41710</v>
      </c>
      <c r="G222">
        <v>3</v>
      </c>
      <c r="H222">
        <v>44.12</v>
      </c>
      <c r="I222">
        <f t="shared" si="3"/>
        <v>2014</v>
      </c>
    </row>
    <row r="223" spans="1:9" x14ac:dyDescent="0.25">
      <c r="A223">
        <v>10469</v>
      </c>
      <c r="B223" t="s">
        <v>27</v>
      </c>
      <c r="C223">
        <v>1</v>
      </c>
      <c r="D223" s="1">
        <v>41708</v>
      </c>
      <c r="E223" s="1">
        <v>41736</v>
      </c>
      <c r="F223" s="1">
        <v>41712</v>
      </c>
      <c r="G223">
        <v>1</v>
      </c>
      <c r="H223">
        <v>60.18</v>
      </c>
      <c r="I223">
        <f t="shared" si="3"/>
        <v>2014</v>
      </c>
    </row>
    <row r="224" spans="1:9" x14ac:dyDescent="0.25">
      <c r="A224">
        <v>10470</v>
      </c>
      <c r="B224" t="s">
        <v>56</v>
      </c>
      <c r="C224">
        <v>4</v>
      </c>
      <c r="D224" s="1">
        <v>41709</v>
      </c>
      <c r="E224" s="1">
        <v>41737</v>
      </c>
      <c r="F224" s="1">
        <v>41712</v>
      </c>
      <c r="G224">
        <v>2</v>
      </c>
      <c r="H224">
        <v>64.56</v>
      </c>
      <c r="I224">
        <f t="shared" si="3"/>
        <v>2014</v>
      </c>
    </row>
    <row r="225" spans="1:9" x14ac:dyDescent="0.25">
      <c r="A225">
        <v>10471</v>
      </c>
      <c r="B225" t="s">
        <v>39</v>
      </c>
      <c r="C225">
        <v>2</v>
      </c>
      <c r="D225" s="1">
        <v>41709</v>
      </c>
      <c r="E225" s="1">
        <v>41737</v>
      </c>
      <c r="F225" s="1">
        <v>41716</v>
      </c>
      <c r="G225">
        <v>3</v>
      </c>
      <c r="H225">
        <v>45.59</v>
      </c>
      <c r="I225">
        <f t="shared" si="3"/>
        <v>2014</v>
      </c>
    </row>
    <row r="226" spans="1:9" x14ac:dyDescent="0.25">
      <c r="A226">
        <v>10472</v>
      </c>
      <c r="B226" t="s">
        <v>64</v>
      </c>
      <c r="C226">
        <v>8</v>
      </c>
      <c r="D226" s="1">
        <v>41710</v>
      </c>
      <c r="E226" s="1">
        <v>41738</v>
      </c>
      <c r="F226" s="1">
        <v>41717</v>
      </c>
      <c r="G226">
        <v>1</v>
      </c>
      <c r="H226">
        <v>4.2</v>
      </c>
      <c r="I226">
        <f t="shared" si="3"/>
        <v>2014</v>
      </c>
    </row>
    <row r="227" spans="1:9" x14ac:dyDescent="0.25">
      <c r="A227">
        <v>10473</v>
      </c>
      <c r="B227" t="s">
        <v>50</v>
      </c>
      <c r="C227">
        <v>1</v>
      </c>
      <c r="D227" s="1">
        <v>41711</v>
      </c>
      <c r="E227" s="1">
        <v>41725</v>
      </c>
      <c r="F227" s="1">
        <v>41719</v>
      </c>
      <c r="G227">
        <v>3</v>
      </c>
      <c r="H227">
        <v>16.37</v>
      </c>
      <c r="I227">
        <f t="shared" si="3"/>
        <v>2014</v>
      </c>
    </row>
    <row r="228" spans="1:9" x14ac:dyDescent="0.25">
      <c r="A228">
        <v>10474</v>
      </c>
      <c r="B228" t="s">
        <v>51</v>
      </c>
      <c r="C228">
        <v>5</v>
      </c>
      <c r="D228" s="1">
        <v>41711</v>
      </c>
      <c r="E228" s="1">
        <v>41739</v>
      </c>
      <c r="F228" s="1">
        <v>41719</v>
      </c>
      <c r="G228">
        <v>2</v>
      </c>
      <c r="H228">
        <v>83.49</v>
      </c>
      <c r="I228">
        <f t="shared" si="3"/>
        <v>2014</v>
      </c>
    </row>
    <row r="229" spans="1:9" x14ac:dyDescent="0.25">
      <c r="A229">
        <v>10475</v>
      </c>
      <c r="B229" t="s">
        <v>12</v>
      </c>
      <c r="C229">
        <v>9</v>
      </c>
      <c r="D229" s="1">
        <v>41712</v>
      </c>
      <c r="E229" s="1">
        <v>41740</v>
      </c>
      <c r="F229" s="1">
        <v>41733</v>
      </c>
      <c r="G229">
        <v>1</v>
      </c>
      <c r="H229">
        <v>68.52</v>
      </c>
      <c r="I229">
        <f t="shared" si="3"/>
        <v>2014</v>
      </c>
    </row>
    <row r="230" spans="1:9" x14ac:dyDescent="0.25">
      <c r="A230">
        <v>10476</v>
      </c>
      <c r="B230" t="s">
        <v>16</v>
      </c>
      <c r="C230">
        <v>8</v>
      </c>
      <c r="D230" s="1">
        <v>41715</v>
      </c>
      <c r="E230" s="1">
        <v>41743</v>
      </c>
      <c r="F230" s="1">
        <v>41722</v>
      </c>
      <c r="G230">
        <v>3</v>
      </c>
      <c r="H230">
        <v>4.41</v>
      </c>
      <c r="I230">
        <f t="shared" si="3"/>
        <v>2014</v>
      </c>
    </row>
    <row r="231" spans="1:9" x14ac:dyDescent="0.25">
      <c r="A231">
        <v>10477</v>
      </c>
      <c r="B231" t="s">
        <v>58</v>
      </c>
      <c r="C231">
        <v>5</v>
      </c>
      <c r="D231" s="1">
        <v>41715</v>
      </c>
      <c r="E231" s="1">
        <v>41743</v>
      </c>
      <c r="F231" s="1">
        <v>41723</v>
      </c>
      <c r="G231">
        <v>2</v>
      </c>
      <c r="H231">
        <v>13.02</v>
      </c>
      <c r="I231">
        <f t="shared" si="3"/>
        <v>2014</v>
      </c>
    </row>
    <row r="232" spans="1:9" x14ac:dyDescent="0.25">
      <c r="A232">
        <v>10478</v>
      </c>
      <c r="B232" t="s">
        <v>11</v>
      </c>
      <c r="C232">
        <v>2</v>
      </c>
      <c r="D232" s="1">
        <v>41716</v>
      </c>
      <c r="E232" s="1">
        <v>41730</v>
      </c>
      <c r="F232" s="1">
        <v>41724</v>
      </c>
      <c r="G232">
        <v>3</v>
      </c>
      <c r="H232">
        <v>4.8099999999999996</v>
      </c>
      <c r="I232">
        <f t="shared" si="3"/>
        <v>2014</v>
      </c>
    </row>
    <row r="233" spans="1:9" x14ac:dyDescent="0.25">
      <c r="A233">
        <v>10479</v>
      </c>
      <c r="B233" t="s">
        <v>21</v>
      </c>
      <c r="C233">
        <v>3</v>
      </c>
      <c r="D233" s="1">
        <v>41717</v>
      </c>
      <c r="E233" s="1">
        <v>41745</v>
      </c>
      <c r="F233" s="1">
        <v>41719</v>
      </c>
      <c r="G233">
        <v>3</v>
      </c>
      <c r="H233">
        <v>708.95</v>
      </c>
      <c r="I233">
        <f t="shared" si="3"/>
        <v>2014</v>
      </c>
    </row>
    <row r="234" spans="1:9" x14ac:dyDescent="0.25">
      <c r="A234">
        <v>10480</v>
      </c>
      <c r="B234" t="s">
        <v>76</v>
      </c>
      <c r="C234">
        <v>6</v>
      </c>
      <c r="D234" s="1">
        <v>41718</v>
      </c>
      <c r="E234" s="1">
        <v>41746</v>
      </c>
      <c r="F234" s="1">
        <v>41722</v>
      </c>
      <c r="G234">
        <v>2</v>
      </c>
      <c r="H234">
        <v>1.35</v>
      </c>
      <c r="I234">
        <f t="shared" si="3"/>
        <v>2014</v>
      </c>
    </row>
    <row r="235" spans="1:9" x14ac:dyDescent="0.25">
      <c r="A235">
        <v>10481</v>
      </c>
      <c r="B235" t="s">
        <v>37</v>
      </c>
      <c r="C235">
        <v>8</v>
      </c>
      <c r="D235" s="1">
        <v>41718</v>
      </c>
      <c r="E235" s="1">
        <v>41746</v>
      </c>
      <c r="F235" s="1">
        <v>41723</v>
      </c>
      <c r="G235">
        <v>2</v>
      </c>
      <c r="H235">
        <v>64.33</v>
      </c>
      <c r="I235">
        <f t="shared" si="3"/>
        <v>2014</v>
      </c>
    </row>
    <row r="236" spans="1:9" x14ac:dyDescent="0.25">
      <c r="A236">
        <v>10482</v>
      </c>
      <c r="B236" t="s">
        <v>82</v>
      </c>
      <c r="C236">
        <v>1</v>
      </c>
      <c r="D236" s="1">
        <v>41719</v>
      </c>
      <c r="E236" s="1">
        <v>41747</v>
      </c>
      <c r="F236" s="1">
        <v>41739</v>
      </c>
      <c r="G236">
        <v>3</v>
      </c>
      <c r="H236">
        <v>7.48</v>
      </c>
      <c r="I236">
        <f t="shared" si="3"/>
        <v>2014</v>
      </c>
    </row>
    <row r="237" spans="1:9" x14ac:dyDescent="0.25">
      <c r="A237">
        <v>10483</v>
      </c>
      <c r="B237" t="s">
        <v>27</v>
      </c>
      <c r="C237">
        <v>7</v>
      </c>
      <c r="D237" s="1">
        <v>41722</v>
      </c>
      <c r="E237" s="1">
        <v>41750</v>
      </c>
      <c r="F237" s="1">
        <v>41754</v>
      </c>
      <c r="G237">
        <v>2</v>
      </c>
      <c r="H237">
        <v>15.28</v>
      </c>
      <c r="I237">
        <f t="shared" si="3"/>
        <v>2014</v>
      </c>
    </row>
    <row r="238" spans="1:9" x14ac:dyDescent="0.25">
      <c r="A238">
        <v>10484</v>
      </c>
      <c r="B238" t="s">
        <v>39</v>
      </c>
      <c r="C238">
        <v>3</v>
      </c>
      <c r="D238" s="1">
        <v>41722</v>
      </c>
      <c r="E238" s="1">
        <v>41750</v>
      </c>
      <c r="F238" s="1">
        <v>41730</v>
      </c>
      <c r="G238">
        <v>3</v>
      </c>
      <c r="H238">
        <v>6.88</v>
      </c>
      <c r="I238">
        <f t="shared" si="3"/>
        <v>2014</v>
      </c>
    </row>
    <row r="239" spans="1:9" x14ac:dyDescent="0.25">
      <c r="A239">
        <v>10485</v>
      </c>
      <c r="B239" t="s">
        <v>75</v>
      </c>
      <c r="C239">
        <v>4</v>
      </c>
      <c r="D239" s="1">
        <v>41723</v>
      </c>
      <c r="E239" s="1">
        <v>41737</v>
      </c>
      <c r="F239" s="1">
        <v>41729</v>
      </c>
      <c r="G239">
        <v>2</v>
      </c>
      <c r="H239">
        <v>64.45</v>
      </c>
      <c r="I239">
        <f t="shared" si="3"/>
        <v>2014</v>
      </c>
    </row>
    <row r="240" spans="1:9" x14ac:dyDescent="0.25">
      <c r="A240">
        <v>10486</v>
      </c>
      <c r="B240" t="s">
        <v>16</v>
      </c>
      <c r="C240">
        <v>1</v>
      </c>
      <c r="D240" s="1">
        <v>41724</v>
      </c>
      <c r="E240" s="1">
        <v>41752</v>
      </c>
      <c r="F240" s="1">
        <v>41731</v>
      </c>
      <c r="G240">
        <v>2</v>
      </c>
      <c r="H240">
        <v>30.53</v>
      </c>
      <c r="I240">
        <f t="shared" si="3"/>
        <v>2014</v>
      </c>
    </row>
    <row r="241" spans="1:9" x14ac:dyDescent="0.25">
      <c r="A241">
        <v>10487</v>
      </c>
      <c r="B241" t="s">
        <v>70</v>
      </c>
      <c r="C241">
        <v>2</v>
      </c>
      <c r="D241" s="1">
        <v>41724</v>
      </c>
      <c r="E241" s="1">
        <v>41752</v>
      </c>
      <c r="F241" s="1">
        <v>41726</v>
      </c>
      <c r="G241">
        <v>2</v>
      </c>
      <c r="H241">
        <v>71.069999999999993</v>
      </c>
      <c r="I241">
        <f t="shared" si="3"/>
        <v>2014</v>
      </c>
    </row>
    <row r="242" spans="1:9" x14ac:dyDescent="0.25">
      <c r="A242">
        <v>10488</v>
      </c>
      <c r="B242" t="s">
        <v>25</v>
      </c>
      <c r="C242">
        <v>8</v>
      </c>
      <c r="D242" s="1">
        <v>41725</v>
      </c>
      <c r="E242" s="1">
        <v>41753</v>
      </c>
      <c r="F242" s="1">
        <v>41731</v>
      </c>
      <c r="G242">
        <v>2</v>
      </c>
      <c r="H242">
        <v>4.93</v>
      </c>
      <c r="I242">
        <f t="shared" si="3"/>
        <v>2014</v>
      </c>
    </row>
    <row r="243" spans="1:9" x14ac:dyDescent="0.25">
      <c r="A243">
        <v>10489</v>
      </c>
      <c r="B243" t="s">
        <v>62</v>
      </c>
      <c r="C243">
        <v>6</v>
      </c>
      <c r="D243" s="1">
        <v>41726</v>
      </c>
      <c r="E243" s="1">
        <v>41754</v>
      </c>
      <c r="F243" s="1">
        <v>41738</v>
      </c>
      <c r="G243">
        <v>2</v>
      </c>
      <c r="H243">
        <v>5.29</v>
      </c>
      <c r="I243">
        <f t="shared" si="3"/>
        <v>2014</v>
      </c>
    </row>
    <row r="244" spans="1:9" x14ac:dyDescent="0.25">
      <c r="A244">
        <v>10490</v>
      </c>
      <c r="B244" t="s">
        <v>16</v>
      </c>
      <c r="C244">
        <v>7</v>
      </c>
      <c r="D244" s="1">
        <v>41729</v>
      </c>
      <c r="E244" s="1">
        <v>41757</v>
      </c>
      <c r="F244" s="1">
        <v>41732</v>
      </c>
      <c r="G244">
        <v>2</v>
      </c>
      <c r="H244">
        <v>210.19</v>
      </c>
      <c r="I244">
        <f t="shared" si="3"/>
        <v>2014</v>
      </c>
    </row>
    <row r="245" spans="1:9" x14ac:dyDescent="0.25">
      <c r="A245">
        <v>10491</v>
      </c>
      <c r="B245" t="s">
        <v>55</v>
      </c>
      <c r="C245">
        <v>8</v>
      </c>
      <c r="D245" s="1">
        <v>41729</v>
      </c>
      <c r="E245" s="1">
        <v>41757</v>
      </c>
      <c r="F245" s="1">
        <v>41737</v>
      </c>
      <c r="G245">
        <v>3</v>
      </c>
      <c r="H245">
        <v>16.96</v>
      </c>
      <c r="I245">
        <f t="shared" si="3"/>
        <v>2014</v>
      </c>
    </row>
    <row r="246" spans="1:9" x14ac:dyDescent="0.25">
      <c r="A246">
        <v>10492</v>
      </c>
      <c r="B246" t="s">
        <v>74</v>
      </c>
      <c r="C246">
        <v>3</v>
      </c>
      <c r="D246" s="1">
        <v>41730</v>
      </c>
      <c r="E246" s="1">
        <v>41758</v>
      </c>
      <c r="F246" s="1">
        <v>41740</v>
      </c>
      <c r="G246">
        <v>1</v>
      </c>
      <c r="H246">
        <v>62.89</v>
      </c>
      <c r="I246">
        <f t="shared" si="3"/>
        <v>2014</v>
      </c>
    </row>
    <row r="247" spans="1:9" x14ac:dyDescent="0.25">
      <c r="A247">
        <v>10493</v>
      </c>
      <c r="B247" t="s">
        <v>61</v>
      </c>
      <c r="C247">
        <v>4</v>
      </c>
      <c r="D247" s="1">
        <v>41731</v>
      </c>
      <c r="E247" s="1">
        <v>41759</v>
      </c>
      <c r="F247" s="1">
        <v>41739</v>
      </c>
      <c r="G247">
        <v>3</v>
      </c>
      <c r="H247">
        <v>10.64</v>
      </c>
      <c r="I247">
        <f t="shared" si="3"/>
        <v>2014</v>
      </c>
    </row>
    <row r="248" spans="1:9" x14ac:dyDescent="0.25">
      <c r="A248">
        <v>10494</v>
      </c>
      <c r="B248" t="s">
        <v>40</v>
      </c>
      <c r="C248">
        <v>4</v>
      </c>
      <c r="D248" s="1">
        <v>41731</v>
      </c>
      <c r="E248" s="1">
        <v>41759</v>
      </c>
      <c r="F248" s="1">
        <v>41738</v>
      </c>
      <c r="G248">
        <v>2</v>
      </c>
      <c r="H248">
        <v>65.989999999999995</v>
      </c>
      <c r="I248">
        <f t="shared" si="3"/>
        <v>2014</v>
      </c>
    </row>
    <row r="249" spans="1:9" x14ac:dyDescent="0.25">
      <c r="A249">
        <v>10495</v>
      </c>
      <c r="B249" t="s">
        <v>83</v>
      </c>
      <c r="C249">
        <v>3</v>
      </c>
      <c r="D249" s="1">
        <v>41732</v>
      </c>
      <c r="E249" s="1">
        <v>41760</v>
      </c>
      <c r="F249" s="1">
        <v>41740</v>
      </c>
      <c r="G249">
        <v>3</v>
      </c>
      <c r="H249">
        <v>4.6500000000000004</v>
      </c>
      <c r="I249">
        <f t="shared" si="3"/>
        <v>2014</v>
      </c>
    </row>
    <row r="250" spans="1:9" x14ac:dyDescent="0.25">
      <c r="A250">
        <v>10496</v>
      </c>
      <c r="B250" t="s">
        <v>41</v>
      </c>
      <c r="C250">
        <v>7</v>
      </c>
      <c r="D250" s="1">
        <v>41733</v>
      </c>
      <c r="E250" s="1">
        <v>41761</v>
      </c>
      <c r="F250" s="1">
        <v>41736</v>
      </c>
      <c r="G250">
        <v>2</v>
      </c>
      <c r="H250">
        <v>46.77</v>
      </c>
      <c r="I250">
        <f t="shared" si="3"/>
        <v>2014</v>
      </c>
    </row>
    <row r="251" spans="1:9" x14ac:dyDescent="0.25">
      <c r="A251">
        <v>10497</v>
      </c>
      <c r="B251" t="s">
        <v>34</v>
      </c>
      <c r="C251">
        <v>7</v>
      </c>
      <c r="D251" s="1">
        <v>41733</v>
      </c>
      <c r="E251" s="1">
        <v>41761</v>
      </c>
      <c r="F251" s="1">
        <v>41736</v>
      </c>
      <c r="G251">
        <v>1</v>
      </c>
      <c r="H251">
        <v>36.21</v>
      </c>
      <c r="I251">
        <f t="shared" si="3"/>
        <v>2014</v>
      </c>
    </row>
    <row r="252" spans="1:9" x14ac:dyDescent="0.25">
      <c r="A252">
        <v>10498</v>
      </c>
      <c r="B252" t="s">
        <v>16</v>
      </c>
      <c r="C252">
        <v>8</v>
      </c>
      <c r="D252" s="1">
        <v>41736</v>
      </c>
      <c r="E252" s="1">
        <v>41764</v>
      </c>
      <c r="F252" s="1">
        <v>41740</v>
      </c>
      <c r="G252">
        <v>2</v>
      </c>
      <c r="H252">
        <v>29.75</v>
      </c>
      <c r="I252">
        <f t="shared" si="3"/>
        <v>2014</v>
      </c>
    </row>
    <row r="253" spans="1:9" x14ac:dyDescent="0.25">
      <c r="A253">
        <v>10499</v>
      </c>
      <c r="B253" t="s">
        <v>36</v>
      </c>
      <c r="C253">
        <v>4</v>
      </c>
      <c r="D253" s="1">
        <v>41737</v>
      </c>
      <c r="E253" s="1">
        <v>41765</v>
      </c>
      <c r="F253" s="1">
        <v>41745</v>
      </c>
      <c r="G253">
        <v>2</v>
      </c>
      <c r="H253">
        <v>102.02</v>
      </c>
      <c r="I253">
        <f t="shared" si="3"/>
        <v>2014</v>
      </c>
    </row>
    <row r="254" spans="1:9" x14ac:dyDescent="0.25">
      <c r="A254">
        <v>10500</v>
      </c>
      <c r="B254" t="s">
        <v>61</v>
      </c>
      <c r="C254">
        <v>6</v>
      </c>
      <c r="D254" s="1">
        <v>41738</v>
      </c>
      <c r="E254" s="1">
        <v>41766</v>
      </c>
      <c r="F254" s="1">
        <v>41746</v>
      </c>
      <c r="G254">
        <v>1</v>
      </c>
      <c r="H254">
        <v>42.68</v>
      </c>
      <c r="I254">
        <f t="shared" si="3"/>
        <v>2014</v>
      </c>
    </row>
    <row r="255" spans="1:9" x14ac:dyDescent="0.25">
      <c r="A255">
        <v>10501</v>
      </c>
      <c r="B255" t="s">
        <v>84</v>
      </c>
      <c r="C255">
        <v>9</v>
      </c>
      <c r="D255" s="1">
        <v>41738</v>
      </c>
      <c r="E255" s="1">
        <v>41766</v>
      </c>
      <c r="F255" s="1">
        <v>41745</v>
      </c>
      <c r="G255">
        <v>3</v>
      </c>
      <c r="H255">
        <v>8.85</v>
      </c>
      <c r="I255">
        <f t="shared" si="3"/>
        <v>2014</v>
      </c>
    </row>
    <row r="256" spans="1:9" x14ac:dyDescent="0.25">
      <c r="A256">
        <v>10502</v>
      </c>
      <c r="B256" t="s">
        <v>51</v>
      </c>
      <c r="C256">
        <v>2</v>
      </c>
      <c r="D256" s="1">
        <v>41739</v>
      </c>
      <c r="E256" s="1">
        <v>41767</v>
      </c>
      <c r="F256" s="1">
        <v>41758</v>
      </c>
      <c r="G256">
        <v>1</v>
      </c>
      <c r="H256">
        <v>69.319999999999993</v>
      </c>
      <c r="I256">
        <f t="shared" si="3"/>
        <v>2014</v>
      </c>
    </row>
    <row r="257" spans="1:9" x14ac:dyDescent="0.25">
      <c r="A257">
        <v>10503</v>
      </c>
      <c r="B257" t="s">
        <v>42</v>
      </c>
      <c r="C257">
        <v>6</v>
      </c>
      <c r="D257" s="1">
        <v>41740</v>
      </c>
      <c r="E257" s="1">
        <v>41768</v>
      </c>
      <c r="F257" s="1">
        <v>41745</v>
      </c>
      <c r="G257">
        <v>2</v>
      </c>
      <c r="H257">
        <v>16.739999999999998</v>
      </c>
      <c r="I257">
        <f t="shared" si="3"/>
        <v>2014</v>
      </c>
    </row>
    <row r="258" spans="1:9" x14ac:dyDescent="0.25">
      <c r="A258">
        <v>10504</v>
      </c>
      <c r="B258" t="s">
        <v>27</v>
      </c>
      <c r="C258">
        <v>4</v>
      </c>
      <c r="D258" s="1">
        <v>41740</v>
      </c>
      <c r="E258" s="1">
        <v>41768</v>
      </c>
      <c r="F258" s="1">
        <v>41747</v>
      </c>
      <c r="G258">
        <v>3</v>
      </c>
      <c r="H258">
        <v>59.13</v>
      </c>
      <c r="I258">
        <f t="shared" si="3"/>
        <v>2014</v>
      </c>
    </row>
    <row r="259" spans="1:9" x14ac:dyDescent="0.25">
      <c r="A259">
        <v>10505</v>
      </c>
      <c r="B259" t="s">
        <v>57</v>
      </c>
      <c r="C259">
        <v>3</v>
      </c>
      <c r="D259" s="1">
        <v>41743</v>
      </c>
      <c r="E259" s="1">
        <v>41771</v>
      </c>
      <c r="F259" s="1">
        <v>41750</v>
      </c>
      <c r="G259">
        <v>3</v>
      </c>
      <c r="H259">
        <v>7.13</v>
      </c>
      <c r="I259">
        <f t="shared" ref="I259:I322" si="4">YEAR(D259)</f>
        <v>2014</v>
      </c>
    </row>
    <row r="260" spans="1:9" x14ac:dyDescent="0.25">
      <c r="A260">
        <v>10506</v>
      </c>
      <c r="B260" t="s">
        <v>52</v>
      </c>
      <c r="C260">
        <v>9</v>
      </c>
      <c r="D260" s="1">
        <v>41744</v>
      </c>
      <c r="E260" s="1">
        <v>41772</v>
      </c>
      <c r="F260" s="1">
        <v>41761</v>
      </c>
      <c r="G260">
        <v>2</v>
      </c>
      <c r="H260">
        <v>21.19</v>
      </c>
      <c r="I260">
        <f t="shared" si="4"/>
        <v>2014</v>
      </c>
    </row>
    <row r="261" spans="1:9" x14ac:dyDescent="0.25">
      <c r="A261">
        <v>10507</v>
      </c>
      <c r="B261" t="s">
        <v>67</v>
      </c>
      <c r="C261">
        <v>7</v>
      </c>
      <c r="D261" s="1">
        <v>41744</v>
      </c>
      <c r="E261" s="1">
        <v>41772</v>
      </c>
      <c r="F261" s="1">
        <v>41751</v>
      </c>
      <c r="G261">
        <v>1</v>
      </c>
      <c r="H261">
        <v>47.45</v>
      </c>
      <c r="I261">
        <f t="shared" si="4"/>
        <v>2014</v>
      </c>
    </row>
    <row r="262" spans="1:9" x14ac:dyDescent="0.25">
      <c r="A262">
        <v>10508</v>
      </c>
      <c r="B262" t="s">
        <v>19</v>
      </c>
      <c r="C262">
        <v>1</v>
      </c>
      <c r="D262" s="1">
        <v>41745</v>
      </c>
      <c r="E262" s="1">
        <v>41773</v>
      </c>
      <c r="F262" s="1">
        <v>41772</v>
      </c>
      <c r="G262">
        <v>2</v>
      </c>
      <c r="H262">
        <v>4.99</v>
      </c>
      <c r="I262">
        <f t="shared" si="4"/>
        <v>2014</v>
      </c>
    </row>
    <row r="263" spans="1:9" x14ac:dyDescent="0.25">
      <c r="A263">
        <v>10509</v>
      </c>
      <c r="B263" t="s">
        <v>84</v>
      </c>
      <c r="C263">
        <v>4</v>
      </c>
      <c r="D263" s="1">
        <v>41746</v>
      </c>
      <c r="E263" s="1">
        <v>41774</v>
      </c>
      <c r="F263" s="1">
        <v>41758</v>
      </c>
      <c r="G263">
        <v>1</v>
      </c>
      <c r="H263">
        <v>0.15</v>
      </c>
      <c r="I263">
        <f t="shared" si="4"/>
        <v>2014</v>
      </c>
    </row>
    <row r="264" spans="1:9" x14ac:dyDescent="0.25">
      <c r="A264">
        <v>10510</v>
      </c>
      <c r="B264" t="s">
        <v>53</v>
      </c>
      <c r="C264">
        <v>6</v>
      </c>
      <c r="D264" s="1">
        <v>41747</v>
      </c>
      <c r="E264" s="1">
        <v>41775</v>
      </c>
      <c r="F264" s="1">
        <v>41757</v>
      </c>
      <c r="G264">
        <v>3</v>
      </c>
      <c r="H264">
        <v>367.63</v>
      </c>
      <c r="I264">
        <f t="shared" si="4"/>
        <v>2014</v>
      </c>
    </row>
    <row r="265" spans="1:9" x14ac:dyDescent="0.25">
      <c r="A265">
        <v>10511</v>
      </c>
      <c r="B265" t="s">
        <v>56</v>
      </c>
      <c r="C265">
        <v>4</v>
      </c>
      <c r="D265" s="1">
        <v>41747</v>
      </c>
      <c r="E265" s="1">
        <v>41775</v>
      </c>
      <c r="F265" s="1">
        <v>41750</v>
      </c>
      <c r="G265">
        <v>3</v>
      </c>
      <c r="H265">
        <v>350.64</v>
      </c>
      <c r="I265">
        <f t="shared" si="4"/>
        <v>2014</v>
      </c>
    </row>
    <row r="266" spans="1:9" x14ac:dyDescent="0.25">
      <c r="A266">
        <v>10512</v>
      </c>
      <c r="B266" t="s">
        <v>60</v>
      </c>
      <c r="C266">
        <v>7</v>
      </c>
      <c r="D266" s="1">
        <v>41750</v>
      </c>
      <c r="E266" s="1">
        <v>41778</v>
      </c>
      <c r="F266" s="1">
        <v>41753</v>
      </c>
      <c r="G266">
        <v>2</v>
      </c>
      <c r="H266">
        <v>3.53</v>
      </c>
      <c r="I266">
        <f t="shared" si="4"/>
        <v>2014</v>
      </c>
    </row>
    <row r="267" spans="1:9" x14ac:dyDescent="0.25">
      <c r="A267">
        <v>10513</v>
      </c>
      <c r="B267" t="s">
        <v>43</v>
      </c>
      <c r="C267">
        <v>7</v>
      </c>
      <c r="D267" s="1">
        <v>41751</v>
      </c>
      <c r="E267" s="1">
        <v>41793</v>
      </c>
      <c r="F267" s="1">
        <v>41757</v>
      </c>
      <c r="G267">
        <v>1</v>
      </c>
      <c r="H267">
        <v>105.65</v>
      </c>
      <c r="I267">
        <f t="shared" si="4"/>
        <v>2014</v>
      </c>
    </row>
    <row r="268" spans="1:9" x14ac:dyDescent="0.25">
      <c r="A268">
        <v>10514</v>
      </c>
      <c r="B268" t="s">
        <v>17</v>
      </c>
      <c r="C268">
        <v>3</v>
      </c>
      <c r="D268" s="1">
        <v>41751</v>
      </c>
      <c r="E268" s="1">
        <v>41779</v>
      </c>
      <c r="F268" s="1">
        <v>41775</v>
      </c>
      <c r="G268">
        <v>2</v>
      </c>
      <c r="H268">
        <v>789.95</v>
      </c>
      <c r="I268">
        <f t="shared" si="4"/>
        <v>2014</v>
      </c>
    </row>
    <row r="269" spans="1:9" x14ac:dyDescent="0.25">
      <c r="A269">
        <v>10515</v>
      </c>
      <c r="B269" t="s">
        <v>29</v>
      </c>
      <c r="C269">
        <v>2</v>
      </c>
      <c r="D269" s="1">
        <v>41752</v>
      </c>
      <c r="E269" s="1">
        <v>41766</v>
      </c>
      <c r="F269" s="1">
        <v>41782</v>
      </c>
      <c r="G269">
        <v>1</v>
      </c>
      <c r="H269">
        <v>204.47</v>
      </c>
      <c r="I269">
        <f t="shared" si="4"/>
        <v>2014</v>
      </c>
    </row>
    <row r="270" spans="1:9" x14ac:dyDescent="0.25">
      <c r="A270">
        <v>10516</v>
      </c>
      <c r="B270" t="s">
        <v>42</v>
      </c>
      <c r="C270">
        <v>2</v>
      </c>
      <c r="D270" s="1">
        <v>41753</v>
      </c>
      <c r="E270" s="1">
        <v>41781</v>
      </c>
      <c r="F270" s="1">
        <v>41760</v>
      </c>
      <c r="G270">
        <v>3</v>
      </c>
      <c r="H270">
        <v>62.78</v>
      </c>
      <c r="I270">
        <f t="shared" si="4"/>
        <v>2014</v>
      </c>
    </row>
    <row r="271" spans="1:9" x14ac:dyDescent="0.25">
      <c r="A271">
        <v>10517</v>
      </c>
      <c r="B271" t="s">
        <v>85</v>
      </c>
      <c r="C271">
        <v>3</v>
      </c>
      <c r="D271" s="1">
        <v>41753</v>
      </c>
      <c r="E271" s="1">
        <v>41781</v>
      </c>
      <c r="F271" s="1">
        <v>41758</v>
      </c>
      <c r="G271">
        <v>3</v>
      </c>
      <c r="H271">
        <v>32.07</v>
      </c>
      <c r="I271">
        <f t="shared" si="4"/>
        <v>2014</v>
      </c>
    </row>
    <row r="272" spans="1:9" x14ac:dyDescent="0.25">
      <c r="A272">
        <v>10518</v>
      </c>
      <c r="B272" t="s">
        <v>31</v>
      </c>
      <c r="C272">
        <v>4</v>
      </c>
      <c r="D272" s="1">
        <v>41754</v>
      </c>
      <c r="E272" s="1">
        <v>41768</v>
      </c>
      <c r="F272" s="1">
        <v>41764</v>
      </c>
      <c r="G272">
        <v>2</v>
      </c>
      <c r="H272">
        <v>218.15</v>
      </c>
      <c r="I272">
        <f t="shared" si="4"/>
        <v>2014</v>
      </c>
    </row>
    <row r="273" spans="1:9" x14ac:dyDescent="0.25">
      <c r="A273">
        <v>10519</v>
      </c>
      <c r="B273" t="s">
        <v>13</v>
      </c>
      <c r="C273">
        <v>6</v>
      </c>
      <c r="D273" s="1">
        <v>41757</v>
      </c>
      <c r="E273" s="1">
        <v>41785</v>
      </c>
      <c r="F273" s="1">
        <v>41760</v>
      </c>
      <c r="G273">
        <v>3</v>
      </c>
      <c r="H273">
        <v>91.76</v>
      </c>
      <c r="I273">
        <f t="shared" si="4"/>
        <v>2014</v>
      </c>
    </row>
    <row r="274" spans="1:9" x14ac:dyDescent="0.25">
      <c r="A274">
        <v>10520</v>
      </c>
      <c r="B274" t="s">
        <v>73</v>
      </c>
      <c r="C274">
        <v>7</v>
      </c>
      <c r="D274" s="1">
        <v>41758</v>
      </c>
      <c r="E274" s="1">
        <v>41786</v>
      </c>
      <c r="F274" s="1">
        <v>41760</v>
      </c>
      <c r="G274">
        <v>1</v>
      </c>
      <c r="H274">
        <v>13.37</v>
      </c>
      <c r="I274">
        <f t="shared" si="4"/>
        <v>2014</v>
      </c>
    </row>
    <row r="275" spans="1:9" x14ac:dyDescent="0.25">
      <c r="A275">
        <v>10521</v>
      </c>
      <c r="B275" t="s">
        <v>86</v>
      </c>
      <c r="C275">
        <v>8</v>
      </c>
      <c r="D275" s="1">
        <v>41758</v>
      </c>
      <c r="E275" s="1">
        <v>41786</v>
      </c>
      <c r="F275" s="1">
        <v>41761</v>
      </c>
      <c r="G275">
        <v>2</v>
      </c>
      <c r="H275">
        <v>17.22</v>
      </c>
      <c r="I275">
        <f t="shared" si="4"/>
        <v>2014</v>
      </c>
    </row>
    <row r="276" spans="1:9" x14ac:dyDescent="0.25">
      <c r="A276">
        <v>10522</v>
      </c>
      <c r="B276" t="s">
        <v>34</v>
      </c>
      <c r="C276">
        <v>4</v>
      </c>
      <c r="D276" s="1">
        <v>41759</v>
      </c>
      <c r="E276" s="1">
        <v>41787</v>
      </c>
      <c r="F276" s="1">
        <v>41765</v>
      </c>
      <c r="G276">
        <v>1</v>
      </c>
      <c r="H276">
        <v>45.33</v>
      </c>
      <c r="I276">
        <f t="shared" si="4"/>
        <v>2014</v>
      </c>
    </row>
    <row r="277" spans="1:9" x14ac:dyDescent="0.25">
      <c r="A277">
        <v>10523</v>
      </c>
      <c r="B277" t="s">
        <v>64</v>
      </c>
      <c r="C277">
        <v>7</v>
      </c>
      <c r="D277" s="1">
        <v>41760</v>
      </c>
      <c r="E277" s="1">
        <v>41788</v>
      </c>
      <c r="F277" s="1">
        <v>41789</v>
      </c>
      <c r="G277">
        <v>2</v>
      </c>
      <c r="H277">
        <v>77.63</v>
      </c>
      <c r="I277">
        <f t="shared" si="4"/>
        <v>2014</v>
      </c>
    </row>
    <row r="278" spans="1:9" x14ac:dyDescent="0.25">
      <c r="A278">
        <v>10524</v>
      </c>
      <c r="B278" t="s">
        <v>33</v>
      </c>
      <c r="C278">
        <v>1</v>
      </c>
      <c r="D278" s="1">
        <v>41760</v>
      </c>
      <c r="E278" s="1">
        <v>41788</v>
      </c>
      <c r="F278" s="1">
        <v>41766</v>
      </c>
      <c r="G278">
        <v>2</v>
      </c>
      <c r="H278">
        <v>244.79</v>
      </c>
      <c r="I278">
        <f t="shared" si="4"/>
        <v>2014</v>
      </c>
    </row>
    <row r="279" spans="1:9" x14ac:dyDescent="0.25">
      <c r="A279">
        <v>10525</v>
      </c>
      <c r="B279" t="s">
        <v>56</v>
      </c>
      <c r="C279">
        <v>1</v>
      </c>
      <c r="D279" s="1">
        <v>41761</v>
      </c>
      <c r="E279" s="1">
        <v>41789</v>
      </c>
      <c r="F279" s="1">
        <v>41782</v>
      </c>
      <c r="G279">
        <v>2</v>
      </c>
      <c r="H279">
        <v>11.06</v>
      </c>
      <c r="I279">
        <f t="shared" si="4"/>
        <v>2014</v>
      </c>
    </row>
    <row r="280" spans="1:9" x14ac:dyDescent="0.25">
      <c r="A280">
        <v>10526</v>
      </c>
      <c r="B280" t="s">
        <v>24</v>
      </c>
      <c r="C280">
        <v>4</v>
      </c>
      <c r="D280" s="1">
        <v>41764</v>
      </c>
      <c r="E280" s="1">
        <v>41792</v>
      </c>
      <c r="F280" s="1">
        <v>41774</v>
      </c>
      <c r="G280">
        <v>2</v>
      </c>
      <c r="H280">
        <v>58.59</v>
      </c>
      <c r="I280">
        <f t="shared" si="4"/>
        <v>2014</v>
      </c>
    </row>
    <row r="281" spans="1:9" x14ac:dyDescent="0.25">
      <c r="A281">
        <v>10527</v>
      </c>
      <c r="B281" t="s">
        <v>29</v>
      </c>
      <c r="C281">
        <v>7</v>
      </c>
      <c r="D281" s="1">
        <v>41764</v>
      </c>
      <c r="E281" s="1">
        <v>41792</v>
      </c>
      <c r="F281" s="1">
        <v>41766</v>
      </c>
      <c r="G281">
        <v>1</v>
      </c>
      <c r="H281">
        <v>41.9</v>
      </c>
      <c r="I281">
        <f t="shared" si="4"/>
        <v>2014</v>
      </c>
    </row>
    <row r="282" spans="1:9" x14ac:dyDescent="0.25">
      <c r="A282">
        <v>10528</v>
      </c>
      <c r="B282" t="s">
        <v>87</v>
      </c>
      <c r="C282">
        <v>6</v>
      </c>
      <c r="D282" s="1">
        <v>41765</v>
      </c>
      <c r="E282" s="1">
        <v>41779</v>
      </c>
      <c r="F282" s="1">
        <v>41768</v>
      </c>
      <c r="G282">
        <v>2</v>
      </c>
      <c r="H282">
        <v>3.35</v>
      </c>
      <c r="I282">
        <f t="shared" si="4"/>
        <v>2014</v>
      </c>
    </row>
    <row r="283" spans="1:9" x14ac:dyDescent="0.25">
      <c r="A283">
        <v>10529</v>
      </c>
      <c r="B283" t="s">
        <v>88</v>
      </c>
      <c r="C283">
        <v>5</v>
      </c>
      <c r="D283" s="1">
        <v>41766</v>
      </c>
      <c r="E283" s="1">
        <v>41794</v>
      </c>
      <c r="F283" s="1">
        <v>41768</v>
      </c>
      <c r="G283">
        <v>2</v>
      </c>
      <c r="H283">
        <v>66.69</v>
      </c>
      <c r="I283">
        <f t="shared" si="4"/>
        <v>2014</v>
      </c>
    </row>
    <row r="284" spans="1:9" x14ac:dyDescent="0.25">
      <c r="A284">
        <v>10530</v>
      </c>
      <c r="B284" t="s">
        <v>62</v>
      </c>
      <c r="C284">
        <v>3</v>
      </c>
      <c r="D284" s="1">
        <v>41767</v>
      </c>
      <c r="E284" s="1">
        <v>41795</v>
      </c>
      <c r="F284" s="1">
        <v>41771</v>
      </c>
      <c r="G284">
        <v>2</v>
      </c>
      <c r="H284">
        <v>339.22</v>
      </c>
      <c r="I284">
        <f t="shared" si="4"/>
        <v>2014</v>
      </c>
    </row>
    <row r="285" spans="1:9" x14ac:dyDescent="0.25">
      <c r="A285">
        <v>10531</v>
      </c>
      <c r="B285" t="s">
        <v>77</v>
      </c>
      <c r="C285">
        <v>7</v>
      </c>
      <c r="D285" s="1">
        <v>41767</v>
      </c>
      <c r="E285" s="1">
        <v>41795</v>
      </c>
      <c r="F285" s="1">
        <v>41778</v>
      </c>
      <c r="G285">
        <v>1</v>
      </c>
      <c r="H285">
        <v>8.1199999999999992</v>
      </c>
      <c r="I285">
        <f t="shared" si="4"/>
        <v>2014</v>
      </c>
    </row>
    <row r="286" spans="1:9" x14ac:dyDescent="0.25">
      <c r="A286">
        <v>10532</v>
      </c>
      <c r="B286" t="s">
        <v>66</v>
      </c>
      <c r="C286">
        <v>7</v>
      </c>
      <c r="D286" s="1">
        <v>41768</v>
      </c>
      <c r="E286" s="1">
        <v>41796</v>
      </c>
      <c r="F286" s="1">
        <v>41771</v>
      </c>
      <c r="G286">
        <v>3</v>
      </c>
      <c r="H286">
        <v>74.459999999999994</v>
      </c>
      <c r="I286">
        <f t="shared" si="4"/>
        <v>2014</v>
      </c>
    </row>
    <row r="287" spans="1:9" x14ac:dyDescent="0.25">
      <c r="A287">
        <v>10533</v>
      </c>
      <c r="B287" t="s">
        <v>22</v>
      </c>
      <c r="C287">
        <v>8</v>
      </c>
      <c r="D287" s="1">
        <v>41771</v>
      </c>
      <c r="E287" s="1">
        <v>41799</v>
      </c>
      <c r="F287" s="1">
        <v>41781</v>
      </c>
      <c r="G287">
        <v>1</v>
      </c>
      <c r="H287">
        <v>188.04</v>
      </c>
      <c r="I287">
        <f t="shared" si="4"/>
        <v>2014</v>
      </c>
    </row>
    <row r="288" spans="1:9" x14ac:dyDescent="0.25">
      <c r="A288">
        <v>10534</v>
      </c>
      <c r="B288" t="s">
        <v>34</v>
      </c>
      <c r="C288">
        <v>8</v>
      </c>
      <c r="D288" s="1">
        <v>41771</v>
      </c>
      <c r="E288" s="1">
        <v>41799</v>
      </c>
      <c r="F288" s="1">
        <v>41773</v>
      </c>
      <c r="G288">
        <v>2</v>
      </c>
      <c r="H288">
        <v>27.94</v>
      </c>
      <c r="I288">
        <f t="shared" si="4"/>
        <v>2014</v>
      </c>
    </row>
    <row r="289" spans="1:9" x14ac:dyDescent="0.25">
      <c r="A289">
        <v>10535</v>
      </c>
      <c r="B289" t="s">
        <v>67</v>
      </c>
      <c r="C289">
        <v>4</v>
      </c>
      <c r="D289" s="1">
        <v>41772</v>
      </c>
      <c r="E289" s="1">
        <v>41800</v>
      </c>
      <c r="F289" s="1">
        <v>41780</v>
      </c>
      <c r="G289">
        <v>1</v>
      </c>
      <c r="H289">
        <v>15.64</v>
      </c>
      <c r="I289">
        <f t="shared" si="4"/>
        <v>2014</v>
      </c>
    </row>
    <row r="290" spans="1:9" x14ac:dyDescent="0.25">
      <c r="A290">
        <v>10536</v>
      </c>
      <c r="B290" t="s">
        <v>34</v>
      </c>
      <c r="C290">
        <v>3</v>
      </c>
      <c r="D290" s="1">
        <v>41773</v>
      </c>
      <c r="E290" s="1">
        <v>41801</v>
      </c>
      <c r="F290" s="1">
        <v>41796</v>
      </c>
      <c r="G290">
        <v>2</v>
      </c>
      <c r="H290">
        <v>58.88</v>
      </c>
      <c r="I290">
        <f t="shared" si="4"/>
        <v>2014</v>
      </c>
    </row>
    <row r="291" spans="1:9" x14ac:dyDescent="0.25">
      <c r="A291">
        <v>10537</v>
      </c>
      <c r="B291" t="s">
        <v>14</v>
      </c>
      <c r="C291">
        <v>1</v>
      </c>
      <c r="D291" s="1">
        <v>41773</v>
      </c>
      <c r="E291" s="1">
        <v>41787</v>
      </c>
      <c r="F291" s="1">
        <v>41778</v>
      </c>
      <c r="G291">
        <v>1</v>
      </c>
      <c r="H291">
        <v>78.849999999999994</v>
      </c>
      <c r="I291">
        <f t="shared" si="4"/>
        <v>2014</v>
      </c>
    </row>
    <row r="292" spans="1:9" x14ac:dyDescent="0.25">
      <c r="A292">
        <v>10538</v>
      </c>
      <c r="B292" t="s">
        <v>39</v>
      </c>
      <c r="C292">
        <v>9</v>
      </c>
      <c r="D292" s="1">
        <v>41774</v>
      </c>
      <c r="E292" s="1">
        <v>41802</v>
      </c>
      <c r="F292" s="1">
        <v>41775</v>
      </c>
      <c r="G292">
        <v>3</v>
      </c>
      <c r="H292">
        <v>4.87</v>
      </c>
      <c r="I292">
        <f t="shared" si="4"/>
        <v>2014</v>
      </c>
    </row>
    <row r="293" spans="1:9" x14ac:dyDescent="0.25">
      <c r="A293">
        <v>10539</v>
      </c>
      <c r="B293" t="s">
        <v>39</v>
      </c>
      <c r="C293">
        <v>6</v>
      </c>
      <c r="D293" s="1">
        <v>41775</v>
      </c>
      <c r="E293" s="1">
        <v>41803</v>
      </c>
      <c r="F293" s="1">
        <v>41782</v>
      </c>
      <c r="G293">
        <v>3</v>
      </c>
      <c r="H293">
        <v>12.36</v>
      </c>
      <c r="I293">
        <f t="shared" si="4"/>
        <v>2014</v>
      </c>
    </row>
    <row r="294" spans="1:9" x14ac:dyDescent="0.25">
      <c r="A294">
        <v>10540</v>
      </c>
      <c r="B294" t="s">
        <v>29</v>
      </c>
      <c r="C294">
        <v>3</v>
      </c>
      <c r="D294" s="1">
        <v>41778</v>
      </c>
      <c r="E294" s="1">
        <v>41806</v>
      </c>
      <c r="F294" s="1">
        <v>41803</v>
      </c>
      <c r="G294">
        <v>3</v>
      </c>
      <c r="H294">
        <v>1007.64</v>
      </c>
      <c r="I294">
        <f t="shared" si="4"/>
        <v>2014</v>
      </c>
    </row>
    <row r="295" spans="1:9" x14ac:dyDescent="0.25">
      <c r="A295">
        <v>10541</v>
      </c>
      <c r="B295" t="s">
        <v>10</v>
      </c>
      <c r="C295">
        <v>2</v>
      </c>
      <c r="D295" s="1">
        <v>41778</v>
      </c>
      <c r="E295" s="1">
        <v>41806</v>
      </c>
      <c r="F295" s="1">
        <v>41788</v>
      </c>
      <c r="G295">
        <v>1</v>
      </c>
      <c r="H295">
        <v>68.650000000000006</v>
      </c>
      <c r="I295">
        <f t="shared" si="4"/>
        <v>2014</v>
      </c>
    </row>
    <row r="296" spans="1:9" x14ac:dyDescent="0.25">
      <c r="A296">
        <v>10542</v>
      </c>
      <c r="B296" t="s">
        <v>52</v>
      </c>
      <c r="C296">
        <v>1</v>
      </c>
      <c r="D296" s="1">
        <v>41779</v>
      </c>
      <c r="E296" s="1">
        <v>41807</v>
      </c>
      <c r="F296" s="1">
        <v>41785</v>
      </c>
      <c r="G296">
        <v>3</v>
      </c>
      <c r="H296">
        <v>10.95</v>
      </c>
      <c r="I296">
        <f t="shared" si="4"/>
        <v>2014</v>
      </c>
    </row>
    <row r="297" spans="1:9" x14ac:dyDescent="0.25">
      <c r="A297">
        <v>10543</v>
      </c>
      <c r="B297" t="s">
        <v>36</v>
      </c>
      <c r="C297">
        <v>8</v>
      </c>
      <c r="D297" s="1">
        <v>41780</v>
      </c>
      <c r="E297" s="1">
        <v>41808</v>
      </c>
      <c r="F297" s="1">
        <v>41782</v>
      </c>
      <c r="G297">
        <v>2</v>
      </c>
      <c r="H297">
        <v>48.17</v>
      </c>
      <c r="I297">
        <f t="shared" si="4"/>
        <v>2014</v>
      </c>
    </row>
    <row r="298" spans="1:9" x14ac:dyDescent="0.25">
      <c r="A298">
        <v>10544</v>
      </c>
      <c r="B298" t="s">
        <v>46</v>
      </c>
      <c r="C298">
        <v>4</v>
      </c>
      <c r="D298" s="1">
        <v>41780</v>
      </c>
      <c r="E298" s="1">
        <v>41808</v>
      </c>
      <c r="F298" s="1">
        <v>41789</v>
      </c>
      <c r="G298">
        <v>1</v>
      </c>
      <c r="H298">
        <v>24.91</v>
      </c>
      <c r="I298">
        <f t="shared" si="4"/>
        <v>2014</v>
      </c>
    </row>
    <row r="299" spans="1:9" x14ac:dyDescent="0.25">
      <c r="A299">
        <v>10545</v>
      </c>
      <c r="B299" t="s">
        <v>82</v>
      </c>
      <c r="C299">
        <v>8</v>
      </c>
      <c r="D299" s="1">
        <v>41781</v>
      </c>
      <c r="E299" s="1">
        <v>41809</v>
      </c>
      <c r="F299" s="1">
        <v>41816</v>
      </c>
      <c r="G299">
        <v>2</v>
      </c>
      <c r="H299">
        <v>11.92</v>
      </c>
      <c r="I299">
        <f t="shared" si="4"/>
        <v>2014</v>
      </c>
    </row>
    <row r="300" spans="1:9" x14ac:dyDescent="0.25">
      <c r="A300">
        <v>10546</v>
      </c>
      <c r="B300" t="s">
        <v>11</v>
      </c>
      <c r="C300">
        <v>1</v>
      </c>
      <c r="D300" s="1">
        <v>41782</v>
      </c>
      <c r="E300" s="1">
        <v>41810</v>
      </c>
      <c r="F300" s="1">
        <v>41786</v>
      </c>
      <c r="G300">
        <v>3</v>
      </c>
      <c r="H300">
        <v>194.72</v>
      </c>
      <c r="I300">
        <f t="shared" si="4"/>
        <v>2014</v>
      </c>
    </row>
    <row r="301" spans="1:9" x14ac:dyDescent="0.25">
      <c r="A301">
        <v>10547</v>
      </c>
      <c r="B301" t="s">
        <v>64</v>
      </c>
      <c r="C301">
        <v>3</v>
      </c>
      <c r="D301" s="1">
        <v>41782</v>
      </c>
      <c r="E301" s="1">
        <v>41810</v>
      </c>
      <c r="F301" s="1">
        <v>41792</v>
      </c>
      <c r="G301">
        <v>2</v>
      </c>
      <c r="H301">
        <v>178.43</v>
      </c>
      <c r="I301">
        <f t="shared" si="4"/>
        <v>2014</v>
      </c>
    </row>
    <row r="302" spans="1:9" x14ac:dyDescent="0.25">
      <c r="A302">
        <v>10548</v>
      </c>
      <c r="B302" t="s">
        <v>9</v>
      </c>
      <c r="C302">
        <v>3</v>
      </c>
      <c r="D302" s="1">
        <v>41785</v>
      </c>
      <c r="E302" s="1">
        <v>41813</v>
      </c>
      <c r="F302" s="1">
        <v>41792</v>
      </c>
      <c r="G302">
        <v>2</v>
      </c>
      <c r="H302">
        <v>1.43</v>
      </c>
      <c r="I302">
        <f t="shared" si="4"/>
        <v>2014</v>
      </c>
    </row>
    <row r="303" spans="1:9" x14ac:dyDescent="0.25">
      <c r="A303">
        <v>10549</v>
      </c>
      <c r="B303" t="s">
        <v>29</v>
      </c>
      <c r="C303">
        <v>5</v>
      </c>
      <c r="D303" s="1">
        <v>41786</v>
      </c>
      <c r="E303" s="1">
        <v>41800</v>
      </c>
      <c r="F303" s="1">
        <v>41789</v>
      </c>
      <c r="G303">
        <v>1</v>
      </c>
      <c r="H303">
        <v>171.24</v>
      </c>
      <c r="I303">
        <f t="shared" si="4"/>
        <v>2014</v>
      </c>
    </row>
    <row r="304" spans="1:9" x14ac:dyDescent="0.25">
      <c r="A304">
        <v>10550</v>
      </c>
      <c r="B304" t="s">
        <v>44</v>
      </c>
      <c r="C304">
        <v>7</v>
      </c>
      <c r="D304" s="1">
        <v>41787</v>
      </c>
      <c r="E304" s="1">
        <v>41815</v>
      </c>
      <c r="F304" s="1">
        <v>41796</v>
      </c>
      <c r="G304">
        <v>3</v>
      </c>
      <c r="H304">
        <v>4.32</v>
      </c>
      <c r="I304">
        <f t="shared" si="4"/>
        <v>2014</v>
      </c>
    </row>
    <row r="305" spans="1:9" x14ac:dyDescent="0.25">
      <c r="A305">
        <v>10551</v>
      </c>
      <c r="B305" t="s">
        <v>55</v>
      </c>
      <c r="C305">
        <v>4</v>
      </c>
      <c r="D305" s="1">
        <v>41787</v>
      </c>
      <c r="E305" s="1">
        <v>41829</v>
      </c>
      <c r="F305" s="1">
        <v>41796</v>
      </c>
      <c r="G305">
        <v>3</v>
      </c>
      <c r="H305">
        <v>72.95</v>
      </c>
      <c r="I305">
        <f t="shared" si="4"/>
        <v>2014</v>
      </c>
    </row>
    <row r="306" spans="1:9" x14ac:dyDescent="0.25">
      <c r="A306">
        <v>10552</v>
      </c>
      <c r="B306" t="s">
        <v>16</v>
      </c>
      <c r="C306">
        <v>2</v>
      </c>
      <c r="D306" s="1">
        <v>41788</v>
      </c>
      <c r="E306" s="1">
        <v>41816</v>
      </c>
      <c r="F306" s="1">
        <v>41795</v>
      </c>
      <c r="G306">
        <v>1</v>
      </c>
      <c r="H306">
        <v>83.22</v>
      </c>
      <c r="I306">
        <f t="shared" si="4"/>
        <v>2014</v>
      </c>
    </row>
    <row r="307" spans="1:9" x14ac:dyDescent="0.25">
      <c r="A307">
        <v>10553</v>
      </c>
      <c r="B307" t="s">
        <v>24</v>
      </c>
      <c r="C307">
        <v>2</v>
      </c>
      <c r="D307" s="1">
        <v>41789</v>
      </c>
      <c r="E307" s="1">
        <v>41817</v>
      </c>
      <c r="F307" s="1">
        <v>41793</v>
      </c>
      <c r="G307">
        <v>2</v>
      </c>
      <c r="H307">
        <v>149.49</v>
      </c>
      <c r="I307">
        <f t="shared" si="4"/>
        <v>2014</v>
      </c>
    </row>
    <row r="308" spans="1:9" x14ac:dyDescent="0.25">
      <c r="A308">
        <v>10554</v>
      </c>
      <c r="B308" t="s">
        <v>19</v>
      </c>
      <c r="C308">
        <v>4</v>
      </c>
      <c r="D308" s="1">
        <v>41789</v>
      </c>
      <c r="E308" s="1">
        <v>41817</v>
      </c>
      <c r="F308" s="1">
        <v>41795</v>
      </c>
      <c r="G308">
        <v>3</v>
      </c>
      <c r="H308">
        <v>120.97</v>
      </c>
      <c r="I308">
        <f t="shared" si="4"/>
        <v>2014</v>
      </c>
    </row>
    <row r="309" spans="1:9" x14ac:dyDescent="0.25">
      <c r="A309">
        <v>10555</v>
      </c>
      <c r="B309" t="s">
        <v>53</v>
      </c>
      <c r="C309">
        <v>6</v>
      </c>
      <c r="D309" s="1">
        <v>41792</v>
      </c>
      <c r="E309" s="1">
        <v>41820</v>
      </c>
      <c r="F309" s="1">
        <v>41794</v>
      </c>
      <c r="G309">
        <v>3</v>
      </c>
      <c r="H309">
        <v>252.49</v>
      </c>
      <c r="I309">
        <f t="shared" si="4"/>
        <v>2014</v>
      </c>
    </row>
    <row r="310" spans="1:9" x14ac:dyDescent="0.25">
      <c r="A310">
        <v>10556</v>
      </c>
      <c r="B310" t="s">
        <v>59</v>
      </c>
      <c r="C310">
        <v>2</v>
      </c>
      <c r="D310" s="1">
        <v>41793</v>
      </c>
      <c r="E310" s="1">
        <v>41835</v>
      </c>
      <c r="F310" s="1">
        <v>41803</v>
      </c>
      <c r="G310">
        <v>1</v>
      </c>
      <c r="H310">
        <v>9.8000000000000007</v>
      </c>
      <c r="I310">
        <f t="shared" si="4"/>
        <v>2014</v>
      </c>
    </row>
    <row r="311" spans="1:9" x14ac:dyDescent="0.25">
      <c r="A311">
        <v>10557</v>
      </c>
      <c r="B311" t="s">
        <v>34</v>
      </c>
      <c r="C311">
        <v>9</v>
      </c>
      <c r="D311" s="1">
        <v>41793</v>
      </c>
      <c r="E311" s="1">
        <v>41807</v>
      </c>
      <c r="F311" s="1">
        <v>41796</v>
      </c>
      <c r="G311">
        <v>2</v>
      </c>
      <c r="H311">
        <v>96.72</v>
      </c>
      <c r="I311">
        <f t="shared" si="4"/>
        <v>2014</v>
      </c>
    </row>
    <row r="312" spans="1:9" x14ac:dyDescent="0.25">
      <c r="A312">
        <v>10558</v>
      </c>
      <c r="B312" t="s">
        <v>63</v>
      </c>
      <c r="C312">
        <v>1</v>
      </c>
      <c r="D312" s="1">
        <v>41794</v>
      </c>
      <c r="E312" s="1">
        <v>41822</v>
      </c>
      <c r="F312" s="1">
        <v>41800</v>
      </c>
      <c r="G312">
        <v>2</v>
      </c>
      <c r="H312">
        <v>72.97</v>
      </c>
      <c r="I312">
        <f t="shared" si="4"/>
        <v>2014</v>
      </c>
    </row>
    <row r="313" spans="1:9" x14ac:dyDescent="0.25">
      <c r="A313">
        <v>10559</v>
      </c>
      <c r="B313" t="s">
        <v>23</v>
      </c>
      <c r="C313">
        <v>6</v>
      </c>
      <c r="D313" s="1">
        <v>41795</v>
      </c>
      <c r="E313" s="1">
        <v>41823</v>
      </c>
      <c r="F313" s="1">
        <v>41803</v>
      </c>
      <c r="G313">
        <v>1</v>
      </c>
      <c r="H313">
        <v>8.0500000000000007</v>
      </c>
      <c r="I313">
        <f t="shared" si="4"/>
        <v>2014</v>
      </c>
    </row>
    <row r="314" spans="1:9" x14ac:dyDescent="0.25">
      <c r="A314">
        <v>10560</v>
      </c>
      <c r="B314" t="s">
        <v>25</v>
      </c>
      <c r="C314">
        <v>8</v>
      </c>
      <c r="D314" s="1">
        <v>41796</v>
      </c>
      <c r="E314" s="1">
        <v>41824</v>
      </c>
      <c r="F314" s="1">
        <v>41799</v>
      </c>
      <c r="G314">
        <v>1</v>
      </c>
      <c r="H314">
        <v>36.65</v>
      </c>
      <c r="I314">
        <f t="shared" si="4"/>
        <v>2014</v>
      </c>
    </row>
    <row r="315" spans="1:9" x14ac:dyDescent="0.25">
      <c r="A315">
        <v>10561</v>
      </c>
      <c r="B315" t="s">
        <v>22</v>
      </c>
      <c r="C315">
        <v>2</v>
      </c>
      <c r="D315" s="1">
        <v>41796</v>
      </c>
      <c r="E315" s="1">
        <v>41824</v>
      </c>
      <c r="F315" s="1">
        <v>41799</v>
      </c>
      <c r="G315">
        <v>2</v>
      </c>
      <c r="H315">
        <v>242.21</v>
      </c>
      <c r="I315">
        <f t="shared" si="4"/>
        <v>2014</v>
      </c>
    </row>
    <row r="316" spans="1:9" x14ac:dyDescent="0.25">
      <c r="A316">
        <v>10562</v>
      </c>
      <c r="B316" t="s">
        <v>38</v>
      </c>
      <c r="C316">
        <v>1</v>
      </c>
      <c r="D316" s="1">
        <v>41799</v>
      </c>
      <c r="E316" s="1">
        <v>41827</v>
      </c>
      <c r="F316" s="1">
        <v>41802</v>
      </c>
      <c r="G316">
        <v>1</v>
      </c>
      <c r="H316">
        <v>22.95</v>
      </c>
      <c r="I316">
        <f t="shared" si="4"/>
        <v>2014</v>
      </c>
    </row>
    <row r="317" spans="1:9" x14ac:dyDescent="0.25">
      <c r="A317">
        <v>10563</v>
      </c>
      <c r="B317" t="s">
        <v>37</v>
      </c>
      <c r="C317">
        <v>2</v>
      </c>
      <c r="D317" s="1">
        <v>41800</v>
      </c>
      <c r="E317" s="1">
        <v>41842</v>
      </c>
      <c r="F317" s="1">
        <v>41814</v>
      </c>
      <c r="G317">
        <v>2</v>
      </c>
      <c r="H317">
        <v>60.43</v>
      </c>
      <c r="I317">
        <f t="shared" si="4"/>
        <v>2014</v>
      </c>
    </row>
    <row r="318" spans="1:9" x14ac:dyDescent="0.25">
      <c r="A318">
        <v>10564</v>
      </c>
      <c r="B318" t="s">
        <v>21</v>
      </c>
      <c r="C318">
        <v>4</v>
      </c>
      <c r="D318" s="1">
        <v>41800</v>
      </c>
      <c r="E318" s="1">
        <v>41828</v>
      </c>
      <c r="F318" s="1">
        <v>41806</v>
      </c>
      <c r="G318">
        <v>3</v>
      </c>
      <c r="H318">
        <v>13.75</v>
      </c>
      <c r="I318">
        <f t="shared" si="4"/>
        <v>2014</v>
      </c>
    </row>
    <row r="319" spans="1:9" x14ac:dyDescent="0.25">
      <c r="A319">
        <v>10565</v>
      </c>
      <c r="B319" t="s">
        <v>57</v>
      </c>
      <c r="C319">
        <v>8</v>
      </c>
      <c r="D319" s="1">
        <v>41801</v>
      </c>
      <c r="E319" s="1">
        <v>41829</v>
      </c>
      <c r="F319" s="1">
        <v>41808</v>
      </c>
      <c r="G319">
        <v>2</v>
      </c>
      <c r="H319">
        <v>7.15</v>
      </c>
      <c r="I319">
        <f t="shared" si="4"/>
        <v>2014</v>
      </c>
    </row>
    <row r="320" spans="1:9" x14ac:dyDescent="0.25">
      <c r="A320">
        <v>10566</v>
      </c>
      <c r="B320" t="s">
        <v>23</v>
      </c>
      <c r="C320">
        <v>9</v>
      </c>
      <c r="D320" s="1">
        <v>41802</v>
      </c>
      <c r="E320" s="1">
        <v>41830</v>
      </c>
      <c r="F320" s="1">
        <v>41808</v>
      </c>
      <c r="G320">
        <v>1</v>
      </c>
      <c r="H320">
        <v>88.4</v>
      </c>
      <c r="I320">
        <f t="shared" si="4"/>
        <v>2014</v>
      </c>
    </row>
    <row r="321" spans="1:9" x14ac:dyDescent="0.25">
      <c r="A321">
        <v>10567</v>
      </c>
      <c r="B321" t="s">
        <v>42</v>
      </c>
      <c r="C321">
        <v>1</v>
      </c>
      <c r="D321" s="1">
        <v>41802</v>
      </c>
      <c r="E321" s="1">
        <v>41830</v>
      </c>
      <c r="F321" s="1">
        <v>41807</v>
      </c>
      <c r="G321">
        <v>1</v>
      </c>
      <c r="H321">
        <v>33.97</v>
      </c>
      <c r="I321">
        <f t="shared" si="4"/>
        <v>2014</v>
      </c>
    </row>
    <row r="322" spans="1:9" x14ac:dyDescent="0.25">
      <c r="A322">
        <v>10568</v>
      </c>
      <c r="B322" t="s">
        <v>68</v>
      </c>
      <c r="C322">
        <v>3</v>
      </c>
      <c r="D322" s="1">
        <v>41803</v>
      </c>
      <c r="E322" s="1">
        <v>41831</v>
      </c>
      <c r="F322" s="1">
        <v>41829</v>
      </c>
      <c r="G322">
        <v>3</v>
      </c>
      <c r="H322">
        <v>6.54</v>
      </c>
      <c r="I322">
        <f t="shared" si="4"/>
        <v>2014</v>
      </c>
    </row>
    <row r="323" spans="1:9" x14ac:dyDescent="0.25">
      <c r="A323">
        <v>10569</v>
      </c>
      <c r="B323" t="s">
        <v>21</v>
      </c>
      <c r="C323">
        <v>5</v>
      </c>
      <c r="D323" s="1">
        <v>41806</v>
      </c>
      <c r="E323" s="1">
        <v>41834</v>
      </c>
      <c r="F323" s="1">
        <v>41831</v>
      </c>
      <c r="G323">
        <v>1</v>
      </c>
      <c r="H323">
        <v>58.98</v>
      </c>
      <c r="I323">
        <f t="shared" ref="I323:I386" si="5">YEAR(D323)</f>
        <v>2014</v>
      </c>
    </row>
    <row r="324" spans="1:9" x14ac:dyDescent="0.25">
      <c r="A324">
        <v>10570</v>
      </c>
      <c r="B324" t="s">
        <v>57</v>
      </c>
      <c r="C324">
        <v>3</v>
      </c>
      <c r="D324" s="1">
        <v>41807</v>
      </c>
      <c r="E324" s="1">
        <v>41835</v>
      </c>
      <c r="F324" s="1">
        <v>41809</v>
      </c>
      <c r="G324">
        <v>3</v>
      </c>
      <c r="H324">
        <v>188.99</v>
      </c>
      <c r="I324">
        <f t="shared" si="5"/>
        <v>2014</v>
      </c>
    </row>
    <row r="325" spans="1:9" x14ac:dyDescent="0.25">
      <c r="A325">
        <v>10571</v>
      </c>
      <c r="B325" t="s">
        <v>17</v>
      </c>
      <c r="C325">
        <v>8</v>
      </c>
      <c r="D325" s="1">
        <v>41807</v>
      </c>
      <c r="E325" s="1">
        <v>41849</v>
      </c>
      <c r="F325" s="1">
        <v>41824</v>
      </c>
      <c r="G325">
        <v>3</v>
      </c>
      <c r="H325">
        <v>26.06</v>
      </c>
      <c r="I325">
        <f t="shared" si="5"/>
        <v>2014</v>
      </c>
    </row>
    <row r="326" spans="1:9" x14ac:dyDescent="0.25">
      <c r="A326">
        <v>10572</v>
      </c>
      <c r="B326" t="s">
        <v>33</v>
      </c>
      <c r="C326">
        <v>3</v>
      </c>
      <c r="D326" s="1">
        <v>41808</v>
      </c>
      <c r="E326" s="1">
        <v>41836</v>
      </c>
      <c r="F326" s="1">
        <v>41815</v>
      </c>
      <c r="G326">
        <v>2</v>
      </c>
      <c r="H326">
        <v>116.43</v>
      </c>
      <c r="I326">
        <f t="shared" si="5"/>
        <v>2014</v>
      </c>
    </row>
    <row r="327" spans="1:9" x14ac:dyDescent="0.25">
      <c r="A327">
        <v>10573</v>
      </c>
      <c r="B327" t="s">
        <v>67</v>
      </c>
      <c r="C327">
        <v>7</v>
      </c>
      <c r="D327" s="1">
        <v>41809</v>
      </c>
      <c r="E327" s="1">
        <v>41837</v>
      </c>
      <c r="F327" s="1">
        <v>41810</v>
      </c>
      <c r="G327">
        <v>3</v>
      </c>
      <c r="H327">
        <v>84.84</v>
      </c>
      <c r="I327">
        <f t="shared" si="5"/>
        <v>2014</v>
      </c>
    </row>
    <row r="328" spans="1:9" x14ac:dyDescent="0.25">
      <c r="A328">
        <v>10574</v>
      </c>
      <c r="B328" t="s">
        <v>89</v>
      </c>
      <c r="C328">
        <v>4</v>
      </c>
      <c r="D328" s="1">
        <v>41809</v>
      </c>
      <c r="E328" s="1">
        <v>41837</v>
      </c>
      <c r="F328" s="1">
        <v>41820</v>
      </c>
      <c r="G328">
        <v>2</v>
      </c>
      <c r="H328">
        <v>37.6</v>
      </c>
      <c r="I328">
        <f t="shared" si="5"/>
        <v>2014</v>
      </c>
    </row>
    <row r="329" spans="1:9" x14ac:dyDescent="0.25">
      <c r="A329">
        <v>10575</v>
      </c>
      <c r="B329" t="s">
        <v>32</v>
      </c>
      <c r="C329">
        <v>5</v>
      </c>
      <c r="D329" s="1">
        <v>41810</v>
      </c>
      <c r="E329" s="1">
        <v>41824</v>
      </c>
      <c r="F329" s="1">
        <v>41820</v>
      </c>
      <c r="G329">
        <v>1</v>
      </c>
      <c r="H329">
        <v>127.34</v>
      </c>
      <c r="I329">
        <f t="shared" si="5"/>
        <v>2014</v>
      </c>
    </row>
    <row r="330" spans="1:9" x14ac:dyDescent="0.25">
      <c r="A330">
        <v>10576</v>
      </c>
      <c r="B330" t="s">
        <v>31</v>
      </c>
      <c r="C330">
        <v>3</v>
      </c>
      <c r="D330" s="1">
        <v>41813</v>
      </c>
      <c r="E330" s="1">
        <v>41827</v>
      </c>
      <c r="F330" s="1">
        <v>41820</v>
      </c>
      <c r="G330">
        <v>3</v>
      </c>
      <c r="H330">
        <v>18.559999999999999</v>
      </c>
      <c r="I330">
        <f t="shared" si="5"/>
        <v>2014</v>
      </c>
    </row>
    <row r="331" spans="1:9" x14ac:dyDescent="0.25">
      <c r="A331">
        <v>10577</v>
      </c>
      <c r="B331" t="s">
        <v>89</v>
      </c>
      <c r="C331">
        <v>9</v>
      </c>
      <c r="D331" s="1">
        <v>41813</v>
      </c>
      <c r="E331" s="1">
        <v>41855</v>
      </c>
      <c r="F331" s="1">
        <v>41820</v>
      </c>
      <c r="G331">
        <v>2</v>
      </c>
      <c r="H331">
        <v>25.41</v>
      </c>
      <c r="I331">
        <f t="shared" si="5"/>
        <v>2014</v>
      </c>
    </row>
    <row r="332" spans="1:9" x14ac:dyDescent="0.25">
      <c r="A332">
        <v>10578</v>
      </c>
      <c r="B332" t="s">
        <v>39</v>
      </c>
      <c r="C332">
        <v>4</v>
      </c>
      <c r="D332" s="1">
        <v>41814</v>
      </c>
      <c r="E332" s="1">
        <v>41842</v>
      </c>
      <c r="F332" s="1">
        <v>41845</v>
      </c>
      <c r="G332">
        <v>3</v>
      </c>
      <c r="H332">
        <v>29.6</v>
      </c>
      <c r="I332">
        <f t="shared" si="5"/>
        <v>2014</v>
      </c>
    </row>
    <row r="333" spans="1:9" x14ac:dyDescent="0.25">
      <c r="A333">
        <v>10579</v>
      </c>
      <c r="B333" t="s">
        <v>90</v>
      </c>
      <c r="C333">
        <v>1</v>
      </c>
      <c r="D333" s="1">
        <v>41815</v>
      </c>
      <c r="E333" s="1">
        <v>41843</v>
      </c>
      <c r="F333" s="1">
        <v>41824</v>
      </c>
      <c r="G333">
        <v>2</v>
      </c>
      <c r="H333">
        <v>13.73</v>
      </c>
      <c r="I333">
        <f t="shared" si="5"/>
        <v>2014</v>
      </c>
    </row>
    <row r="334" spans="1:9" x14ac:dyDescent="0.25">
      <c r="A334">
        <v>10580</v>
      </c>
      <c r="B334" t="s">
        <v>19</v>
      </c>
      <c r="C334">
        <v>4</v>
      </c>
      <c r="D334" s="1">
        <v>41816</v>
      </c>
      <c r="E334" s="1">
        <v>41844</v>
      </c>
      <c r="F334" s="1">
        <v>41821</v>
      </c>
      <c r="G334">
        <v>3</v>
      </c>
      <c r="H334">
        <v>75.89</v>
      </c>
      <c r="I334">
        <f t="shared" si="5"/>
        <v>2014</v>
      </c>
    </row>
    <row r="335" spans="1:9" x14ac:dyDescent="0.25">
      <c r="A335">
        <v>10581</v>
      </c>
      <c r="B335" t="s">
        <v>60</v>
      </c>
      <c r="C335">
        <v>3</v>
      </c>
      <c r="D335" s="1">
        <v>41816</v>
      </c>
      <c r="E335" s="1">
        <v>41844</v>
      </c>
      <c r="F335" s="1">
        <v>41822</v>
      </c>
      <c r="G335">
        <v>1</v>
      </c>
      <c r="H335">
        <v>3.01</v>
      </c>
      <c r="I335">
        <f t="shared" si="5"/>
        <v>2014</v>
      </c>
    </row>
    <row r="336" spans="1:9" x14ac:dyDescent="0.25">
      <c r="A336">
        <v>10582</v>
      </c>
      <c r="B336" t="s">
        <v>84</v>
      </c>
      <c r="C336">
        <v>3</v>
      </c>
      <c r="D336" s="1">
        <v>41817</v>
      </c>
      <c r="E336" s="1">
        <v>41845</v>
      </c>
      <c r="F336" s="1">
        <v>41834</v>
      </c>
      <c r="G336">
        <v>2</v>
      </c>
      <c r="H336">
        <v>27.71</v>
      </c>
      <c r="I336">
        <f t="shared" si="5"/>
        <v>2014</v>
      </c>
    </row>
    <row r="337" spans="1:9" x14ac:dyDescent="0.25">
      <c r="A337">
        <v>10583</v>
      </c>
      <c r="B337" t="s">
        <v>24</v>
      </c>
      <c r="C337">
        <v>2</v>
      </c>
      <c r="D337" s="1">
        <v>41820</v>
      </c>
      <c r="E337" s="1">
        <v>41848</v>
      </c>
      <c r="F337" s="1">
        <v>41824</v>
      </c>
      <c r="G337">
        <v>2</v>
      </c>
      <c r="H337">
        <v>7.28</v>
      </c>
      <c r="I337">
        <f t="shared" si="5"/>
        <v>2014</v>
      </c>
    </row>
    <row r="338" spans="1:9" x14ac:dyDescent="0.25">
      <c r="A338">
        <v>10584</v>
      </c>
      <c r="B338" t="s">
        <v>23</v>
      </c>
      <c r="C338">
        <v>4</v>
      </c>
      <c r="D338" s="1">
        <v>41820</v>
      </c>
      <c r="E338" s="1">
        <v>41848</v>
      </c>
      <c r="F338" s="1">
        <v>41824</v>
      </c>
      <c r="G338">
        <v>1</v>
      </c>
      <c r="H338">
        <v>59.14</v>
      </c>
      <c r="I338">
        <f t="shared" si="5"/>
        <v>2014</v>
      </c>
    </row>
    <row r="339" spans="1:9" x14ac:dyDescent="0.25">
      <c r="A339">
        <v>10585</v>
      </c>
      <c r="B339" t="s">
        <v>15</v>
      </c>
      <c r="C339">
        <v>7</v>
      </c>
      <c r="D339" s="1">
        <v>41821</v>
      </c>
      <c r="E339" s="1">
        <v>41849</v>
      </c>
      <c r="F339" s="1">
        <v>41830</v>
      </c>
      <c r="G339">
        <v>1</v>
      </c>
      <c r="H339">
        <v>13.41</v>
      </c>
      <c r="I339">
        <f t="shared" si="5"/>
        <v>2014</v>
      </c>
    </row>
    <row r="340" spans="1:9" x14ac:dyDescent="0.25">
      <c r="A340">
        <v>10586</v>
      </c>
      <c r="B340" t="s">
        <v>38</v>
      </c>
      <c r="C340">
        <v>9</v>
      </c>
      <c r="D340" s="1">
        <v>41822</v>
      </c>
      <c r="E340" s="1">
        <v>41850</v>
      </c>
      <c r="F340" s="1">
        <v>41829</v>
      </c>
      <c r="G340">
        <v>1</v>
      </c>
      <c r="H340">
        <v>0.48</v>
      </c>
      <c r="I340">
        <f t="shared" si="5"/>
        <v>2014</v>
      </c>
    </row>
    <row r="341" spans="1:9" x14ac:dyDescent="0.25">
      <c r="A341">
        <v>10587</v>
      </c>
      <c r="B341" t="s">
        <v>20</v>
      </c>
      <c r="C341">
        <v>1</v>
      </c>
      <c r="D341" s="1">
        <v>41822</v>
      </c>
      <c r="E341" s="1">
        <v>41850</v>
      </c>
      <c r="F341" s="1">
        <v>41829</v>
      </c>
      <c r="G341">
        <v>1</v>
      </c>
      <c r="H341">
        <v>62.52</v>
      </c>
      <c r="I341">
        <f t="shared" si="5"/>
        <v>2014</v>
      </c>
    </row>
    <row r="342" spans="1:9" x14ac:dyDescent="0.25">
      <c r="A342">
        <v>10588</v>
      </c>
      <c r="B342" t="s">
        <v>29</v>
      </c>
      <c r="C342">
        <v>2</v>
      </c>
      <c r="D342" s="1">
        <v>41823</v>
      </c>
      <c r="E342" s="1">
        <v>41851</v>
      </c>
      <c r="F342" s="1">
        <v>41830</v>
      </c>
      <c r="G342">
        <v>3</v>
      </c>
      <c r="H342">
        <v>194.67</v>
      </c>
      <c r="I342">
        <f t="shared" si="5"/>
        <v>2014</v>
      </c>
    </row>
    <row r="343" spans="1:9" x14ac:dyDescent="0.25">
      <c r="A343">
        <v>10589</v>
      </c>
      <c r="B343" t="s">
        <v>87</v>
      </c>
      <c r="C343">
        <v>8</v>
      </c>
      <c r="D343" s="1">
        <v>41824</v>
      </c>
      <c r="E343" s="1">
        <v>41852</v>
      </c>
      <c r="F343" s="1">
        <v>41834</v>
      </c>
      <c r="G343">
        <v>2</v>
      </c>
      <c r="H343">
        <v>4.42</v>
      </c>
      <c r="I343">
        <f t="shared" si="5"/>
        <v>2014</v>
      </c>
    </row>
    <row r="344" spans="1:9" x14ac:dyDescent="0.25">
      <c r="A344">
        <v>10590</v>
      </c>
      <c r="B344" t="s">
        <v>57</v>
      </c>
      <c r="C344">
        <v>4</v>
      </c>
      <c r="D344" s="1">
        <v>41827</v>
      </c>
      <c r="E344" s="1">
        <v>41855</v>
      </c>
      <c r="F344" s="1">
        <v>41834</v>
      </c>
      <c r="G344">
        <v>3</v>
      </c>
      <c r="H344">
        <v>44.77</v>
      </c>
      <c r="I344">
        <f t="shared" si="5"/>
        <v>2014</v>
      </c>
    </row>
    <row r="345" spans="1:9" x14ac:dyDescent="0.25">
      <c r="A345">
        <v>10591</v>
      </c>
      <c r="B345" t="s">
        <v>69</v>
      </c>
      <c r="C345">
        <v>1</v>
      </c>
      <c r="D345" s="1">
        <v>41827</v>
      </c>
      <c r="E345" s="1">
        <v>41841</v>
      </c>
      <c r="F345" s="1">
        <v>41836</v>
      </c>
      <c r="G345">
        <v>1</v>
      </c>
      <c r="H345">
        <v>55.92</v>
      </c>
      <c r="I345">
        <f t="shared" si="5"/>
        <v>2014</v>
      </c>
    </row>
    <row r="346" spans="1:9" x14ac:dyDescent="0.25">
      <c r="A346">
        <v>10592</v>
      </c>
      <c r="B346" t="s">
        <v>34</v>
      </c>
      <c r="C346">
        <v>3</v>
      </c>
      <c r="D346" s="1">
        <v>41828</v>
      </c>
      <c r="E346" s="1">
        <v>41856</v>
      </c>
      <c r="F346" s="1">
        <v>41836</v>
      </c>
      <c r="G346">
        <v>1</v>
      </c>
      <c r="H346">
        <v>32.1</v>
      </c>
      <c r="I346">
        <f t="shared" si="5"/>
        <v>2014</v>
      </c>
    </row>
    <row r="347" spans="1:9" x14ac:dyDescent="0.25">
      <c r="A347">
        <v>10593</v>
      </c>
      <c r="B347" t="s">
        <v>34</v>
      </c>
      <c r="C347">
        <v>7</v>
      </c>
      <c r="D347" s="1">
        <v>41829</v>
      </c>
      <c r="E347" s="1">
        <v>41857</v>
      </c>
      <c r="F347" s="1">
        <v>41864</v>
      </c>
      <c r="G347">
        <v>2</v>
      </c>
      <c r="H347">
        <v>174.2</v>
      </c>
      <c r="I347">
        <f t="shared" si="5"/>
        <v>2014</v>
      </c>
    </row>
    <row r="348" spans="1:9" x14ac:dyDescent="0.25">
      <c r="A348">
        <v>10594</v>
      </c>
      <c r="B348" t="s">
        <v>45</v>
      </c>
      <c r="C348">
        <v>3</v>
      </c>
      <c r="D348" s="1">
        <v>41829</v>
      </c>
      <c r="E348" s="1">
        <v>41857</v>
      </c>
      <c r="F348" s="1">
        <v>41836</v>
      </c>
      <c r="G348">
        <v>2</v>
      </c>
      <c r="H348">
        <v>5.24</v>
      </c>
      <c r="I348">
        <f t="shared" si="5"/>
        <v>2014</v>
      </c>
    </row>
    <row r="349" spans="1:9" x14ac:dyDescent="0.25">
      <c r="A349">
        <v>10595</v>
      </c>
      <c r="B349" t="s">
        <v>17</v>
      </c>
      <c r="C349">
        <v>2</v>
      </c>
      <c r="D349" s="1">
        <v>41830</v>
      </c>
      <c r="E349" s="1">
        <v>41858</v>
      </c>
      <c r="F349" s="1">
        <v>41834</v>
      </c>
      <c r="G349">
        <v>1</v>
      </c>
      <c r="H349">
        <v>96.78</v>
      </c>
      <c r="I349">
        <f t="shared" si="5"/>
        <v>2014</v>
      </c>
    </row>
    <row r="350" spans="1:9" x14ac:dyDescent="0.25">
      <c r="A350">
        <v>10596</v>
      </c>
      <c r="B350" t="s">
        <v>27</v>
      </c>
      <c r="C350">
        <v>8</v>
      </c>
      <c r="D350" s="1">
        <v>41831</v>
      </c>
      <c r="E350" s="1">
        <v>41859</v>
      </c>
      <c r="F350" s="1">
        <v>41863</v>
      </c>
      <c r="G350">
        <v>1</v>
      </c>
      <c r="H350">
        <v>16.34</v>
      </c>
      <c r="I350">
        <f t="shared" si="5"/>
        <v>2014</v>
      </c>
    </row>
    <row r="351" spans="1:9" x14ac:dyDescent="0.25">
      <c r="A351">
        <v>10597</v>
      </c>
      <c r="B351" t="s">
        <v>62</v>
      </c>
      <c r="C351">
        <v>7</v>
      </c>
      <c r="D351" s="1">
        <v>41831</v>
      </c>
      <c r="E351" s="1">
        <v>41859</v>
      </c>
      <c r="F351" s="1">
        <v>41838</v>
      </c>
      <c r="G351">
        <v>3</v>
      </c>
      <c r="H351">
        <v>35.119999999999997</v>
      </c>
      <c r="I351">
        <f t="shared" si="5"/>
        <v>2014</v>
      </c>
    </row>
    <row r="352" spans="1:9" x14ac:dyDescent="0.25">
      <c r="A352">
        <v>10598</v>
      </c>
      <c r="B352" t="s">
        <v>21</v>
      </c>
      <c r="C352">
        <v>1</v>
      </c>
      <c r="D352" s="1">
        <v>41834</v>
      </c>
      <c r="E352" s="1">
        <v>41862</v>
      </c>
      <c r="F352" s="1">
        <v>41838</v>
      </c>
      <c r="G352">
        <v>3</v>
      </c>
      <c r="H352">
        <v>44.42</v>
      </c>
      <c r="I352">
        <f t="shared" si="5"/>
        <v>2014</v>
      </c>
    </row>
    <row r="353" spans="1:9" x14ac:dyDescent="0.25">
      <c r="A353">
        <v>10599</v>
      </c>
      <c r="B353" t="s">
        <v>39</v>
      </c>
      <c r="C353">
        <v>6</v>
      </c>
      <c r="D353" s="1">
        <v>41835</v>
      </c>
      <c r="E353" s="1">
        <v>41877</v>
      </c>
      <c r="F353" s="1">
        <v>41841</v>
      </c>
      <c r="G353">
        <v>3</v>
      </c>
      <c r="H353">
        <v>29.98</v>
      </c>
      <c r="I353">
        <f t="shared" si="5"/>
        <v>2014</v>
      </c>
    </row>
    <row r="354" spans="1:9" x14ac:dyDescent="0.25">
      <c r="A354">
        <v>10600</v>
      </c>
      <c r="B354" t="s">
        <v>72</v>
      </c>
      <c r="C354">
        <v>4</v>
      </c>
      <c r="D354" s="1">
        <v>41836</v>
      </c>
      <c r="E354" s="1">
        <v>41864</v>
      </c>
      <c r="F354" s="1">
        <v>41841</v>
      </c>
      <c r="G354">
        <v>1</v>
      </c>
      <c r="H354">
        <v>45.13</v>
      </c>
      <c r="I354">
        <f t="shared" si="5"/>
        <v>2014</v>
      </c>
    </row>
    <row r="355" spans="1:9" x14ac:dyDescent="0.25">
      <c r="A355">
        <v>10601</v>
      </c>
      <c r="B355" t="s">
        <v>16</v>
      </c>
      <c r="C355">
        <v>7</v>
      </c>
      <c r="D355" s="1">
        <v>41836</v>
      </c>
      <c r="E355" s="1">
        <v>41878</v>
      </c>
      <c r="F355" s="1">
        <v>41842</v>
      </c>
      <c r="G355">
        <v>1</v>
      </c>
      <c r="H355">
        <v>58.3</v>
      </c>
      <c r="I355">
        <f t="shared" si="5"/>
        <v>2014</v>
      </c>
    </row>
    <row r="356" spans="1:9" x14ac:dyDescent="0.25">
      <c r="A356">
        <v>10602</v>
      </c>
      <c r="B356" t="s">
        <v>69</v>
      </c>
      <c r="C356">
        <v>8</v>
      </c>
      <c r="D356" s="1">
        <v>41837</v>
      </c>
      <c r="E356" s="1">
        <v>41865</v>
      </c>
      <c r="F356" s="1">
        <v>41842</v>
      </c>
      <c r="G356">
        <v>2</v>
      </c>
      <c r="H356">
        <v>2.92</v>
      </c>
      <c r="I356">
        <f t="shared" si="5"/>
        <v>2014</v>
      </c>
    </row>
    <row r="357" spans="1:9" x14ac:dyDescent="0.25">
      <c r="A357">
        <v>10603</v>
      </c>
      <c r="B357" t="s">
        <v>53</v>
      </c>
      <c r="C357">
        <v>8</v>
      </c>
      <c r="D357" s="1">
        <v>41838</v>
      </c>
      <c r="E357" s="1">
        <v>41866</v>
      </c>
      <c r="F357" s="1">
        <v>41859</v>
      </c>
      <c r="G357">
        <v>2</v>
      </c>
      <c r="H357">
        <v>48.77</v>
      </c>
      <c r="I357">
        <f t="shared" si="5"/>
        <v>2014</v>
      </c>
    </row>
    <row r="358" spans="1:9" x14ac:dyDescent="0.25">
      <c r="A358">
        <v>10604</v>
      </c>
      <c r="B358" t="s">
        <v>55</v>
      </c>
      <c r="C358">
        <v>1</v>
      </c>
      <c r="D358" s="1">
        <v>41838</v>
      </c>
      <c r="E358" s="1">
        <v>41866</v>
      </c>
      <c r="F358" s="1">
        <v>41849</v>
      </c>
      <c r="G358">
        <v>1</v>
      </c>
      <c r="H358">
        <v>7.46</v>
      </c>
      <c r="I358">
        <f t="shared" si="5"/>
        <v>2014</v>
      </c>
    </row>
    <row r="359" spans="1:9" x14ac:dyDescent="0.25">
      <c r="A359">
        <v>10605</v>
      </c>
      <c r="B359" t="s">
        <v>57</v>
      </c>
      <c r="C359">
        <v>1</v>
      </c>
      <c r="D359" s="1">
        <v>41841</v>
      </c>
      <c r="E359" s="1">
        <v>41869</v>
      </c>
      <c r="F359" s="1">
        <v>41849</v>
      </c>
      <c r="G359">
        <v>2</v>
      </c>
      <c r="H359">
        <v>379.13</v>
      </c>
      <c r="I359">
        <f t="shared" si="5"/>
        <v>2014</v>
      </c>
    </row>
    <row r="360" spans="1:9" x14ac:dyDescent="0.25">
      <c r="A360">
        <v>10606</v>
      </c>
      <c r="B360" t="s">
        <v>41</v>
      </c>
      <c r="C360">
        <v>4</v>
      </c>
      <c r="D360" s="1">
        <v>41842</v>
      </c>
      <c r="E360" s="1">
        <v>41870</v>
      </c>
      <c r="F360" s="1">
        <v>41851</v>
      </c>
      <c r="G360">
        <v>3</v>
      </c>
      <c r="H360">
        <v>79.400000000000006</v>
      </c>
      <c r="I360">
        <f t="shared" si="5"/>
        <v>2014</v>
      </c>
    </row>
    <row r="361" spans="1:9" x14ac:dyDescent="0.25">
      <c r="A361">
        <v>10607</v>
      </c>
      <c r="B361" t="s">
        <v>53</v>
      </c>
      <c r="C361">
        <v>5</v>
      </c>
      <c r="D361" s="1">
        <v>41842</v>
      </c>
      <c r="E361" s="1">
        <v>41870</v>
      </c>
      <c r="F361" s="1">
        <v>41845</v>
      </c>
      <c r="G361">
        <v>1</v>
      </c>
      <c r="H361">
        <v>200.24</v>
      </c>
      <c r="I361">
        <f t="shared" si="5"/>
        <v>2014</v>
      </c>
    </row>
    <row r="362" spans="1:9" x14ac:dyDescent="0.25">
      <c r="A362">
        <v>10608</v>
      </c>
      <c r="B362" t="s">
        <v>9</v>
      </c>
      <c r="C362">
        <v>4</v>
      </c>
      <c r="D362" s="1">
        <v>41843</v>
      </c>
      <c r="E362" s="1">
        <v>41871</v>
      </c>
      <c r="F362" s="1">
        <v>41852</v>
      </c>
      <c r="G362">
        <v>2</v>
      </c>
      <c r="H362">
        <v>27.79</v>
      </c>
      <c r="I362">
        <f t="shared" si="5"/>
        <v>2014</v>
      </c>
    </row>
    <row r="363" spans="1:9" x14ac:dyDescent="0.25">
      <c r="A363">
        <v>10609</v>
      </c>
      <c r="B363" t="s">
        <v>49</v>
      </c>
      <c r="C363">
        <v>7</v>
      </c>
      <c r="D363" s="1">
        <v>41844</v>
      </c>
      <c r="E363" s="1">
        <v>41872</v>
      </c>
      <c r="F363" s="1">
        <v>41850</v>
      </c>
      <c r="G363">
        <v>2</v>
      </c>
      <c r="H363">
        <v>1.85</v>
      </c>
      <c r="I363">
        <f t="shared" si="5"/>
        <v>2014</v>
      </c>
    </row>
    <row r="364" spans="1:9" x14ac:dyDescent="0.25">
      <c r="A364">
        <v>10610</v>
      </c>
      <c r="B364" t="s">
        <v>61</v>
      </c>
      <c r="C364">
        <v>8</v>
      </c>
      <c r="D364" s="1">
        <v>41845</v>
      </c>
      <c r="E364" s="1">
        <v>41873</v>
      </c>
      <c r="F364" s="1">
        <v>41857</v>
      </c>
      <c r="G364">
        <v>1</v>
      </c>
      <c r="H364">
        <v>26.78</v>
      </c>
      <c r="I364">
        <f t="shared" si="5"/>
        <v>2014</v>
      </c>
    </row>
    <row r="365" spans="1:9" x14ac:dyDescent="0.25">
      <c r="A365">
        <v>10611</v>
      </c>
      <c r="B365" t="s">
        <v>71</v>
      </c>
      <c r="C365">
        <v>6</v>
      </c>
      <c r="D365" s="1">
        <v>41845</v>
      </c>
      <c r="E365" s="1">
        <v>41873</v>
      </c>
      <c r="F365" s="1">
        <v>41852</v>
      </c>
      <c r="G365">
        <v>2</v>
      </c>
      <c r="H365">
        <v>80.650000000000006</v>
      </c>
      <c r="I365">
        <f t="shared" si="5"/>
        <v>2014</v>
      </c>
    </row>
    <row r="366" spans="1:9" x14ac:dyDescent="0.25">
      <c r="A366">
        <v>10612</v>
      </c>
      <c r="B366" t="s">
        <v>53</v>
      </c>
      <c r="C366">
        <v>1</v>
      </c>
      <c r="D366" s="1">
        <v>41848</v>
      </c>
      <c r="E366" s="1">
        <v>41876</v>
      </c>
      <c r="F366" s="1">
        <v>41852</v>
      </c>
      <c r="G366">
        <v>2</v>
      </c>
      <c r="H366">
        <v>544.08000000000004</v>
      </c>
      <c r="I366">
        <f t="shared" si="5"/>
        <v>2014</v>
      </c>
    </row>
    <row r="367" spans="1:9" x14ac:dyDescent="0.25">
      <c r="A367">
        <v>10613</v>
      </c>
      <c r="B367" t="s">
        <v>16</v>
      </c>
      <c r="C367">
        <v>4</v>
      </c>
      <c r="D367" s="1">
        <v>41849</v>
      </c>
      <c r="E367" s="1">
        <v>41877</v>
      </c>
      <c r="F367" s="1">
        <v>41852</v>
      </c>
      <c r="G367">
        <v>2</v>
      </c>
      <c r="H367">
        <v>8.11</v>
      </c>
      <c r="I367">
        <f t="shared" si="5"/>
        <v>2014</v>
      </c>
    </row>
    <row r="368" spans="1:9" x14ac:dyDescent="0.25">
      <c r="A368">
        <v>10614</v>
      </c>
      <c r="B368" t="s">
        <v>84</v>
      </c>
      <c r="C368">
        <v>8</v>
      </c>
      <c r="D368" s="1">
        <v>41849</v>
      </c>
      <c r="E368" s="1">
        <v>41877</v>
      </c>
      <c r="F368" s="1">
        <v>41852</v>
      </c>
      <c r="G368">
        <v>3</v>
      </c>
      <c r="H368">
        <v>1.93</v>
      </c>
      <c r="I368">
        <f t="shared" si="5"/>
        <v>2014</v>
      </c>
    </row>
    <row r="369" spans="1:9" x14ac:dyDescent="0.25">
      <c r="A369">
        <v>10615</v>
      </c>
      <c r="B369" t="s">
        <v>91</v>
      </c>
      <c r="C369">
        <v>2</v>
      </c>
      <c r="D369" s="1">
        <v>41850</v>
      </c>
      <c r="E369" s="1">
        <v>41878</v>
      </c>
      <c r="F369" s="1">
        <v>41857</v>
      </c>
      <c r="G369">
        <v>3</v>
      </c>
      <c r="H369">
        <v>0.75</v>
      </c>
      <c r="I369">
        <f t="shared" si="5"/>
        <v>2014</v>
      </c>
    </row>
    <row r="370" spans="1:9" x14ac:dyDescent="0.25">
      <c r="A370">
        <v>10616</v>
      </c>
      <c r="B370" t="s">
        <v>87</v>
      </c>
      <c r="C370">
        <v>1</v>
      </c>
      <c r="D370" s="1">
        <v>41851</v>
      </c>
      <c r="E370" s="1">
        <v>41879</v>
      </c>
      <c r="F370" s="1">
        <v>41856</v>
      </c>
      <c r="G370">
        <v>2</v>
      </c>
      <c r="H370">
        <v>116.53</v>
      </c>
      <c r="I370">
        <f t="shared" si="5"/>
        <v>2014</v>
      </c>
    </row>
    <row r="371" spans="1:9" x14ac:dyDescent="0.25">
      <c r="A371">
        <v>10617</v>
      </c>
      <c r="B371" t="s">
        <v>87</v>
      </c>
      <c r="C371">
        <v>4</v>
      </c>
      <c r="D371" s="1">
        <v>41851</v>
      </c>
      <c r="E371" s="1">
        <v>41879</v>
      </c>
      <c r="F371" s="1">
        <v>41855</v>
      </c>
      <c r="G371">
        <v>2</v>
      </c>
      <c r="H371">
        <v>18.53</v>
      </c>
      <c r="I371">
        <f t="shared" si="5"/>
        <v>2014</v>
      </c>
    </row>
    <row r="372" spans="1:9" x14ac:dyDescent="0.25">
      <c r="A372">
        <v>10618</v>
      </c>
      <c r="B372" t="s">
        <v>57</v>
      </c>
      <c r="C372">
        <v>1</v>
      </c>
      <c r="D372" s="1">
        <v>41852</v>
      </c>
      <c r="E372" s="1">
        <v>41894</v>
      </c>
      <c r="F372" s="1">
        <v>41859</v>
      </c>
      <c r="G372">
        <v>1</v>
      </c>
      <c r="H372">
        <v>154.68</v>
      </c>
      <c r="I372">
        <f t="shared" si="5"/>
        <v>2014</v>
      </c>
    </row>
    <row r="373" spans="1:9" x14ac:dyDescent="0.25">
      <c r="A373">
        <v>10619</v>
      </c>
      <c r="B373" t="s">
        <v>57</v>
      </c>
      <c r="C373">
        <v>3</v>
      </c>
      <c r="D373" s="1">
        <v>41855</v>
      </c>
      <c r="E373" s="1">
        <v>41883</v>
      </c>
      <c r="F373" s="1">
        <v>41858</v>
      </c>
      <c r="G373">
        <v>3</v>
      </c>
      <c r="H373">
        <v>91.05</v>
      </c>
      <c r="I373">
        <f t="shared" si="5"/>
        <v>2014</v>
      </c>
    </row>
    <row r="374" spans="1:9" x14ac:dyDescent="0.25">
      <c r="A374">
        <v>10620</v>
      </c>
      <c r="B374" t="s">
        <v>83</v>
      </c>
      <c r="C374">
        <v>2</v>
      </c>
      <c r="D374" s="1">
        <v>41856</v>
      </c>
      <c r="E374" s="1">
        <v>41884</v>
      </c>
      <c r="F374" s="1">
        <v>41865</v>
      </c>
      <c r="G374">
        <v>3</v>
      </c>
      <c r="H374">
        <v>0.94</v>
      </c>
      <c r="I374">
        <f t="shared" si="5"/>
        <v>2014</v>
      </c>
    </row>
    <row r="375" spans="1:9" x14ac:dyDescent="0.25">
      <c r="A375">
        <v>10621</v>
      </c>
      <c r="B375" t="s">
        <v>50</v>
      </c>
      <c r="C375">
        <v>4</v>
      </c>
      <c r="D375" s="1">
        <v>41856</v>
      </c>
      <c r="E375" s="1">
        <v>41884</v>
      </c>
      <c r="F375" s="1">
        <v>41862</v>
      </c>
      <c r="G375">
        <v>2</v>
      </c>
      <c r="H375">
        <v>23.73</v>
      </c>
      <c r="I375">
        <f t="shared" si="5"/>
        <v>2014</v>
      </c>
    </row>
    <row r="376" spans="1:9" x14ac:dyDescent="0.25">
      <c r="A376">
        <v>10622</v>
      </c>
      <c r="B376" t="s">
        <v>37</v>
      </c>
      <c r="C376">
        <v>4</v>
      </c>
      <c r="D376" s="1">
        <v>41857</v>
      </c>
      <c r="E376" s="1">
        <v>41885</v>
      </c>
      <c r="F376" s="1">
        <v>41862</v>
      </c>
      <c r="G376">
        <v>3</v>
      </c>
      <c r="H376">
        <v>50.97</v>
      </c>
      <c r="I376">
        <f t="shared" si="5"/>
        <v>2014</v>
      </c>
    </row>
    <row r="377" spans="1:9" x14ac:dyDescent="0.25">
      <c r="A377">
        <v>10623</v>
      </c>
      <c r="B377" t="s">
        <v>25</v>
      </c>
      <c r="C377">
        <v>8</v>
      </c>
      <c r="D377" s="1">
        <v>41858</v>
      </c>
      <c r="E377" s="1">
        <v>41886</v>
      </c>
      <c r="F377" s="1">
        <v>41863</v>
      </c>
      <c r="G377">
        <v>2</v>
      </c>
      <c r="H377">
        <v>97.18</v>
      </c>
      <c r="I377">
        <f t="shared" si="5"/>
        <v>2014</v>
      </c>
    </row>
    <row r="378" spans="1:9" x14ac:dyDescent="0.25">
      <c r="A378">
        <v>10624</v>
      </c>
      <c r="B378" t="s">
        <v>92</v>
      </c>
      <c r="C378">
        <v>4</v>
      </c>
      <c r="D378" s="1">
        <v>41858</v>
      </c>
      <c r="E378" s="1">
        <v>41886</v>
      </c>
      <c r="F378" s="1">
        <v>41870</v>
      </c>
      <c r="G378">
        <v>2</v>
      </c>
      <c r="H378">
        <v>94.8</v>
      </c>
      <c r="I378">
        <f t="shared" si="5"/>
        <v>2014</v>
      </c>
    </row>
    <row r="379" spans="1:9" x14ac:dyDescent="0.25">
      <c r="A379">
        <v>10625</v>
      </c>
      <c r="B379" t="s">
        <v>47</v>
      </c>
      <c r="C379">
        <v>3</v>
      </c>
      <c r="D379" s="1">
        <v>41859</v>
      </c>
      <c r="E379" s="1">
        <v>41887</v>
      </c>
      <c r="F379" s="1">
        <v>41865</v>
      </c>
      <c r="G379">
        <v>1</v>
      </c>
      <c r="H379">
        <v>43.9</v>
      </c>
      <c r="I379">
        <f t="shared" si="5"/>
        <v>2014</v>
      </c>
    </row>
    <row r="380" spans="1:9" x14ac:dyDescent="0.25">
      <c r="A380">
        <v>10626</v>
      </c>
      <c r="B380" t="s">
        <v>33</v>
      </c>
      <c r="C380">
        <v>1</v>
      </c>
      <c r="D380" s="1">
        <v>41862</v>
      </c>
      <c r="E380" s="1">
        <v>41890</v>
      </c>
      <c r="F380" s="1">
        <v>41871</v>
      </c>
      <c r="G380">
        <v>2</v>
      </c>
      <c r="H380">
        <v>138.69</v>
      </c>
      <c r="I380">
        <f t="shared" si="5"/>
        <v>2014</v>
      </c>
    </row>
    <row r="381" spans="1:9" x14ac:dyDescent="0.25">
      <c r="A381">
        <v>10627</v>
      </c>
      <c r="B381" t="s">
        <v>53</v>
      </c>
      <c r="C381">
        <v>8</v>
      </c>
      <c r="D381" s="1">
        <v>41862</v>
      </c>
      <c r="E381" s="1">
        <v>41904</v>
      </c>
      <c r="F381" s="1">
        <v>41872</v>
      </c>
      <c r="G381">
        <v>3</v>
      </c>
      <c r="H381">
        <v>107.46</v>
      </c>
      <c r="I381">
        <f t="shared" si="5"/>
        <v>2014</v>
      </c>
    </row>
    <row r="382" spans="1:9" x14ac:dyDescent="0.25">
      <c r="A382">
        <v>10628</v>
      </c>
      <c r="B382" t="s">
        <v>23</v>
      </c>
      <c r="C382">
        <v>4</v>
      </c>
      <c r="D382" s="1">
        <v>41863</v>
      </c>
      <c r="E382" s="1">
        <v>41891</v>
      </c>
      <c r="F382" s="1">
        <v>41871</v>
      </c>
      <c r="G382">
        <v>3</v>
      </c>
      <c r="H382">
        <v>30.36</v>
      </c>
      <c r="I382">
        <f t="shared" si="5"/>
        <v>2014</v>
      </c>
    </row>
    <row r="383" spans="1:9" x14ac:dyDescent="0.25">
      <c r="A383">
        <v>10629</v>
      </c>
      <c r="B383" t="s">
        <v>44</v>
      </c>
      <c r="C383">
        <v>4</v>
      </c>
      <c r="D383" s="1">
        <v>41863</v>
      </c>
      <c r="E383" s="1">
        <v>41891</v>
      </c>
      <c r="F383" s="1">
        <v>41871</v>
      </c>
      <c r="G383">
        <v>3</v>
      </c>
      <c r="H383">
        <v>85.46</v>
      </c>
      <c r="I383">
        <f t="shared" si="5"/>
        <v>2014</v>
      </c>
    </row>
    <row r="384" spans="1:9" x14ac:dyDescent="0.25">
      <c r="A384">
        <v>10630</v>
      </c>
      <c r="B384" t="s">
        <v>52</v>
      </c>
      <c r="C384">
        <v>1</v>
      </c>
      <c r="D384" s="1">
        <v>41864</v>
      </c>
      <c r="E384" s="1">
        <v>41892</v>
      </c>
      <c r="F384" s="1">
        <v>41870</v>
      </c>
      <c r="G384">
        <v>2</v>
      </c>
      <c r="H384">
        <v>32.35</v>
      </c>
      <c r="I384">
        <f t="shared" si="5"/>
        <v>2014</v>
      </c>
    </row>
    <row r="385" spans="1:9" x14ac:dyDescent="0.25">
      <c r="A385">
        <v>10631</v>
      </c>
      <c r="B385" t="s">
        <v>61</v>
      </c>
      <c r="C385">
        <v>8</v>
      </c>
      <c r="D385" s="1">
        <v>41865</v>
      </c>
      <c r="E385" s="1">
        <v>41893</v>
      </c>
      <c r="F385" s="1">
        <v>41866</v>
      </c>
      <c r="G385">
        <v>1</v>
      </c>
      <c r="H385">
        <v>0.87</v>
      </c>
      <c r="I385">
        <f t="shared" si="5"/>
        <v>2014</v>
      </c>
    </row>
    <row r="386" spans="1:9" x14ac:dyDescent="0.25">
      <c r="A386">
        <v>10632</v>
      </c>
      <c r="B386" t="s">
        <v>43</v>
      </c>
      <c r="C386">
        <v>8</v>
      </c>
      <c r="D386" s="1">
        <v>41865</v>
      </c>
      <c r="E386" s="1">
        <v>41893</v>
      </c>
      <c r="F386" s="1">
        <v>41870</v>
      </c>
      <c r="G386">
        <v>1</v>
      </c>
      <c r="H386">
        <v>41.38</v>
      </c>
      <c r="I386">
        <f t="shared" si="5"/>
        <v>2014</v>
      </c>
    </row>
    <row r="387" spans="1:9" x14ac:dyDescent="0.25">
      <c r="A387">
        <v>10633</v>
      </c>
      <c r="B387" t="s">
        <v>17</v>
      </c>
      <c r="C387">
        <v>7</v>
      </c>
      <c r="D387" s="1">
        <v>41866</v>
      </c>
      <c r="E387" s="1">
        <v>41894</v>
      </c>
      <c r="F387" s="1">
        <v>41869</v>
      </c>
      <c r="G387">
        <v>3</v>
      </c>
      <c r="H387">
        <v>477.9</v>
      </c>
      <c r="I387">
        <f t="shared" ref="I387:I450" si="6">YEAR(D387)</f>
        <v>2014</v>
      </c>
    </row>
    <row r="388" spans="1:9" x14ac:dyDescent="0.25">
      <c r="A388">
        <v>10634</v>
      </c>
      <c r="B388" t="s">
        <v>76</v>
      </c>
      <c r="C388">
        <v>4</v>
      </c>
      <c r="D388" s="1">
        <v>41866</v>
      </c>
      <c r="E388" s="1">
        <v>41894</v>
      </c>
      <c r="F388" s="1">
        <v>41872</v>
      </c>
      <c r="G388">
        <v>3</v>
      </c>
      <c r="H388">
        <v>487.38</v>
      </c>
      <c r="I388">
        <f t="shared" si="6"/>
        <v>2014</v>
      </c>
    </row>
    <row r="389" spans="1:9" x14ac:dyDescent="0.25">
      <c r="A389">
        <v>10635</v>
      </c>
      <c r="B389" t="s">
        <v>30</v>
      </c>
      <c r="C389">
        <v>8</v>
      </c>
      <c r="D389" s="1">
        <v>41869</v>
      </c>
      <c r="E389" s="1">
        <v>41897</v>
      </c>
      <c r="F389" s="1">
        <v>41872</v>
      </c>
      <c r="G389">
        <v>3</v>
      </c>
      <c r="H389">
        <v>47.46</v>
      </c>
      <c r="I389">
        <f t="shared" si="6"/>
        <v>2014</v>
      </c>
    </row>
    <row r="390" spans="1:9" x14ac:dyDescent="0.25">
      <c r="A390">
        <v>10636</v>
      </c>
      <c r="B390" t="s">
        <v>24</v>
      </c>
      <c r="C390">
        <v>4</v>
      </c>
      <c r="D390" s="1">
        <v>41870</v>
      </c>
      <c r="E390" s="1">
        <v>41898</v>
      </c>
      <c r="F390" s="1">
        <v>41877</v>
      </c>
      <c r="G390">
        <v>1</v>
      </c>
      <c r="H390">
        <v>1.1499999999999999</v>
      </c>
      <c r="I390">
        <f t="shared" si="6"/>
        <v>2014</v>
      </c>
    </row>
    <row r="391" spans="1:9" x14ac:dyDescent="0.25">
      <c r="A391">
        <v>10637</v>
      </c>
      <c r="B391" t="s">
        <v>70</v>
      </c>
      <c r="C391">
        <v>6</v>
      </c>
      <c r="D391" s="1">
        <v>41870</v>
      </c>
      <c r="E391" s="1">
        <v>41898</v>
      </c>
      <c r="F391" s="1">
        <v>41877</v>
      </c>
      <c r="G391">
        <v>1</v>
      </c>
      <c r="H391">
        <v>201.29</v>
      </c>
      <c r="I391">
        <f t="shared" si="6"/>
        <v>2014</v>
      </c>
    </row>
    <row r="392" spans="1:9" x14ac:dyDescent="0.25">
      <c r="A392">
        <v>10638</v>
      </c>
      <c r="B392" t="s">
        <v>75</v>
      </c>
      <c r="C392">
        <v>3</v>
      </c>
      <c r="D392" s="1">
        <v>41871</v>
      </c>
      <c r="E392" s="1">
        <v>41899</v>
      </c>
      <c r="F392" s="1">
        <v>41883</v>
      </c>
      <c r="G392">
        <v>1</v>
      </c>
      <c r="H392">
        <v>158.44</v>
      </c>
      <c r="I392">
        <f t="shared" si="6"/>
        <v>2014</v>
      </c>
    </row>
    <row r="393" spans="1:9" x14ac:dyDescent="0.25">
      <c r="A393">
        <v>10639</v>
      </c>
      <c r="B393" t="s">
        <v>73</v>
      </c>
      <c r="C393">
        <v>7</v>
      </c>
      <c r="D393" s="1">
        <v>41871</v>
      </c>
      <c r="E393" s="1">
        <v>41899</v>
      </c>
      <c r="F393" s="1">
        <v>41878</v>
      </c>
      <c r="G393">
        <v>3</v>
      </c>
      <c r="H393">
        <v>38.64</v>
      </c>
      <c r="I393">
        <f t="shared" si="6"/>
        <v>2014</v>
      </c>
    </row>
    <row r="394" spans="1:9" x14ac:dyDescent="0.25">
      <c r="A394">
        <v>10640</v>
      </c>
      <c r="B394" t="s">
        <v>43</v>
      </c>
      <c r="C394">
        <v>4</v>
      </c>
      <c r="D394" s="1">
        <v>41872</v>
      </c>
      <c r="E394" s="1">
        <v>41900</v>
      </c>
      <c r="F394" s="1">
        <v>41879</v>
      </c>
      <c r="G394">
        <v>1</v>
      </c>
      <c r="H394">
        <v>23.55</v>
      </c>
      <c r="I394">
        <f t="shared" si="6"/>
        <v>2014</v>
      </c>
    </row>
    <row r="395" spans="1:9" x14ac:dyDescent="0.25">
      <c r="A395">
        <v>10641</v>
      </c>
      <c r="B395" t="s">
        <v>16</v>
      </c>
      <c r="C395">
        <v>4</v>
      </c>
      <c r="D395" s="1">
        <v>41873</v>
      </c>
      <c r="E395" s="1">
        <v>41901</v>
      </c>
      <c r="F395" s="1">
        <v>41877</v>
      </c>
      <c r="G395">
        <v>2</v>
      </c>
      <c r="H395">
        <v>179.61</v>
      </c>
      <c r="I395">
        <f t="shared" si="6"/>
        <v>2014</v>
      </c>
    </row>
    <row r="396" spans="1:9" x14ac:dyDescent="0.25">
      <c r="A396">
        <v>10642</v>
      </c>
      <c r="B396" t="s">
        <v>59</v>
      </c>
      <c r="C396">
        <v>7</v>
      </c>
      <c r="D396" s="1">
        <v>41873</v>
      </c>
      <c r="E396" s="1">
        <v>41901</v>
      </c>
      <c r="F396" s="1">
        <v>41887</v>
      </c>
      <c r="G396">
        <v>3</v>
      </c>
      <c r="H396">
        <v>41.89</v>
      </c>
      <c r="I396">
        <f t="shared" si="6"/>
        <v>2014</v>
      </c>
    </row>
    <row r="397" spans="1:9" x14ac:dyDescent="0.25">
      <c r="A397">
        <v>10643</v>
      </c>
      <c r="B397" t="s">
        <v>93</v>
      </c>
      <c r="C397">
        <v>6</v>
      </c>
      <c r="D397" s="1">
        <v>41876</v>
      </c>
      <c r="E397" s="1">
        <v>41904</v>
      </c>
      <c r="F397" s="1">
        <v>41884</v>
      </c>
      <c r="G397">
        <v>1</v>
      </c>
      <c r="H397">
        <v>29.46</v>
      </c>
      <c r="I397">
        <f t="shared" si="6"/>
        <v>2014</v>
      </c>
    </row>
    <row r="398" spans="1:9" x14ac:dyDescent="0.25">
      <c r="A398">
        <v>10644</v>
      </c>
      <c r="B398" t="s">
        <v>15</v>
      </c>
      <c r="C398">
        <v>3</v>
      </c>
      <c r="D398" s="1">
        <v>41876</v>
      </c>
      <c r="E398" s="1">
        <v>41904</v>
      </c>
      <c r="F398" s="1">
        <v>41883</v>
      </c>
      <c r="G398">
        <v>2</v>
      </c>
      <c r="H398">
        <v>0.14000000000000001</v>
      </c>
      <c r="I398">
        <f t="shared" si="6"/>
        <v>2014</v>
      </c>
    </row>
    <row r="399" spans="1:9" x14ac:dyDescent="0.25">
      <c r="A399">
        <v>10645</v>
      </c>
      <c r="B399" t="s">
        <v>10</v>
      </c>
      <c r="C399">
        <v>4</v>
      </c>
      <c r="D399" s="1">
        <v>41877</v>
      </c>
      <c r="E399" s="1">
        <v>41905</v>
      </c>
      <c r="F399" s="1">
        <v>41884</v>
      </c>
      <c r="G399">
        <v>1</v>
      </c>
      <c r="H399">
        <v>12.41</v>
      </c>
      <c r="I399">
        <f t="shared" si="6"/>
        <v>2014</v>
      </c>
    </row>
    <row r="400" spans="1:9" x14ac:dyDescent="0.25">
      <c r="A400">
        <v>10646</v>
      </c>
      <c r="B400" t="s">
        <v>42</v>
      </c>
      <c r="C400">
        <v>9</v>
      </c>
      <c r="D400" s="1">
        <v>41878</v>
      </c>
      <c r="E400" s="1">
        <v>41920</v>
      </c>
      <c r="F400" s="1">
        <v>41885</v>
      </c>
      <c r="G400">
        <v>3</v>
      </c>
      <c r="H400">
        <v>142.33000000000001</v>
      </c>
      <c r="I400">
        <f t="shared" si="6"/>
        <v>2014</v>
      </c>
    </row>
    <row r="401" spans="1:9" x14ac:dyDescent="0.25">
      <c r="A401">
        <v>10647</v>
      </c>
      <c r="B401" t="s">
        <v>20</v>
      </c>
      <c r="C401">
        <v>4</v>
      </c>
      <c r="D401" s="1">
        <v>41878</v>
      </c>
      <c r="E401" s="1">
        <v>41892</v>
      </c>
      <c r="F401" s="1">
        <v>41885</v>
      </c>
      <c r="G401">
        <v>2</v>
      </c>
      <c r="H401">
        <v>45.54</v>
      </c>
      <c r="I401">
        <f t="shared" si="6"/>
        <v>2014</v>
      </c>
    </row>
    <row r="402" spans="1:9" x14ac:dyDescent="0.25">
      <c r="A402">
        <v>10648</v>
      </c>
      <c r="B402" t="s">
        <v>37</v>
      </c>
      <c r="C402">
        <v>5</v>
      </c>
      <c r="D402" s="1">
        <v>41879</v>
      </c>
      <c r="E402" s="1">
        <v>41921</v>
      </c>
      <c r="F402" s="1">
        <v>41891</v>
      </c>
      <c r="G402">
        <v>2</v>
      </c>
      <c r="H402">
        <v>14.25</v>
      </c>
      <c r="I402">
        <f t="shared" si="6"/>
        <v>2014</v>
      </c>
    </row>
    <row r="403" spans="1:9" x14ac:dyDescent="0.25">
      <c r="A403">
        <v>10649</v>
      </c>
      <c r="B403" t="s">
        <v>88</v>
      </c>
      <c r="C403">
        <v>5</v>
      </c>
      <c r="D403" s="1">
        <v>41879</v>
      </c>
      <c r="E403" s="1">
        <v>41907</v>
      </c>
      <c r="F403" s="1">
        <v>41880</v>
      </c>
      <c r="G403">
        <v>3</v>
      </c>
      <c r="H403">
        <v>6.2</v>
      </c>
      <c r="I403">
        <f t="shared" si="6"/>
        <v>2014</v>
      </c>
    </row>
    <row r="404" spans="1:9" x14ac:dyDescent="0.25">
      <c r="A404">
        <v>10650</v>
      </c>
      <c r="B404" t="s">
        <v>60</v>
      </c>
      <c r="C404">
        <v>5</v>
      </c>
      <c r="D404" s="1">
        <v>41880</v>
      </c>
      <c r="E404" s="1">
        <v>41908</v>
      </c>
      <c r="F404" s="1">
        <v>41885</v>
      </c>
      <c r="G404">
        <v>3</v>
      </c>
      <c r="H404">
        <v>176.81</v>
      </c>
      <c r="I404">
        <f t="shared" si="6"/>
        <v>2014</v>
      </c>
    </row>
    <row r="405" spans="1:9" x14ac:dyDescent="0.25">
      <c r="A405">
        <v>10651</v>
      </c>
      <c r="B405" t="s">
        <v>43</v>
      </c>
      <c r="C405">
        <v>8</v>
      </c>
      <c r="D405" s="1">
        <v>41883</v>
      </c>
      <c r="E405" s="1">
        <v>41911</v>
      </c>
      <c r="F405" s="1">
        <v>41893</v>
      </c>
      <c r="G405">
        <v>2</v>
      </c>
      <c r="H405">
        <v>20.6</v>
      </c>
      <c r="I405">
        <f t="shared" si="6"/>
        <v>2014</v>
      </c>
    </row>
    <row r="406" spans="1:9" x14ac:dyDescent="0.25">
      <c r="A406">
        <v>10652</v>
      </c>
      <c r="B406" t="s">
        <v>79</v>
      </c>
      <c r="C406">
        <v>4</v>
      </c>
      <c r="D406" s="1">
        <v>41883</v>
      </c>
      <c r="E406" s="1">
        <v>41911</v>
      </c>
      <c r="F406" s="1">
        <v>41890</v>
      </c>
      <c r="G406">
        <v>2</v>
      </c>
      <c r="H406">
        <v>7.14</v>
      </c>
      <c r="I406">
        <f t="shared" si="6"/>
        <v>2014</v>
      </c>
    </row>
    <row r="407" spans="1:9" x14ac:dyDescent="0.25">
      <c r="A407">
        <v>10653</v>
      </c>
      <c r="B407" t="s">
        <v>25</v>
      </c>
      <c r="C407">
        <v>1</v>
      </c>
      <c r="D407" s="1">
        <v>41884</v>
      </c>
      <c r="E407" s="1">
        <v>41912</v>
      </c>
      <c r="F407" s="1">
        <v>41901</v>
      </c>
      <c r="G407">
        <v>1</v>
      </c>
      <c r="H407">
        <v>93.25</v>
      </c>
      <c r="I407">
        <f t="shared" si="6"/>
        <v>2014</v>
      </c>
    </row>
    <row r="408" spans="1:9" x14ac:dyDescent="0.25">
      <c r="A408">
        <v>10654</v>
      </c>
      <c r="B408" t="s">
        <v>33</v>
      </c>
      <c r="C408">
        <v>5</v>
      </c>
      <c r="D408" s="1">
        <v>41884</v>
      </c>
      <c r="E408" s="1">
        <v>41912</v>
      </c>
      <c r="F408" s="1">
        <v>41893</v>
      </c>
      <c r="G408">
        <v>1</v>
      </c>
      <c r="H408">
        <v>55.26</v>
      </c>
      <c r="I408">
        <f t="shared" si="6"/>
        <v>2014</v>
      </c>
    </row>
    <row r="409" spans="1:9" x14ac:dyDescent="0.25">
      <c r="A409">
        <v>10655</v>
      </c>
      <c r="B409" t="s">
        <v>38</v>
      </c>
      <c r="C409">
        <v>1</v>
      </c>
      <c r="D409" s="1">
        <v>41885</v>
      </c>
      <c r="E409" s="1">
        <v>41913</v>
      </c>
      <c r="F409" s="1">
        <v>41893</v>
      </c>
      <c r="G409">
        <v>2</v>
      </c>
      <c r="H409">
        <v>4.41</v>
      </c>
      <c r="I409">
        <f t="shared" si="6"/>
        <v>2014</v>
      </c>
    </row>
    <row r="410" spans="1:9" x14ac:dyDescent="0.25">
      <c r="A410">
        <v>10656</v>
      </c>
      <c r="B410" t="s">
        <v>87</v>
      </c>
      <c r="C410">
        <v>6</v>
      </c>
      <c r="D410" s="1">
        <v>41886</v>
      </c>
      <c r="E410" s="1">
        <v>41914</v>
      </c>
      <c r="F410" s="1">
        <v>41892</v>
      </c>
      <c r="G410">
        <v>1</v>
      </c>
      <c r="H410">
        <v>57.15</v>
      </c>
      <c r="I410">
        <f t="shared" si="6"/>
        <v>2014</v>
      </c>
    </row>
    <row r="411" spans="1:9" x14ac:dyDescent="0.25">
      <c r="A411">
        <v>10657</v>
      </c>
      <c r="B411" t="s">
        <v>53</v>
      </c>
      <c r="C411">
        <v>2</v>
      </c>
      <c r="D411" s="1">
        <v>41886</v>
      </c>
      <c r="E411" s="1">
        <v>41914</v>
      </c>
      <c r="F411" s="1">
        <v>41897</v>
      </c>
      <c r="G411">
        <v>2</v>
      </c>
      <c r="H411">
        <v>352.69</v>
      </c>
      <c r="I411">
        <f t="shared" si="6"/>
        <v>2014</v>
      </c>
    </row>
    <row r="412" spans="1:9" x14ac:dyDescent="0.25">
      <c r="A412">
        <v>10658</v>
      </c>
      <c r="B412" t="s">
        <v>29</v>
      </c>
      <c r="C412">
        <v>4</v>
      </c>
      <c r="D412" s="1">
        <v>41887</v>
      </c>
      <c r="E412" s="1">
        <v>41915</v>
      </c>
      <c r="F412" s="1">
        <v>41890</v>
      </c>
      <c r="G412">
        <v>1</v>
      </c>
      <c r="H412">
        <v>364.15</v>
      </c>
      <c r="I412">
        <f t="shared" si="6"/>
        <v>2014</v>
      </c>
    </row>
    <row r="413" spans="1:9" x14ac:dyDescent="0.25">
      <c r="A413">
        <v>10659</v>
      </c>
      <c r="B413" t="s">
        <v>70</v>
      </c>
      <c r="C413">
        <v>7</v>
      </c>
      <c r="D413" s="1">
        <v>41887</v>
      </c>
      <c r="E413" s="1">
        <v>41915</v>
      </c>
      <c r="F413" s="1">
        <v>41892</v>
      </c>
      <c r="G413">
        <v>2</v>
      </c>
      <c r="H413">
        <v>105.81</v>
      </c>
      <c r="I413">
        <f t="shared" si="6"/>
        <v>2014</v>
      </c>
    </row>
    <row r="414" spans="1:9" x14ac:dyDescent="0.25">
      <c r="A414">
        <v>10660</v>
      </c>
      <c r="B414" t="s">
        <v>72</v>
      </c>
      <c r="C414">
        <v>8</v>
      </c>
      <c r="D414" s="1">
        <v>41890</v>
      </c>
      <c r="E414" s="1">
        <v>41918</v>
      </c>
      <c r="F414" s="1">
        <v>41927</v>
      </c>
      <c r="G414">
        <v>1</v>
      </c>
      <c r="H414">
        <v>111.29</v>
      </c>
      <c r="I414">
        <f t="shared" si="6"/>
        <v>2014</v>
      </c>
    </row>
    <row r="415" spans="1:9" x14ac:dyDescent="0.25">
      <c r="A415">
        <v>10661</v>
      </c>
      <c r="B415" t="s">
        <v>42</v>
      </c>
      <c r="C415">
        <v>7</v>
      </c>
      <c r="D415" s="1">
        <v>41891</v>
      </c>
      <c r="E415" s="1">
        <v>41919</v>
      </c>
      <c r="F415" s="1">
        <v>41897</v>
      </c>
      <c r="G415">
        <v>3</v>
      </c>
      <c r="H415">
        <v>17.55</v>
      </c>
      <c r="I415">
        <f t="shared" si="6"/>
        <v>2014</v>
      </c>
    </row>
    <row r="416" spans="1:9" x14ac:dyDescent="0.25">
      <c r="A416">
        <v>10662</v>
      </c>
      <c r="B416" t="s">
        <v>46</v>
      </c>
      <c r="C416">
        <v>3</v>
      </c>
      <c r="D416" s="1">
        <v>41891</v>
      </c>
      <c r="E416" s="1">
        <v>41919</v>
      </c>
      <c r="F416" s="1">
        <v>41900</v>
      </c>
      <c r="G416">
        <v>2</v>
      </c>
      <c r="H416">
        <v>1.28</v>
      </c>
      <c r="I416">
        <f t="shared" si="6"/>
        <v>2014</v>
      </c>
    </row>
    <row r="417" spans="1:9" x14ac:dyDescent="0.25">
      <c r="A417">
        <v>10663</v>
      </c>
      <c r="B417" t="s">
        <v>56</v>
      </c>
      <c r="C417">
        <v>2</v>
      </c>
      <c r="D417" s="1">
        <v>41892</v>
      </c>
      <c r="E417" s="1">
        <v>41906</v>
      </c>
      <c r="F417" s="1">
        <v>41915</v>
      </c>
      <c r="G417">
        <v>2</v>
      </c>
      <c r="H417">
        <v>113.15</v>
      </c>
      <c r="I417">
        <f t="shared" si="6"/>
        <v>2014</v>
      </c>
    </row>
    <row r="418" spans="1:9" x14ac:dyDescent="0.25">
      <c r="A418">
        <v>10664</v>
      </c>
      <c r="B418" t="s">
        <v>55</v>
      </c>
      <c r="C418">
        <v>1</v>
      </c>
      <c r="D418" s="1">
        <v>41892</v>
      </c>
      <c r="E418" s="1">
        <v>41920</v>
      </c>
      <c r="F418" s="1">
        <v>41901</v>
      </c>
      <c r="G418">
        <v>3</v>
      </c>
      <c r="H418">
        <v>1.27</v>
      </c>
      <c r="I418">
        <f t="shared" si="6"/>
        <v>2014</v>
      </c>
    </row>
    <row r="419" spans="1:9" x14ac:dyDescent="0.25">
      <c r="A419">
        <v>10665</v>
      </c>
      <c r="B419" t="s">
        <v>46</v>
      </c>
      <c r="C419">
        <v>1</v>
      </c>
      <c r="D419" s="1">
        <v>41893</v>
      </c>
      <c r="E419" s="1">
        <v>41921</v>
      </c>
      <c r="F419" s="1">
        <v>41899</v>
      </c>
      <c r="G419">
        <v>2</v>
      </c>
      <c r="H419">
        <v>26.31</v>
      </c>
      <c r="I419">
        <f t="shared" si="6"/>
        <v>2014</v>
      </c>
    </row>
    <row r="420" spans="1:9" x14ac:dyDescent="0.25">
      <c r="A420">
        <v>10666</v>
      </c>
      <c r="B420" t="s">
        <v>14</v>
      </c>
      <c r="C420">
        <v>7</v>
      </c>
      <c r="D420" s="1">
        <v>41894</v>
      </c>
      <c r="E420" s="1">
        <v>41922</v>
      </c>
      <c r="F420" s="1">
        <v>41904</v>
      </c>
      <c r="G420">
        <v>2</v>
      </c>
      <c r="H420">
        <v>232.42</v>
      </c>
      <c r="I420">
        <f t="shared" si="6"/>
        <v>2014</v>
      </c>
    </row>
    <row r="421" spans="1:9" x14ac:dyDescent="0.25">
      <c r="A421">
        <v>10667</v>
      </c>
      <c r="B421" t="s">
        <v>17</v>
      </c>
      <c r="C421">
        <v>7</v>
      </c>
      <c r="D421" s="1">
        <v>41894</v>
      </c>
      <c r="E421" s="1">
        <v>41922</v>
      </c>
      <c r="F421" s="1">
        <v>41901</v>
      </c>
      <c r="G421">
        <v>1</v>
      </c>
      <c r="H421">
        <v>78.09</v>
      </c>
      <c r="I421">
        <f t="shared" si="6"/>
        <v>2014</v>
      </c>
    </row>
    <row r="422" spans="1:9" x14ac:dyDescent="0.25">
      <c r="A422">
        <v>10668</v>
      </c>
      <c r="B422" t="s">
        <v>43</v>
      </c>
      <c r="C422">
        <v>1</v>
      </c>
      <c r="D422" s="1">
        <v>41897</v>
      </c>
      <c r="E422" s="1">
        <v>41925</v>
      </c>
      <c r="F422" s="1">
        <v>41905</v>
      </c>
      <c r="G422">
        <v>2</v>
      </c>
      <c r="H422">
        <v>47.22</v>
      </c>
      <c r="I422">
        <f t="shared" si="6"/>
        <v>2014</v>
      </c>
    </row>
    <row r="423" spans="1:9" x14ac:dyDescent="0.25">
      <c r="A423">
        <v>10669</v>
      </c>
      <c r="B423" t="s">
        <v>59</v>
      </c>
      <c r="C423">
        <v>2</v>
      </c>
      <c r="D423" s="1">
        <v>41897</v>
      </c>
      <c r="E423" s="1">
        <v>41925</v>
      </c>
      <c r="F423" s="1">
        <v>41904</v>
      </c>
      <c r="G423">
        <v>1</v>
      </c>
      <c r="H423">
        <v>24.39</v>
      </c>
      <c r="I423">
        <f t="shared" si="6"/>
        <v>2014</v>
      </c>
    </row>
    <row r="424" spans="1:9" x14ac:dyDescent="0.25">
      <c r="A424">
        <v>10670</v>
      </c>
      <c r="B424" t="s">
        <v>25</v>
      </c>
      <c r="C424">
        <v>4</v>
      </c>
      <c r="D424" s="1">
        <v>41898</v>
      </c>
      <c r="E424" s="1">
        <v>41926</v>
      </c>
      <c r="F424" s="1">
        <v>41900</v>
      </c>
      <c r="G424">
        <v>1</v>
      </c>
      <c r="H424">
        <v>203.48</v>
      </c>
      <c r="I424">
        <f t="shared" si="6"/>
        <v>2014</v>
      </c>
    </row>
    <row r="425" spans="1:9" x14ac:dyDescent="0.25">
      <c r="A425">
        <v>10671</v>
      </c>
      <c r="B425" t="s">
        <v>94</v>
      </c>
      <c r="C425">
        <v>1</v>
      </c>
      <c r="D425" s="1">
        <v>41899</v>
      </c>
      <c r="E425" s="1">
        <v>41927</v>
      </c>
      <c r="F425" s="1">
        <v>41906</v>
      </c>
      <c r="G425">
        <v>1</v>
      </c>
      <c r="H425">
        <v>30.34</v>
      </c>
      <c r="I425">
        <f t="shared" si="6"/>
        <v>2014</v>
      </c>
    </row>
    <row r="426" spans="1:9" x14ac:dyDescent="0.25">
      <c r="A426">
        <v>10672</v>
      </c>
      <c r="B426" t="s">
        <v>33</v>
      </c>
      <c r="C426">
        <v>9</v>
      </c>
      <c r="D426" s="1">
        <v>41899</v>
      </c>
      <c r="E426" s="1">
        <v>41913</v>
      </c>
      <c r="F426" s="1">
        <v>41908</v>
      </c>
      <c r="G426">
        <v>2</v>
      </c>
      <c r="H426">
        <v>95.75</v>
      </c>
      <c r="I426">
        <f t="shared" si="6"/>
        <v>2014</v>
      </c>
    </row>
    <row r="427" spans="1:9" x14ac:dyDescent="0.25">
      <c r="A427">
        <v>10673</v>
      </c>
      <c r="B427" t="s">
        <v>91</v>
      </c>
      <c r="C427">
        <v>2</v>
      </c>
      <c r="D427" s="1">
        <v>41900</v>
      </c>
      <c r="E427" s="1">
        <v>41928</v>
      </c>
      <c r="F427" s="1">
        <v>41901</v>
      </c>
      <c r="G427">
        <v>1</v>
      </c>
      <c r="H427">
        <v>22.76</v>
      </c>
      <c r="I427">
        <f t="shared" si="6"/>
        <v>2014</v>
      </c>
    </row>
    <row r="428" spans="1:9" x14ac:dyDescent="0.25">
      <c r="A428">
        <v>10674</v>
      </c>
      <c r="B428" t="s">
        <v>50</v>
      </c>
      <c r="C428">
        <v>4</v>
      </c>
      <c r="D428" s="1">
        <v>41900</v>
      </c>
      <c r="E428" s="1">
        <v>41928</v>
      </c>
      <c r="F428" s="1">
        <v>41912</v>
      </c>
      <c r="G428">
        <v>2</v>
      </c>
      <c r="H428">
        <v>0.9</v>
      </c>
      <c r="I428">
        <f t="shared" si="6"/>
        <v>2014</v>
      </c>
    </row>
    <row r="429" spans="1:9" x14ac:dyDescent="0.25">
      <c r="A429">
        <v>10675</v>
      </c>
      <c r="B429" t="s">
        <v>25</v>
      </c>
      <c r="C429">
        <v>5</v>
      </c>
      <c r="D429" s="1">
        <v>41901</v>
      </c>
      <c r="E429" s="1">
        <v>41929</v>
      </c>
      <c r="F429" s="1">
        <v>41905</v>
      </c>
      <c r="G429">
        <v>2</v>
      </c>
      <c r="H429">
        <v>31.85</v>
      </c>
      <c r="I429">
        <f t="shared" si="6"/>
        <v>2014</v>
      </c>
    </row>
    <row r="430" spans="1:9" x14ac:dyDescent="0.25">
      <c r="A430">
        <v>10676</v>
      </c>
      <c r="B430" t="s">
        <v>31</v>
      </c>
      <c r="C430">
        <v>2</v>
      </c>
      <c r="D430" s="1">
        <v>41904</v>
      </c>
      <c r="E430" s="1">
        <v>41932</v>
      </c>
      <c r="F430" s="1">
        <v>41911</v>
      </c>
      <c r="G430">
        <v>2</v>
      </c>
      <c r="H430">
        <v>2.0099999999999998</v>
      </c>
      <c r="I430">
        <f t="shared" si="6"/>
        <v>2014</v>
      </c>
    </row>
    <row r="431" spans="1:9" x14ac:dyDescent="0.25">
      <c r="A431">
        <v>10677</v>
      </c>
      <c r="B431" t="s">
        <v>67</v>
      </c>
      <c r="C431">
        <v>1</v>
      </c>
      <c r="D431" s="1">
        <v>41904</v>
      </c>
      <c r="E431" s="1">
        <v>41932</v>
      </c>
      <c r="F431" s="1">
        <v>41908</v>
      </c>
      <c r="G431">
        <v>3</v>
      </c>
      <c r="H431">
        <v>4.03</v>
      </c>
      <c r="I431">
        <f t="shared" si="6"/>
        <v>2014</v>
      </c>
    </row>
    <row r="432" spans="1:9" x14ac:dyDescent="0.25">
      <c r="A432">
        <v>10678</v>
      </c>
      <c r="B432" t="s">
        <v>53</v>
      </c>
      <c r="C432">
        <v>7</v>
      </c>
      <c r="D432" s="1">
        <v>41905</v>
      </c>
      <c r="E432" s="1">
        <v>41933</v>
      </c>
      <c r="F432" s="1">
        <v>41928</v>
      </c>
      <c r="G432">
        <v>3</v>
      </c>
      <c r="H432">
        <v>388.98</v>
      </c>
      <c r="I432">
        <f t="shared" si="6"/>
        <v>2014</v>
      </c>
    </row>
    <row r="433" spans="1:9" x14ac:dyDescent="0.25">
      <c r="A433">
        <v>10679</v>
      </c>
      <c r="B433" t="s">
        <v>23</v>
      </c>
      <c r="C433">
        <v>8</v>
      </c>
      <c r="D433" s="1">
        <v>41905</v>
      </c>
      <c r="E433" s="1">
        <v>41933</v>
      </c>
      <c r="F433" s="1">
        <v>41912</v>
      </c>
      <c r="G433">
        <v>3</v>
      </c>
      <c r="H433">
        <v>27.94</v>
      </c>
      <c r="I433">
        <f t="shared" si="6"/>
        <v>2014</v>
      </c>
    </row>
    <row r="434" spans="1:9" x14ac:dyDescent="0.25">
      <c r="A434">
        <v>10680</v>
      </c>
      <c r="B434" t="s">
        <v>45</v>
      </c>
      <c r="C434">
        <v>1</v>
      </c>
      <c r="D434" s="1">
        <v>41906</v>
      </c>
      <c r="E434" s="1">
        <v>41934</v>
      </c>
      <c r="F434" s="1">
        <v>41908</v>
      </c>
      <c r="G434">
        <v>1</v>
      </c>
      <c r="H434">
        <v>26.61</v>
      </c>
      <c r="I434">
        <f t="shared" si="6"/>
        <v>2014</v>
      </c>
    </row>
    <row r="435" spans="1:9" x14ac:dyDescent="0.25">
      <c r="A435">
        <v>10681</v>
      </c>
      <c r="B435" t="s">
        <v>87</v>
      </c>
      <c r="C435">
        <v>3</v>
      </c>
      <c r="D435" s="1">
        <v>41907</v>
      </c>
      <c r="E435" s="1">
        <v>41935</v>
      </c>
      <c r="F435" s="1">
        <v>41912</v>
      </c>
      <c r="G435">
        <v>3</v>
      </c>
      <c r="H435">
        <v>76.13</v>
      </c>
      <c r="I435">
        <f t="shared" si="6"/>
        <v>2014</v>
      </c>
    </row>
    <row r="436" spans="1:9" x14ac:dyDescent="0.25">
      <c r="A436">
        <v>10682</v>
      </c>
      <c r="B436" t="s">
        <v>67</v>
      </c>
      <c r="C436">
        <v>3</v>
      </c>
      <c r="D436" s="1">
        <v>41907</v>
      </c>
      <c r="E436" s="1">
        <v>41935</v>
      </c>
      <c r="F436" s="1">
        <v>41913</v>
      </c>
      <c r="G436">
        <v>2</v>
      </c>
      <c r="H436">
        <v>36.130000000000003</v>
      </c>
      <c r="I436">
        <f t="shared" si="6"/>
        <v>2014</v>
      </c>
    </row>
    <row r="437" spans="1:9" x14ac:dyDescent="0.25">
      <c r="A437">
        <v>10683</v>
      </c>
      <c r="B437" t="s">
        <v>49</v>
      </c>
      <c r="C437">
        <v>2</v>
      </c>
      <c r="D437" s="1">
        <v>41908</v>
      </c>
      <c r="E437" s="1">
        <v>41936</v>
      </c>
      <c r="F437" s="1">
        <v>41913</v>
      </c>
      <c r="G437">
        <v>1</v>
      </c>
      <c r="H437">
        <v>4.4000000000000004</v>
      </c>
      <c r="I437">
        <f t="shared" si="6"/>
        <v>2014</v>
      </c>
    </row>
    <row r="438" spans="1:9" x14ac:dyDescent="0.25">
      <c r="A438">
        <v>10684</v>
      </c>
      <c r="B438" t="s">
        <v>19</v>
      </c>
      <c r="C438">
        <v>3</v>
      </c>
      <c r="D438" s="1">
        <v>41908</v>
      </c>
      <c r="E438" s="1">
        <v>41936</v>
      </c>
      <c r="F438" s="1">
        <v>41912</v>
      </c>
      <c r="G438">
        <v>1</v>
      </c>
      <c r="H438">
        <v>145.63</v>
      </c>
      <c r="I438">
        <f t="shared" si="6"/>
        <v>2014</v>
      </c>
    </row>
    <row r="439" spans="1:9" x14ac:dyDescent="0.25">
      <c r="A439">
        <v>10685</v>
      </c>
      <c r="B439" t="s">
        <v>79</v>
      </c>
      <c r="C439">
        <v>4</v>
      </c>
      <c r="D439" s="1">
        <v>41911</v>
      </c>
      <c r="E439" s="1">
        <v>41925</v>
      </c>
      <c r="F439" s="1">
        <v>41915</v>
      </c>
      <c r="G439">
        <v>2</v>
      </c>
      <c r="H439">
        <v>33.75</v>
      </c>
      <c r="I439">
        <f t="shared" si="6"/>
        <v>2014</v>
      </c>
    </row>
    <row r="440" spans="1:9" x14ac:dyDescent="0.25">
      <c r="A440">
        <v>10686</v>
      </c>
      <c r="B440" t="s">
        <v>62</v>
      </c>
      <c r="C440">
        <v>2</v>
      </c>
      <c r="D440" s="1">
        <v>41912</v>
      </c>
      <c r="E440" s="1">
        <v>41940</v>
      </c>
      <c r="F440" s="1">
        <v>41920</v>
      </c>
      <c r="G440">
        <v>1</v>
      </c>
      <c r="H440">
        <v>96.5</v>
      </c>
      <c r="I440">
        <f t="shared" si="6"/>
        <v>2014</v>
      </c>
    </row>
    <row r="441" spans="1:9" x14ac:dyDescent="0.25">
      <c r="A441">
        <v>10687</v>
      </c>
      <c r="B441" t="s">
        <v>42</v>
      </c>
      <c r="C441">
        <v>9</v>
      </c>
      <c r="D441" s="1">
        <v>41912</v>
      </c>
      <c r="E441" s="1">
        <v>41940</v>
      </c>
      <c r="F441" s="1">
        <v>41942</v>
      </c>
      <c r="G441">
        <v>2</v>
      </c>
      <c r="H441">
        <v>296.43</v>
      </c>
      <c r="I441">
        <f t="shared" si="6"/>
        <v>2014</v>
      </c>
    </row>
    <row r="442" spans="1:9" x14ac:dyDescent="0.25">
      <c r="A442">
        <v>10688</v>
      </c>
      <c r="B442" t="s">
        <v>69</v>
      </c>
      <c r="C442">
        <v>4</v>
      </c>
      <c r="D442" s="1">
        <v>41913</v>
      </c>
      <c r="E442" s="1">
        <v>41927</v>
      </c>
      <c r="F442" s="1">
        <v>41919</v>
      </c>
      <c r="G442">
        <v>2</v>
      </c>
      <c r="H442">
        <v>299.08999999999997</v>
      </c>
      <c r="I442">
        <f t="shared" si="6"/>
        <v>2014</v>
      </c>
    </row>
    <row r="443" spans="1:9" x14ac:dyDescent="0.25">
      <c r="A443">
        <v>10689</v>
      </c>
      <c r="B443" t="s">
        <v>33</v>
      </c>
      <c r="C443">
        <v>1</v>
      </c>
      <c r="D443" s="1">
        <v>41913</v>
      </c>
      <c r="E443" s="1">
        <v>41941</v>
      </c>
      <c r="F443" s="1">
        <v>41919</v>
      </c>
      <c r="G443">
        <v>2</v>
      </c>
      <c r="H443">
        <v>13.42</v>
      </c>
      <c r="I443">
        <f t="shared" si="6"/>
        <v>2014</v>
      </c>
    </row>
    <row r="444" spans="1:9" x14ac:dyDescent="0.25">
      <c r="A444">
        <v>10690</v>
      </c>
      <c r="B444" t="s">
        <v>10</v>
      </c>
      <c r="C444">
        <v>1</v>
      </c>
      <c r="D444" s="1">
        <v>41914</v>
      </c>
      <c r="E444" s="1">
        <v>41942</v>
      </c>
      <c r="F444" s="1">
        <v>41915</v>
      </c>
      <c r="G444">
        <v>1</v>
      </c>
      <c r="H444">
        <v>15.8</v>
      </c>
      <c r="I444">
        <f t="shared" si="6"/>
        <v>2014</v>
      </c>
    </row>
    <row r="445" spans="1:9" x14ac:dyDescent="0.25">
      <c r="A445">
        <v>10691</v>
      </c>
      <c r="B445" t="s">
        <v>29</v>
      </c>
      <c r="C445">
        <v>2</v>
      </c>
      <c r="D445" s="1">
        <v>41915</v>
      </c>
      <c r="E445" s="1">
        <v>41957</v>
      </c>
      <c r="F445" s="1">
        <v>41934</v>
      </c>
      <c r="G445">
        <v>2</v>
      </c>
      <c r="H445">
        <v>810.05</v>
      </c>
      <c r="I445">
        <f t="shared" si="6"/>
        <v>2014</v>
      </c>
    </row>
    <row r="446" spans="1:9" x14ac:dyDescent="0.25">
      <c r="A446">
        <v>10692</v>
      </c>
      <c r="B446" t="s">
        <v>93</v>
      </c>
      <c r="C446">
        <v>4</v>
      </c>
      <c r="D446" s="1">
        <v>41915</v>
      </c>
      <c r="E446" s="1">
        <v>41943</v>
      </c>
      <c r="F446" s="1">
        <v>41925</v>
      </c>
      <c r="G446">
        <v>2</v>
      </c>
      <c r="H446">
        <v>61.02</v>
      </c>
      <c r="I446">
        <f t="shared" si="6"/>
        <v>2014</v>
      </c>
    </row>
    <row r="447" spans="1:9" x14ac:dyDescent="0.25">
      <c r="A447">
        <v>10693</v>
      </c>
      <c r="B447" t="s">
        <v>27</v>
      </c>
      <c r="C447">
        <v>3</v>
      </c>
      <c r="D447" s="1">
        <v>41918</v>
      </c>
      <c r="E447" s="1">
        <v>41932</v>
      </c>
      <c r="F447" s="1">
        <v>41922</v>
      </c>
      <c r="G447">
        <v>3</v>
      </c>
      <c r="H447">
        <v>139.34</v>
      </c>
      <c r="I447">
        <f t="shared" si="6"/>
        <v>2014</v>
      </c>
    </row>
    <row r="448" spans="1:9" x14ac:dyDescent="0.25">
      <c r="A448">
        <v>10694</v>
      </c>
      <c r="B448" t="s">
        <v>29</v>
      </c>
      <c r="C448">
        <v>8</v>
      </c>
      <c r="D448" s="1">
        <v>41918</v>
      </c>
      <c r="E448" s="1">
        <v>41946</v>
      </c>
      <c r="F448" s="1">
        <v>41921</v>
      </c>
      <c r="G448">
        <v>3</v>
      </c>
      <c r="H448">
        <v>398.36</v>
      </c>
      <c r="I448">
        <f t="shared" si="6"/>
        <v>2014</v>
      </c>
    </row>
    <row r="449" spans="1:9" x14ac:dyDescent="0.25">
      <c r="A449">
        <v>10695</v>
      </c>
      <c r="B449" t="s">
        <v>91</v>
      </c>
      <c r="C449">
        <v>7</v>
      </c>
      <c r="D449" s="1">
        <v>41919</v>
      </c>
      <c r="E449" s="1">
        <v>41961</v>
      </c>
      <c r="F449" s="1">
        <v>41926</v>
      </c>
      <c r="G449">
        <v>1</v>
      </c>
      <c r="H449">
        <v>16.72</v>
      </c>
      <c r="I449">
        <f t="shared" si="6"/>
        <v>2014</v>
      </c>
    </row>
    <row r="450" spans="1:9" x14ac:dyDescent="0.25">
      <c r="A450">
        <v>10696</v>
      </c>
      <c r="B450" t="s">
        <v>27</v>
      </c>
      <c r="C450">
        <v>8</v>
      </c>
      <c r="D450" s="1">
        <v>41920</v>
      </c>
      <c r="E450" s="1">
        <v>41962</v>
      </c>
      <c r="F450" s="1">
        <v>41926</v>
      </c>
      <c r="G450">
        <v>3</v>
      </c>
      <c r="H450">
        <v>102.55</v>
      </c>
      <c r="I450">
        <f t="shared" si="6"/>
        <v>2014</v>
      </c>
    </row>
    <row r="451" spans="1:9" x14ac:dyDescent="0.25">
      <c r="A451">
        <v>10697</v>
      </c>
      <c r="B451" t="s">
        <v>75</v>
      </c>
      <c r="C451">
        <v>3</v>
      </c>
      <c r="D451" s="1">
        <v>41920</v>
      </c>
      <c r="E451" s="1">
        <v>41948</v>
      </c>
      <c r="F451" s="1">
        <v>41926</v>
      </c>
      <c r="G451">
        <v>1</v>
      </c>
      <c r="H451">
        <v>45.52</v>
      </c>
      <c r="I451">
        <f t="shared" ref="I451:I514" si="7">YEAR(D451)</f>
        <v>2014</v>
      </c>
    </row>
    <row r="452" spans="1:9" x14ac:dyDescent="0.25">
      <c r="A452">
        <v>10698</v>
      </c>
      <c r="B452" t="s">
        <v>17</v>
      </c>
      <c r="C452">
        <v>4</v>
      </c>
      <c r="D452" s="1">
        <v>41921</v>
      </c>
      <c r="E452" s="1">
        <v>41949</v>
      </c>
      <c r="F452" s="1">
        <v>41929</v>
      </c>
      <c r="G452">
        <v>1</v>
      </c>
      <c r="H452">
        <v>272.47000000000003</v>
      </c>
      <c r="I452">
        <f t="shared" si="7"/>
        <v>2014</v>
      </c>
    </row>
    <row r="453" spans="1:9" x14ac:dyDescent="0.25">
      <c r="A453">
        <v>10699</v>
      </c>
      <c r="B453" t="s">
        <v>32</v>
      </c>
      <c r="C453">
        <v>3</v>
      </c>
      <c r="D453" s="1">
        <v>41921</v>
      </c>
      <c r="E453" s="1">
        <v>41949</v>
      </c>
      <c r="F453" s="1">
        <v>41925</v>
      </c>
      <c r="G453">
        <v>3</v>
      </c>
      <c r="H453">
        <v>0.57999999999999996</v>
      </c>
      <c r="I453">
        <f t="shared" si="7"/>
        <v>2014</v>
      </c>
    </row>
    <row r="454" spans="1:9" x14ac:dyDescent="0.25">
      <c r="A454">
        <v>10700</v>
      </c>
      <c r="B454" t="s">
        <v>53</v>
      </c>
      <c r="C454">
        <v>3</v>
      </c>
      <c r="D454" s="1">
        <v>41922</v>
      </c>
      <c r="E454" s="1">
        <v>41950</v>
      </c>
      <c r="F454" s="1">
        <v>41928</v>
      </c>
      <c r="G454">
        <v>1</v>
      </c>
      <c r="H454">
        <v>65.099999999999994</v>
      </c>
      <c r="I454">
        <f t="shared" si="7"/>
        <v>2014</v>
      </c>
    </row>
    <row r="455" spans="1:9" x14ac:dyDescent="0.25">
      <c r="A455">
        <v>10701</v>
      </c>
      <c r="B455" t="s">
        <v>42</v>
      </c>
      <c r="C455">
        <v>6</v>
      </c>
      <c r="D455" s="1">
        <v>41925</v>
      </c>
      <c r="E455" s="1">
        <v>41939</v>
      </c>
      <c r="F455" s="1">
        <v>41927</v>
      </c>
      <c r="G455">
        <v>3</v>
      </c>
      <c r="H455">
        <v>220.31</v>
      </c>
      <c r="I455">
        <f t="shared" si="7"/>
        <v>2014</v>
      </c>
    </row>
    <row r="456" spans="1:9" x14ac:dyDescent="0.25">
      <c r="A456">
        <v>10702</v>
      </c>
      <c r="B456" t="s">
        <v>93</v>
      </c>
      <c r="C456">
        <v>4</v>
      </c>
      <c r="D456" s="1">
        <v>41925</v>
      </c>
      <c r="E456" s="1">
        <v>41967</v>
      </c>
      <c r="F456" s="1">
        <v>41933</v>
      </c>
      <c r="G456">
        <v>1</v>
      </c>
      <c r="H456">
        <v>23.94</v>
      </c>
      <c r="I456">
        <f t="shared" si="7"/>
        <v>2014</v>
      </c>
    </row>
    <row r="457" spans="1:9" x14ac:dyDescent="0.25">
      <c r="A457">
        <v>10703</v>
      </c>
      <c r="B457" t="s">
        <v>22</v>
      </c>
      <c r="C457">
        <v>6</v>
      </c>
      <c r="D457" s="1">
        <v>41926</v>
      </c>
      <c r="E457" s="1">
        <v>41954</v>
      </c>
      <c r="F457" s="1">
        <v>41932</v>
      </c>
      <c r="G457">
        <v>2</v>
      </c>
      <c r="H457">
        <v>152.30000000000001</v>
      </c>
      <c r="I457">
        <f t="shared" si="7"/>
        <v>2014</v>
      </c>
    </row>
    <row r="458" spans="1:9" x14ac:dyDescent="0.25">
      <c r="A458">
        <v>10704</v>
      </c>
      <c r="B458" t="s">
        <v>70</v>
      </c>
      <c r="C458">
        <v>6</v>
      </c>
      <c r="D458" s="1">
        <v>41926</v>
      </c>
      <c r="E458" s="1">
        <v>41954</v>
      </c>
      <c r="F458" s="1">
        <v>41950</v>
      </c>
      <c r="G458">
        <v>1</v>
      </c>
      <c r="H458">
        <v>4.78</v>
      </c>
      <c r="I458">
        <f t="shared" si="7"/>
        <v>2014</v>
      </c>
    </row>
    <row r="459" spans="1:9" x14ac:dyDescent="0.25">
      <c r="A459">
        <v>10705</v>
      </c>
      <c r="B459" t="s">
        <v>16</v>
      </c>
      <c r="C459">
        <v>9</v>
      </c>
      <c r="D459" s="1">
        <v>41927</v>
      </c>
      <c r="E459" s="1">
        <v>41955</v>
      </c>
      <c r="F459" s="1">
        <v>41961</v>
      </c>
      <c r="G459">
        <v>2</v>
      </c>
      <c r="H459">
        <v>3.52</v>
      </c>
      <c r="I459">
        <f t="shared" si="7"/>
        <v>2014</v>
      </c>
    </row>
    <row r="460" spans="1:9" x14ac:dyDescent="0.25">
      <c r="A460">
        <v>10706</v>
      </c>
      <c r="B460" t="s">
        <v>45</v>
      </c>
      <c r="C460">
        <v>8</v>
      </c>
      <c r="D460" s="1">
        <v>41928</v>
      </c>
      <c r="E460" s="1">
        <v>41956</v>
      </c>
      <c r="F460" s="1">
        <v>41933</v>
      </c>
      <c r="G460">
        <v>3</v>
      </c>
      <c r="H460">
        <v>135.63</v>
      </c>
      <c r="I460">
        <f t="shared" si="7"/>
        <v>2014</v>
      </c>
    </row>
    <row r="461" spans="1:9" x14ac:dyDescent="0.25">
      <c r="A461">
        <v>10707</v>
      </c>
      <c r="B461" t="s">
        <v>63</v>
      </c>
      <c r="C461">
        <v>4</v>
      </c>
      <c r="D461" s="1">
        <v>41928</v>
      </c>
      <c r="E461" s="1">
        <v>41942</v>
      </c>
      <c r="F461" s="1">
        <v>41935</v>
      </c>
      <c r="G461">
        <v>3</v>
      </c>
      <c r="H461">
        <v>21.74</v>
      </c>
      <c r="I461">
        <f t="shared" si="7"/>
        <v>2014</v>
      </c>
    </row>
    <row r="462" spans="1:9" x14ac:dyDescent="0.25">
      <c r="A462">
        <v>10708</v>
      </c>
      <c r="B462" t="s">
        <v>48</v>
      </c>
      <c r="C462">
        <v>6</v>
      </c>
      <c r="D462" s="1">
        <v>41929</v>
      </c>
      <c r="E462" s="1">
        <v>41971</v>
      </c>
      <c r="F462" s="1">
        <v>41948</v>
      </c>
      <c r="G462">
        <v>2</v>
      </c>
      <c r="H462">
        <v>2.96</v>
      </c>
      <c r="I462">
        <f t="shared" si="7"/>
        <v>2014</v>
      </c>
    </row>
    <row r="463" spans="1:9" x14ac:dyDescent="0.25">
      <c r="A463">
        <v>10709</v>
      </c>
      <c r="B463" t="s">
        <v>79</v>
      </c>
      <c r="C463">
        <v>1</v>
      </c>
      <c r="D463" s="1">
        <v>41929</v>
      </c>
      <c r="E463" s="1">
        <v>41957</v>
      </c>
      <c r="F463" s="1">
        <v>41963</v>
      </c>
      <c r="G463">
        <v>3</v>
      </c>
      <c r="H463">
        <v>210.8</v>
      </c>
      <c r="I463">
        <f t="shared" si="7"/>
        <v>2014</v>
      </c>
    </row>
    <row r="464" spans="1:9" x14ac:dyDescent="0.25">
      <c r="A464">
        <v>10710</v>
      </c>
      <c r="B464" t="s">
        <v>78</v>
      </c>
      <c r="C464">
        <v>1</v>
      </c>
      <c r="D464" s="1">
        <v>41932</v>
      </c>
      <c r="E464" s="1">
        <v>41960</v>
      </c>
      <c r="F464" s="1">
        <v>41935</v>
      </c>
      <c r="G464">
        <v>1</v>
      </c>
      <c r="H464">
        <v>4.9800000000000004</v>
      </c>
      <c r="I464">
        <f t="shared" si="7"/>
        <v>2014</v>
      </c>
    </row>
    <row r="465" spans="1:9" x14ac:dyDescent="0.25">
      <c r="A465">
        <v>10711</v>
      </c>
      <c r="B465" t="s">
        <v>53</v>
      </c>
      <c r="C465">
        <v>5</v>
      </c>
      <c r="D465" s="1">
        <v>41933</v>
      </c>
      <c r="E465" s="1">
        <v>41975</v>
      </c>
      <c r="F465" s="1">
        <v>41941</v>
      </c>
      <c r="G465">
        <v>2</v>
      </c>
      <c r="H465">
        <v>52.41</v>
      </c>
      <c r="I465">
        <f t="shared" si="7"/>
        <v>2014</v>
      </c>
    </row>
    <row r="466" spans="1:9" x14ac:dyDescent="0.25">
      <c r="A466">
        <v>10712</v>
      </c>
      <c r="B466" t="s">
        <v>42</v>
      </c>
      <c r="C466">
        <v>3</v>
      </c>
      <c r="D466" s="1">
        <v>41933</v>
      </c>
      <c r="E466" s="1">
        <v>41961</v>
      </c>
      <c r="F466" s="1">
        <v>41943</v>
      </c>
      <c r="G466">
        <v>1</v>
      </c>
      <c r="H466">
        <v>89.93</v>
      </c>
      <c r="I466">
        <f t="shared" si="7"/>
        <v>2014</v>
      </c>
    </row>
    <row r="467" spans="1:9" x14ac:dyDescent="0.25">
      <c r="A467">
        <v>10713</v>
      </c>
      <c r="B467" t="s">
        <v>53</v>
      </c>
      <c r="C467">
        <v>1</v>
      </c>
      <c r="D467" s="1">
        <v>41934</v>
      </c>
      <c r="E467" s="1">
        <v>41962</v>
      </c>
      <c r="F467" s="1">
        <v>41936</v>
      </c>
      <c r="G467">
        <v>1</v>
      </c>
      <c r="H467">
        <v>167.05</v>
      </c>
      <c r="I467">
        <f t="shared" si="7"/>
        <v>2014</v>
      </c>
    </row>
    <row r="468" spans="1:9" x14ac:dyDescent="0.25">
      <c r="A468">
        <v>10714</v>
      </c>
      <c r="B468" t="s">
        <v>53</v>
      </c>
      <c r="C468">
        <v>5</v>
      </c>
      <c r="D468" s="1">
        <v>41934</v>
      </c>
      <c r="E468" s="1">
        <v>41962</v>
      </c>
      <c r="F468" s="1">
        <v>41939</v>
      </c>
      <c r="G468">
        <v>3</v>
      </c>
      <c r="H468">
        <v>24.49</v>
      </c>
      <c r="I468">
        <f t="shared" si="7"/>
        <v>2014</v>
      </c>
    </row>
    <row r="469" spans="1:9" x14ac:dyDescent="0.25">
      <c r="A469">
        <v>10715</v>
      </c>
      <c r="B469" t="s">
        <v>56</v>
      </c>
      <c r="C469">
        <v>3</v>
      </c>
      <c r="D469" s="1">
        <v>41935</v>
      </c>
      <c r="E469" s="1">
        <v>41949</v>
      </c>
      <c r="F469" s="1">
        <v>41941</v>
      </c>
      <c r="G469">
        <v>1</v>
      </c>
      <c r="H469">
        <v>63.2</v>
      </c>
      <c r="I469">
        <f t="shared" si="7"/>
        <v>2014</v>
      </c>
    </row>
    <row r="470" spans="1:9" x14ac:dyDescent="0.25">
      <c r="A470">
        <v>10716</v>
      </c>
      <c r="B470" t="s">
        <v>81</v>
      </c>
      <c r="C470">
        <v>4</v>
      </c>
      <c r="D470" s="1">
        <v>41936</v>
      </c>
      <c r="E470" s="1">
        <v>41964</v>
      </c>
      <c r="F470" s="1">
        <v>41939</v>
      </c>
      <c r="G470">
        <v>2</v>
      </c>
      <c r="H470">
        <v>22.57</v>
      </c>
      <c r="I470">
        <f t="shared" si="7"/>
        <v>2014</v>
      </c>
    </row>
    <row r="471" spans="1:9" x14ac:dyDescent="0.25">
      <c r="A471">
        <v>10717</v>
      </c>
      <c r="B471" t="s">
        <v>25</v>
      </c>
      <c r="C471">
        <v>1</v>
      </c>
      <c r="D471" s="1">
        <v>41936</v>
      </c>
      <c r="E471" s="1">
        <v>41964</v>
      </c>
      <c r="F471" s="1">
        <v>41941</v>
      </c>
      <c r="G471">
        <v>2</v>
      </c>
      <c r="H471">
        <v>59.25</v>
      </c>
      <c r="I471">
        <f t="shared" si="7"/>
        <v>2014</v>
      </c>
    </row>
    <row r="472" spans="1:9" x14ac:dyDescent="0.25">
      <c r="A472">
        <v>10718</v>
      </c>
      <c r="B472" t="s">
        <v>52</v>
      </c>
      <c r="C472">
        <v>1</v>
      </c>
      <c r="D472" s="1">
        <v>41939</v>
      </c>
      <c r="E472" s="1">
        <v>41967</v>
      </c>
      <c r="F472" s="1">
        <v>41941</v>
      </c>
      <c r="G472">
        <v>3</v>
      </c>
      <c r="H472">
        <v>170.88</v>
      </c>
      <c r="I472">
        <f t="shared" si="7"/>
        <v>2014</v>
      </c>
    </row>
    <row r="473" spans="1:9" x14ac:dyDescent="0.25">
      <c r="A473">
        <v>10719</v>
      </c>
      <c r="B473" t="s">
        <v>90</v>
      </c>
      <c r="C473">
        <v>8</v>
      </c>
      <c r="D473" s="1">
        <v>41939</v>
      </c>
      <c r="E473" s="1">
        <v>41967</v>
      </c>
      <c r="F473" s="1">
        <v>41948</v>
      </c>
      <c r="G473">
        <v>2</v>
      </c>
      <c r="H473">
        <v>51.44</v>
      </c>
      <c r="I473">
        <f t="shared" si="7"/>
        <v>2014</v>
      </c>
    </row>
    <row r="474" spans="1:9" x14ac:dyDescent="0.25">
      <c r="A474">
        <v>10720</v>
      </c>
      <c r="B474" t="s">
        <v>20</v>
      </c>
      <c r="C474">
        <v>8</v>
      </c>
      <c r="D474" s="1">
        <v>41940</v>
      </c>
      <c r="E474" s="1">
        <v>41954</v>
      </c>
      <c r="F474" s="1">
        <v>41948</v>
      </c>
      <c r="G474">
        <v>2</v>
      </c>
      <c r="H474">
        <v>9.5299999999999994</v>
      </c>
      <c r="I474">
        <f t="shared" si="7"/>
        <v>2014</v>
      </c>
    </row>
    <row r="475" spans="1:9" x14ac:dyDescent="0.25">
      <c r="A475">
        <v>10721</v>
      </c>
      <c r="B475" t="s">
        <v>29</v>
      </c>
      <c r="C475">
        <v>5</v>
      </c>
      <c r="D475" s="1">
        <v>41941</v>
      </c>
      <c r="E475" s="1">
        <v>41969</v>
      </c>
      <c r="F475" s="1">
        <v>41943</v>
      </c>
      <c r="G475">
        <v>3</v>
      </c>
      <c r="H475">
        <v>48.92</v>
      </c>
      <c r="I475">
        <f t="shared" si="7"/>
        <v>2014</v>
      </c>
    </row>
    <row r="476" spans="1:9" x14ac:dyDescent="0.25">
      <c r="A476">
        <v>10722</v>
      </c>
      <c r="B476" t="s">
        <v>53</v>
      </c>
      <c r="C476">
        <v>8</v>
      </c>
      <c r="D476" s="1">
        <v>41941</v>
      </c>
      <c r="E476" s="1">
        <v>41983</v>
      </c>
      <c r="F476" s="1">
        <v>41947</v>
      </c>
      <c r="G476">
        <v>1</v>
      </c>
      <c r="H476">
        <v>74.58</v>
      </c>
      <c r="I476">
        <f t="shared" si="7"/>
        <v>2014</v>
      </c>
    </row>
    <row r="477" spans="1:9" x14ac:dyDescent="0.25">
      <c r="A477">
        <v>10723</v>
      </c>
      <c r="B477" t="s">
        <v>27</v>
      </c>
      <c r="C477">
        <v>3</v>
      </c>
      <c r="D477" s="1">
        <v>41942</v>
      </c>
      <c r="E477" s="1">
        <v>41970</v>
      </c>
      <c r="F477" s="1">
        <v>41968</v>
      </c>
      <c r="G477">
        <v>1</v>
      </c>
      <c r="H477">
        <v>21.72</v>
      </c>
      <c r="I477">
        <f t="shared" si="7"/>
        <v>2014</v>
      </c>
    </row>
    <row r="478" spans="1:9" x14ac:dyDescent="0.25">
      <c r="A478">
        <v>10724</v>
      </c>
      <c r="B478" t="s">
        <v>57</v>
      </c>
      <c r="C478">
        <v>8</v>
      </c>
      <c r="D478" s="1">
        <v>41942</v>
      </c>
      <c r="E478" s="1">
        <v>41984</v>
      </c>
      <c r="F478" s="1">
        <v>41948</v>
      </c>
      <c r="G478">
        <v>2</v>
      </c>
      <c r="H478">
        <v>57.75</v>
      </c>
      <c r="I478">
        <f t="shared" si="7"/>
        <v>2014</v>
      </c>
    </row>
    <row r="479" spans="1:9" x14ac:dyDescent="0.25">
      <c r="A479">
        <v>10725</v>
      </c>
      <c r="B479" t="s">
        <v>60</v>
      </c>
      <c r="C479">
        <v>4</v>
      </c>
      <c r="D479" s="1">
        <v>41943</v>
      </c>
      <c r="E479" s="1">
        <v>41971</v>
      </c>
      <c r="F479" s="1">
        <v>41948</v>
      </c>
      <c r="G479">
        <v>3</v>
      </c>
      <c r="H479">
        <v>10.83</v>
      </c>
      <c r="I479">
        <f t="shared" si="7"/>
        <v>2014</v>
      </c>
    </row>
    <row r="480" spans="1:9" x14ac:dyDescent="0.25">
      <c r="A480">
        <v>10726</v>
      </c>
      <c r="B480" t="s">
        <v>66</v>
      </c>
      <c r="C480">
        <v>4</v>
      </c>
      <c r="D480" s="1">
        <v>41946</v>
      </c>
      <c r="E480" s="1">
        <v>41960</v>
      </c>
      <c r="F480" s="1">
        <v>41978</v>
      </c>
      <c r="G480">
        <v>1</v>
      </c>
      <c r="H480">
        <v>16.559999999999999</v>
      </c>
      <c r="I480">
        <f t="shared" si="7"/>
        <v>2014</v>
      </c>
    </row>
    <row r="481" spans="1:9" x14ac:dyDescent="0.25">
      <c r="A481">
        <v>10727</v>
      </c>
      <c r="B481" t="s">
        <v>38</v>
      </c>
      <c r="C481">
        <v>2</v>
      </c>
      <c r="D481" s="1">
        <v>41946</v>
      </c>
      <c r="E481" s="1">
        <v>41974</v>
      </c>
      <c r="F481" s="1">
        <v>41978</v>
      </c>
      <c r="G481">
        <v>1</v>
      </c>
      <c r="H481">
        <v>89.9</v>
      </c>
      <c r="I481">
        <f t="shared" si="7"/>
        <v>2014</v>
      </c>
    </row>
    <row r="482" spans="1:9" x14ac:dyDescent="0.25">
      <c r="A482">
        <v>10728</v>
      </c>
      <c r="B482" t="s">
        <v>70</v>
      </c>
      <c r="C482">
        <v>4</v>
      </c>
      <c r="D482" s="1">
        <v>41947</v>
      </c>
      <c r="E482" s="1">
        <v>41975</v>
      </c>
      <c r="F482" s="1">
        <v>41954</v>
      </c>
      <c r="G482">
        <v>2</v>
      </c>
      <c r="H482">
        <v>58.33</v>
      </c>
      <c r="I482">
        <f t="shared" si="7"/>
        <v>2014</v>
      </c>
    </row>
    <row r="483" spans="1:9" x14ac:dyDescent="0.25">
      <c r="A483">
        <v>10729</v>
      </c>
      <c r="B483" t="s">
        <v>75</v>
      </c>
      <c r="C483">
        <v>8</v>
      </c>
      <c r="D483" s="1">
        <v>41947</v>
      </c>
      <c r="E483" s="1">
        <v>41989</v>
      </c>
      <c r="F483" s="1">
        <v>41957</v>
      </c>
      <c r="G483">
        <v>3</v>
      </c>
      <c r="H483">
        <v>141.06</v>
      </c>
      <c r="I483">
        <f t="shared" si="7"/>
        <v>2014</v>
      </c>
    </row>
    <row r="484" spans="1:9" x14ac:dyDescent="0.25">
      <c r="A484">
        <v>10730</v>
      </c>
      <c r="B484" t="s">
        <v>56</v>
      </c>
      <c r="C484">
        <v>5</v>
      </c>
      <c r="D484" s="1">
        <v>41948</v>
      </c>
      <c r="E484" s="1">
        <v>41976</v>
      </c>
      <c r="F484" s="1">
        <v>41957</v>
      </c>
      <c r="G484">
        <v>1</v>
      </c>
      <c r="H484">
        <v>20.12</v>
      </c>
      <c r="I484">
        <f t="shared" si="7"/>
        <v>2014</v>
      </c>
    </row>
    <row r="485" spans="1:9" x14ac:dyDescent="0.25">
      <c r="A485">
        <v>10731</v>
      </c>
      <c r="B485" t="s">
        <v>13</v>
      </c>
      <c r="C485">
        <v>7</v>
      </c>
      <c r="D485" s="1">
        <v>41949</v>
      </c>
      <c r="E485" s="1">
        <v>41977</v>
      </c>
      <c r="F485" s="1">
        <v>41957</v>
      </c>
      <c r="G485">
        <v>1</v>
      </c>
      <c r="H485">
        <v>96.65</v>
      </c>
      <c r="I485">
        <f t="shared" si="7"/>
        <v>2014</v>
      </c>
    </row>
    <row r="486" spans="1:9" x14ac:dyDescent="0.25">
      <c r="A486">
        <v>10732</v>
      </c>
      <c r="B486" t="s">
        <v>56</v>
      </c>
      <c r="C486">
        <v>3</v>
      </c>
      <c r="D486" s="1">
        <v>41949</v>
      </c>
      <c r="E486" s="1">
        <v>41977</v>
      </c>
      <c r="F486" s="1">
        <v>41950</v>
      </c>
      <c r="G486">
        <v>1</v>
      </c>
      <c r="H486">
        <v>16.97</v>
      </c>
      <c r="I486">
        <f t="shared" si="7"/>
        <v>2014</v>
      </c>
    </row>
    <row r="487" spans="1:9" x14ac:dyDescent="0.25">
      <c r="A487">
        <v>10733</v>
      </c>
      <c r="B487" t="s">
        <v>33</v>
      </c>
      <c r="C487">
        <v>1</v>
      </c>
      <c r="D487" s="1">
        <v>41950</v>
      </c>
      <c r="E487" s="1">
        <v>41978</v>
      </c>
      <c r="F487" s="1">
        <v>41953</v>
      </c>
      <c r="G487">
        <v>3</v>
      </c>
      <c r="H487">
        <v>110.11</v>
      </c>
      <c r="I487">
        <f t="shared" si="7"/>
        <v>2014</v>
      </c>
    </row>
    <row r="488" spans="1:9" x14ac:dyDescent="0.25">
      <c r="A488">
        <v>10734</v>
      </c>
      <c r="B488" t="s">
        <v>79</v>
      </c>
      <c r="C488">
        <v>2</v>
      </c>
      <c r="D488" s="1">
        <v>41950</v>
      </c>
      <c r="E488" s="1">
        <v>41978</v>
      </c>
      <c r="F488" s="1">
        <v>41955</v>
      </c>
      <c r="G488">
        <v>3</v>
      </c>
      <c r="H488">
        <v>1.63</v>
      </c>
      <c r="I488">
        <f t="shared" si="7"/>
        <v>2014</v>
      </c>
    </row>
    <row r="489" spans="1:9" x14ac:dyDescent="0.25">
      <c r="A489">
        <v>10735</v>
      </c>
      <c r="B489" t="s">
        <v>90</v>
      </c>
      <c r="C489">
        <v>6</v>
      </c>
      <c r="D489" s="1">
        <v>41953</v>
      </c>
      <c r="E489" s="1">
        <v>41981</v>
      </c>
      <c r="F489" s="1">
        <v>41964</v>
      </c>
      <c r="G489">
        <v>2</v>
      </c>
      <c r="H489">
        <v>45.97</v>
      </c>
      <c r="I489">
        <f t="shared" si="7"/>
        <v>2014</v>
      </c>
    </row>
    <row r="490" spans="1:9" x14ac:dyDescent="0.25">
      <c r="A490">
        <v>10736</v>
      </c>
      <c r="B490" t="s">
        <v>42</v>
      </c>
      <c r="C490">
        <v>9</v>
      </c>
      <c r="D490" s="1">
        <v>41954</v>
      </c>
      <c r="E490" s="1">
        <v>41982</v>
      </c>
      <c r="F490" s="1">
        <v>41964</v>
      </c>
      <c r="G490">
        <v>2</v>
      </c>
      <c r="H490">
        <v>44.1</v>
      </c>
      <c r="I490">
        <f t="shared" si="7"/>
        <v>2014</v>
      </c>
    </row>
    <row r="491" spans="1:9" x14ac:dyDescent="0.25">
      <c r="A491">
        <v>10737</v>
      </c>
      <c r="B491" t="s">
        <v>8</v>
      </c>
      <c r="C491">
        <v>2</v>
      </c>
      <c r="D491" s="1">
        <v>41954</v>
      </c>
      <c r="E491" s="1">
        <v>41982</v>
      </c>
      <c r="F491" s="1">
        <v>41961</v>
      </c>
      <c r="G491">
        <v>2</v>
      </c>
      <c r="H491">
        <v>7.79</v>
      </c>
      <c r="I491">
        <f t="shared" si="7"/>
        <v>2014</v>
      </c>
    </row>
    <row r="492" spans="1:9" x14ac:dyDescent="0.25">
      <c r="A492">
        <v>10738</v>
      </c>
      <c r="B492" t="s">
        <v>95</v>
      </c>
      <c r="C492">
        <v>2</v>
      </c>
      <c r="D492" s="1">
        <v>41955</v>
      </c>
      <c r="E492" s="1">
        <v>41983</v>
      </c>
      <c r="F492" s="1">
        <v>41961</v>
      </c>
      <c r="G492">
        <v>1</v>
      </c>
      <c r="H492">
        <v>2.91</v>
      </c>
      <c r="I492">
        <f t="shared" si="7"/>
        <v>2014</v>
      </c>
    </row>
    <row r="493" spans="1:9" x14ac:dyDescent="0.25">
      <c r="A493">
        <v>10739</v>
      </c>
      <c r="B493" t="s">
        <v>8</v>
      </c>
      <c r="C493">
        <v>3</v>
      </c>
      <c r="D493" s="1">
        <v>41955</v>
      </c>
      <c r="E493" s="1">
        <v>41983</v>
      </c>
      <c r="F493" s="1">
        <v>41960</v>
      </c>
      <c r="G493">
        <v>3</v>
      </c>
      <c r="H493">
        <v>11.08</v>
      </c>
      <c r="I493">
        <f t="shared" si="7"/>
        <v>2014</v>
      </c>
    </row>
    <row r="494" spans="1:9" x14ac:dyDescent="0.25">
      <c r="A494">
        <v>10740</v>
      </c>
      <c r="B494" t="s">
        <v>27</v>
      </c>
      <c r="C494">
        <v>4</v>
      </c>
      <c r="D494" s="1">
        <v>41956</v>
      </c>
      <c r="E494" s="1">
        <v>41984</v>
      </c>
      <c r="F494" s="1">
        <v>41968</v>
      </c>
      <c r="G494">
        <v>2</v>
      </c>
      <c r="H494">
        <v>81.88</v>
      </c>
      <c r="I494">
        <f t="shared" si="7"/>
        <v>2014</v>
      </c>
    </row>
    <row r="495" spans="1:9" x14ac:dyDescent="0.25">
      <c r="A495">
        <v>10741</v>
      </c>
      <c r="B495" t="s">
        <v>63</v>
      </c>
      <c r="C495">
        <v>4</v>
      </c>
      <c r="D495" s="1">
        <v>41957</v>
      </c>
      <c r="E495" s="1">
        <v>41971</v>
      </c>
      <c r="F495" s="1">
        <v>41961</v>
      </c>
      <c r="G495">
        <v>3</v>
      </c>
      <c r="H495">
        <v>10.96</v>
      </c>
      <c r="I495">
        <f t="shared" si="7"/>
        <v>2014</v>
      </c>
    </row>
    <row r="496" spans="1:9" x14ac:dyDescent="0.25">
      <c r="A496">
        <v>10742</v>
      </c>
      <c r="B496" t="s">
        <v>74</v>
      </c>
      <c r="C496">
        <v>3</v>
      </c>
      <c r="D496" s="1">
        <v>41957</v>
      </c>
      <c r="E496" s="1">
        <v>41985</v>
      </c>
      <c r="F496" s="1">
        <v>41961</v>
      </c>
      <c r="G496">
        <v>3</v>
      </c>
      <c r="H496">
        <v>243.73</v>
      </c>
      <c r="I496">
        <f t="shared" si="7"/>
        <v>2014</v>
      </c>
    </row>
    <row r="497" spans="1:9" x14ac:dyDescent="0.25">
      <c r="A497">
        <v>10743</v>
      </c>
      <c r="B497" t="s">
        <v>63</v>
      </c>
      <c r="C497">
        <v>1</v>
      </c>
      <c r="D497" s="1">
        <v>41960</v>
      </c>
      <c r="E497" s="1">
        <v>41988</v>
      </c>
      <c r="F497" s="1">
        <v>41964</v>
      </c>
      <c r="G497">
        <v>2</v>
      </c>
      <c r="H497">
        <v>23.72</v>
      </c>
      <c r="I497">
        <f t="shared" si="7"/>
        <v>2014</v>
      </c>
    </row>
    <row r="498" spans="1:9" x14ac:dyDescent="0.25">
      <c r="A498">
        <v>10744</v>
      </c>
      <c r="B498" t="s">
        <v>69</v>
      </c>
      <c r="C498">
        <v>6</v>
      </c>
      <c r="D498" s="1">
        <v>41960</v>
      </c>
      <c r="E498" s="1">
        <v>41988</v>
      </c>
      <c r="F498" s="1">
        <v>41967</v>
      </c>
      <c r="G498">
        <v>1</v>
      </c>
      <c r="H498">
        <v>69.19</v>
      </c>
      <c r="I498">
        <f t="shared" si="7"/>
        <v>2014</v>
      </c>
    </row>
    <row r="499" spans="1:9" x14ac:dyDescent="0.25">
      <c r="A499">
        <v>10745</v>
      </c>
      <c r="B499" t="s">
        <v>29</v>
      </c>
      <c r="C499">
        <v>9</v>
      </c>
      <c r="D499" s="1">
        <v>41961</v>
      </c>
      <c r="E499" s="1">
        <v>41989</v>
      </c>
      <c r="F499" s="1">
        <v>41970</v>
      </c>
      <c r="G499">
        <v>1</v>
      </c>
      <c r="H499">
        <v>3.52</v>
      </c>
      <c r="I499">
        <f t="shared" si="7"/>
        <v>2014</v>
      </c>
    </row>
    <row r="500" spans="1:9" x14ac:dyDescent="0.25">
      <c r="A500">
        <v>10746</v>
      </c>
      <c r="B500" t="s">
        <v>13</v>
      </c>
      <c r="C500">
        <v>1</v>
      </c>
      <c r="D500" s="1">
        <v>41962</v>
      </c>
      <c r="E500" s="1">
        <v>41990</v>
      </c>
      <c r="F500" s="1">
        <v>41964</v>
      </c>
      <c r="G500">
        <v>3</v>
      </c>
      <c r="H500">
        <v>31.43</v>
      </c>
      <c r="I500">
        <f t="shared" si="7"/>
        <v>2014</v>
      </c>
    </row>
    <row r="501" spans="1:9" x14ac:dyDescent="0.25">
      <c r="A501">
        <v>10747</v>
      </c>
      <c r="B501" t="s">
        <v>62</v>
      </c>
      <c r="C501">
        <v>6</v>
      </c>
      <c r="D501" s="1">
        <v>41962</v>
      </c>
      <c r="E501" s="1">
        <v>41990</v>
      </c>
      <c r="F501" s="1">
        <v>41969</v>
      </c>
      <c r="G501">
        <v>1</v>
      </c>
      <c r="H501">
        <v>117.33</v>
      </c>
      <c r="I501">
        <f t="shared" si="7"/>
        <v>2014</v>
      </c>
    </row>
    <row r="502" spans="1:9" x14ac:dyDescent="0.25">
      <c r="A502">
        <v>10748</v>
      </c>
      <c r="B502" t="s">
        <v>53</v>
      </c>
      <c r="C502">
        <v>3</v>
      </c>
      <c r="D502" s="1">
        <v>41963</v>
      </c>
      <c r="E502" s="1">
        <v>41991</v>
      </c>
      <c r="F502" s="1">
        <v>41971</v>
      </c>
      <c r="G502">
        <v>1</v>
      </c>
      <c r="H502">
        <v>232.55</v>
      </c>
      <c r="I502">
        <f t="shared" si="7"/>
        <v>2014</v>
      </c>
    </row>
    <row r="503" spans="1:9" x14ac:dyDescent="0.25">
      <c r="A503">
        <v>10749</v>
      </c>
      <c r="B503" t="s">
        <v>50</v>
      </c>
      <c r="C503">
        <v>4</v>
      </c>
      <c r="D503" s="1">
        <v>41963</v>
      </c>
      <c r="E503" s="1">
        <v>41991</v>
      </c>
      <c r="F503" s="1">
        <v>41992</v>
      </c>
      <c r="G503">
        <v>2</v>
      </c>
      <c r="H503">
        <v>61.53</v>
      </c>
      <c r="I503">
        <f t="shared" si="7"/>
        <v>2014</v>
      </c>
    </row>
    <row r="504" spans="1:9" x14ac:dyDescent="0.25">
      <c r="A504">
        <v>10750</v>
      </c>
      <c r="B504" t="s">
        <v>24</v>
      </c>
      <c r="C504">
        <v>9</v>
      </c>
      <c r="D504" s="1">
        <v>41964</v>
      </c>
      <c r="E504" s="1">
        <v>41992</v>
      </c>
      <c r="F504" s="1">
        <v>41967</v>
      </c>
      <c r="G504">
        <v>1</v>
      </c>
      <c r="H504">
        <v>79.3</v>
      </c>
      <c r="I504">
        <f t="shared" si="7"/>
        <v>2014</v>
      </c>
    </row>
    <row r="505" spans="1:9" x14ac:dyDescent="0.25">
      <c r="A505">
        <v>10751</v>
      </c>
      <c r="B505" t="s">
        <v>14</v>
      </c>
      <c r="C505">
        <v>3</v>
      </c>
      <c r="D505" s="1">
        <v>41967</v>
      </c>
      <c r="E505" s="1">
        <v>41995</v>
      </c>
      <c r="F505" s="1">
        <v>41976</v>
      </c>
      <c r="G505">
        <v>3</v>
      </c>
      <c r="H505">
        <v>130.79</v>
      </c>
      <c r="I505">
        <f t="shared" si="7"/>
        <v>2014</v>
      </c>
    </row>
    <row r="506" spans="1:9" x14ac:dyDescent="0.25">
      <c r="A506">
        <v>10752</v>
      </c>
      <c r="B506" t="s">
        <v>85</v>
      </c>
      <c r="C506">
        <v>2</v>
      </c>
      <c r="D506" s="1">
        <v>41967</v>
      </c>
      <c r="E506" s="1">
        <v>41995</v>
      </c>
      <c r="F506" s="1">
        <v>41971</v>
      </c>
      <c r="G506">
        <v>3</v>
      </c>
      <c r="H506">
        <v>1.39</v>
      </c>
      <c r="I506">
        <f t="shared" si="7"/>
        <v>2014</v>
      </c>
    </row>
    <row r="507" spans="1:9" x14ac:dyDescent="0.25">
      <c r="A507">
        <v>10753</v>
      </c>
      <c r="B507" t="s">
        <v>78</v>
      </c>
      <c r="C507">
        <v>3</v>
      </c>
      <c r="D507" s="1">
        <v>41968</v>
      </c>
      <c r="E507" s="1">
        <v>41996</v>
      </c>
      <c r="F507" s="1">
        <v>41970</v>
      </c>
      <c r="G507">
        <v>1</v>
      </c>
      <c r="H507">
        <v>7.7</v>
      </c>
      <c r="I507">
        <f t="shared" si="7"/>
        <v>2014</v>
      </c>
    </row>
    <row r="508" spans="1:9" x14ac:dyDescent="0.25">
      <c r="A508">
        <v>10754</v>
      </c>
      <c r="B508" t="s">
        <v>30</v>
      </c>
      <c r="C508">
        <v>6</v>
      </c>
      <c r="D508" s="1">
        <v>41968</v>
      </c>
      <c r="E508" s="1">
        <v>41996</v>
      </c>
      <c r="F508" s="1">
        <v>41970</v>
      </c>
      <c r="G508">
        <v>3</v>
      </c>
      <c r="H508">
        <v>2.38</v>
      </c>
      <c r="I508">
        <f t="shared" si="7"/>
        <v>2014</v>
      </c>
    </row>
    <row r="509" spans="1:9" x14ac:dyDescent="0.25">
      <c r="A509">
        <v>10755</v>
      </c>
      <c r="B509" t="s">
        <v>56</v>
      </c>
      <c r="C509">
        <v>4</v>
      </c>
      <c r="D509" s="1">
        <v>41969</v>
      </c>
      <c r="E509" s="1">
        <v>41997</v>
      </c>
      <c r="F509" s="1">
        <v>41971</v>
      </c>
      <c r="G509">
        <v>2</v>
      </c>
      <c r="H509">
        <v>16.71</v>
      </c>
      <c r="I509">
        <f t="shared" si="7"/>
        <v>2014</v>
      </c>
    </row>
    <row r="510" spans="1:9" x14ac:dyDescent="0.25">
      <c r="A510">
        <v>10756</v>
      </c>
      <c r="B510" t="s">
        <v>28</v>
      </c>
      <c r="C510">
        <v>8</v>
      </c>
      <c r="D510" s="1">
        <v>41970</v>
      </c>
      <c r="E510" s="1">
        <v>41998</v>
      </c>
      <c r="F510" s="1">
        <v>41975</v>
      </c>
      <c r="G510">
        <v>2</v>
      </c>
      <c r="H510">
        <v>73.209999999999994</v>
      </c>
      <c r="I510">
        <f t="shared" si="7"/>
        <v>2014</v>
      </c>
    </row>
    <row r="511" spans="1:9" x14ac:dyDescent="0.25">
      <c r="A511">
        <v>10757</v>
      </c>
      <c r="B511" t="s">
        <v>53</v>
      </c>
      <c r="C511">
        <v>6</v>
      </c>
      <c r="D511" s="1">
        <v>41970</v>
      </c>
      <c r="E511" s="1">
        <v>41998</v>
      </c>
      <c r="F511" s="1">
        <v>41988</v>
      </c>
      <c r="G511">
        <v>1</v>
      </c>
      <c r="H511">
        <v>8.19</v>
      </c>
      <c r="I511">
        <f t="shared" si="7"/>
        <v>2014</v>
      </c>
    </row>
    <row r="512" spans="1:9" x14ac:dyDescent="0.25">
      <c r="A512">
        <v>10758</v>
      </c>
      <c r="B512" t="s">
        <v>14</v>
      </c>
      <c r="C512">
        <v>3</v>
      </c>
      <c r="D512" s="1">
        <v>41971</v>
      </c>
      <c r="E512" s="1">
        <v>41999</v>
      </c>
      <c r="F512" s="1">
        <v>41977</v>
      </c>
      <c r="G512">
        <v>3</v>
      </c>
      <c r="H512">
        <v>138.16999999999999</v>
      </c>
      <c r="I512">
        <f t="shared" si="7"/>
        <v>2014</v>
      </c>
    </row>
    <row r="513" spans="1:9" x14ac:dyDescent="0.25">
      <c r="A513">
        <v>10759</v>
      </c>
      <c r="B513" t="s">
        <v>47</v>
      </c>
      <c r="C513">
        <v>3</v>
      </c>
      <c r="D513" s="1">
        <v>41971</v>
      </c>
      <c r="E513" s="1">
        <v>41999</v>
      </c>
      <c r="F513" s="1">
        <v>41985</v>
      </c>
      <c r="G513">
        <v>3</v>
      </c>
      <c r="H513">
        <v>11.99</v>
      </c>
      <c r="I513">
        <f t="shared" si="7"/>
        <v>2014</v>
      </c>
    </row>
    <row r="514" spans="1:9" x14ac:dyDescent="0.25">
      <c r="A514">
        <v>10760</v>
      </c>
      <c r="B514" t="s">
        <v>88</v>
      </c>
      <c r="C514">
        <v>4</v>
      </c>
      <c r="D514" s="1">
        <v>41974</v>
      </c>
      <c r="E514" s="1">
        <v>42002</v>
      </c>
      <c r="F514" s="1">
        <v>41983</v>
      </c>
      <c r="G514">
        <v>1</v>
      </c>
      <c r="H514">
        <v>155.63999999999999</v>
      </c>
      <c r="I514">
        <f t="shared" si="7"/>
        <v>2014</v>
      </c>
    </row>
    <row r="515" spans="1:9" x14ac:dyDescent="0.25">
      <c r="A515">
        <v>10761</v>
      </c>
      <c r="B515" t="s">
        <v>21</v>
      </c>
      <c r="C515">
        <v>5</v>
      </c>
      <c r="D515" s="1">
        <v>41975</v>
      </c>
      <c r="E515" s="1">
        <v>42003</v>
      </c>
      <c r="F515" s="1">
        <v>41981</v>
      </c>
      <c r="G515">
        <v>2</v>
      </c>
      <c r="H515">
        <v>18.66</v>
      </c>
      <c r="I515">
        <f t="shared" ref="I515:I578" si="8">YEAR(D515)</f>
        <v>2014</v>
      </c>
    </row>
    <row r="516" spans="1:9" x14ac:dyDescent="0.25">
      <c r="A516">
        <v>10762</v>
      </c>
      <c r="B516" t="s">
        <v>22</v>
      </c>
      <c r="C516">
        <v>3</v>
      </c>
      <c r="D516" s="1">
        <v>41975</v>
      </c>
      <c r="E516" s="1">
        <v>42003</v>
      </c>
      <c r="F516" s="1">
        <v>41982</v>
      </c>
      <c r="G516">
        <v>1</v>
      </c>
      <c r="H516">
        <v>328.74</v>
      </c>
      <c r="I516">
        <f t="shared" si="8"/>
        <v>2014</v>
      </c>
    </row>
    <row r="517" spans="1:9" x14ac:dyDescent="0.25">
      <c r="A517">
        <v>10763</v>
      </c>
      <c r="B517" t="s">
        <v>76</v>
      </c>
      <c r="C517">
        <v>3</v>
      </c>
      <c r="D517" s="1">
        <v>41976</v>
      </c>
      <c r="E517" s="1">
        <v>42004</v>
      </c>
      <c r="F517" s="1">
        <v>41981</v>
      </c>
      <c r="G517">
        <v>3</v>
      </c>
      <c r="H517">
        <v>37.35</v>
      </c>
      <c r="I517">
        <f t="shared" si="8"/>
        <v>2014</v>
      </c>
    </row>
    <row r="518" spans="1:9" x14ac:dyDescent="0.25">
      <c r="A518">
        <v>10764</v>
      </c>
      <c r="B518" t="s">
        <v>17</v>
      </c>
      <c r="C518">
        <v>6</v>
      </c>
      <c r="D518" s="1">
        <v>41976</v>
      </c>
      <c r="E518" s="1">
        <v>42004</v>
      </c>
      <c r="F518" s="1">
        <v>41981</v>
      </c>
      <c r="G518">
        <v>3</v>
      </c>
      <c r="H518">
        <v>145.44999999999999</v>
      </c>
      <c r="I518">
        <f t="shared" si="8"/>
        <v>2014</v>
      </c>
    </row>
    <row r="519" spans="1:9" x14ac:dyDescent="0.25">
      <c r="A519">
        <v>10765</v>
      </c>
      <c r="B519" t="s">
        <v>29</v>
      </c>
      <c r="C519">
        <v>3</v>
      </c>
      <c r="D519" s="1">
        <v>41977</v>
      </c>
      <c r="E519" s="1">
        <v>42005</v>
      </c>
      <c r="F519" s="1">
        <v>41982</v>
      </c>
      <c r="G519">
        <v>3</v>
      </c>
      <c r="H519">
        <v>42.74</v>
      </c>
      <c r="I519">
        <f t="shared" si="8"/>
        <v>2014</v>
      </c>
    </row>
    <row r="520" spans="1:9" x14ac:dyDescent="0.25">
      <c r="A520">
        <v>10766</v>
      </c>
      <c r="B520" t="s">
        <v>19</v>
      </c>
      <c r="C520">
        <v>4</v>
      </c>
      <c r="D520" s="1">
        <v>41978</v>
      </c>
      <c r="E520" s="1">
        <v>42006</v>
      </c>
      <c r="F520" s="1">
        <v>41982</v>
      </c>
      <c r="G520">
        <v>1</v>
      </c>
      <c r="H520">
        <v>157.55000000000001</v>
      </c>
      <c r="I520">
        <f t="shared" si="8"/>
        <v>2014</v>
      </c>
    </row>
    <row r="521" spans="1:9" x14ac:dyDescent="0.25">
      <c r="A521">
        <v>10767</v>
      </c>
      <c r="B521" t="s">
        <v>12</v>
      </c>
      <c r="C521">
        <v>4</v>
      </c>
      <c r="D521" s="1">
        <v>41978</v>
      </c>
      <c r="E521" s="1">
        <v>42006</v>
      </c>
      <c r="F521" s="1">
        <v>41988</v>
      </c>
      <c r="G521">
        <v>3</v>
      </c>
      <c r="H521">
        <v>1.59</v>
      </c>
      <c r="I521">
        <f t="shared" si="8"/>
        <v>2014</v>
      </c>
    </row>
    <row r="522" spans="1:9" x14ac:dyDescent="0.25">
      <c r="A522">
        <v>10768</v>
      </c>
      <c r="B522" t="s">
        <v>63</v>
      </c>
      <c r="C522">
        <v>3</v>
      </c>
      <c r="D522" s="1">
        <v>41981</v>
      </c>
      <c r="E522" s="1">
        <v>42009</v>
      </c>
      <c r="F522" s="1">
        <v>41988</v>
      </c>
      <c r="G522">
        <v>2</v>
      </c>
      <c r="H522">
        <v>146.32</v>
      </c>
      <c r="I522">
        <f t="shared" si="8"/>
        <v>2014</v>
      </c>
    </row>
    <row r="523" spans="1:9" x14ac:dyDescent="0.25">
      <c r="A523">
        <v>10769</v>
      </c>
      <c r="B523" t="s">
        <v>69</v>
      </c>
      <c r="C523">
        <v>3</v>
      </c>
      <c r="D523" s="1">
        <v>41981</v>
      </c>
      <c r="E523" s="1">
        <v>42009</v>
      </c>
      <c r="F523" s="1">
        <v>41985</v>
      </c>
      <c r="G523">
        <v>1</v>
      </c>
      <c r="H523">
        <v>65.06</v>
      </c>
      <c r="I523">
        <f t="shared" si="8"/>
        <v>2014</v>
      </c>
    </row>
    <row r="524" spans="1:9" x14ac:dyDescent="0.25">
      <c r="A524">
        <v>10770</v>
      </c>
      <c r="B524" t="s">
        <v>10</v>
      </c>
      <c r="C524">
        <v>8</v>
      </c>
      <c r="D524" s="1">
        <v>41982</v>
      </c>
      <c r="E524" s="1">
        <v>42010</v>
      </c>
      <c r="F524" s="1">
        <v>41990</v>
      </c>
      <c r="G524">
        <v>3</v>
      </c>
      <c r="H524">
        <v>5.32</v>
      </c>
      <c r="I524">
        <f t="shared" si="8"/>
        <v>2014</v>
      </c>
    </row>
    <row r="525" spans="1:9" x14ac:dyDescent="0.25">
      <c r="A525">
        <v>10771</v>
      </c>
      <c r="B525" t="s">
        <v>17</v>
      </c>
      <c r="C525">
        <v>9</v>
      </c>
      <c r="D525" s="1">
        <v>41983</v>
      </c>
      <c r="E525" s="1">
        <v>42011</v>
      </c>
      <c r="F525" s="1">
        <v>42006</v>
      </c>
      <c r="G525">
        <v>2</v>
      </c>
      <c r="H525">
        <v>11.19</v>
      </c>
      <c r="I525">
        <f t="shared" si="8"/>
        <v>2014</v>
      </c>
    </row>
    <row r="526" spans="1:9" x14ac:dyDescent="0.25">
      <c r="A526">
        <v>10772</v>
      </c>
      <c r="B526" t="s">
        <v>34</v>
      </c>
      <c r="C526">
        <v>3</v>
      </c>
      <c r="D526" s="1">
        <v>41983</v>
      </c>
      <c r="E526" s="1">
        <v>42011</v>
      </c>
      <c r="F526" s="1">
        <v>41992</v>
      </c>
      <c r="G526">
        <v>2</v>
      </c>
      <c r="H526">
        <v>91.28</v>
      </c>
      <c r="I526">
        <f t="shared" si="8"/>
        <v>2014</v>
      </c>
    </row>
    <row r="527" spans="1:9" x14ac:dyDescent="0.25">
      <c r="A527">
        <v>10773</v>
      </c>
      <c r="B527" t="s">
        <v>17</v>
      </c>
      <c r="C527">
        <v>1</v>
      </c>
      <c r="D527" s="1">
        <v>41984</v>
      </c>
      <c r="E527" s="1">
        <v>42012</v>
      </c>
      <c r="F527" s="1">
        <v>41989</v>
      </c>
      <c r="G527">
        <v>3</v>
      </c>
      <c r="H527">
        <v>96.43</v>
      </c>
      <c r="I527">
        <f t="shared" si="8"/>
        <v>2014</v>
      </c>
    </row>
    <row r="528" spans="1:9" x14ac:dyDescent="0.25">
      <c r="A528">
        <v>10774</v>
      </c>
      <c r="B528" t="s">
        <v>22</v>
      </c>
      <c r="C528">
        <v>4</v>
      </c>
      <c r="D528" s="1">
        <v>41984</v>
      </c>
      <c r="E528" s="1">
        <v>41998</v>
      </c>
      <c r="F528" s="1">
        <v>41985</v>
      </c>
      <c r="G528">
        <v>1</v>
      </c>
      <c r="H528">
        <v>48.2</v>
      </c>
      <c r="I528">
        <f t="shared" si="8"/>
        <v>2014</v>
      </c>
    </row>
    <row r="529" spans="1:9" x14ac:dyDescent="0.25">
      <c r="A529">
        <v>10775</v>
      </c>
      <c r="B529" t="s">
        <v>92</v>
      </c>
      <c r="C529">
        <v>7</v>
      </c>
      <c r="D529" s="1">
        <v>41985</v>
      </c>
      <c r="E529" s="1">
        <v>42013</v>
      </c>
      <c r="F529" s="1">
        <v>41999</v>
      </c>
      <c r="G529">
        <v>1</v>
      </c>
      <c r="H529">
        <v>20.25</v>
      </c>
      <c r="I529">
        <f t="shared" si="8"/>
        <v>2014</v>
      </c>
    </row>
    <row r="530" spans="1:9" x14ac:dyDescent="0.25">
      <c r="A530">
        <v>10776</v>
      </c>
      <c r="B530" t="s">
        <v>17</v>
      </c>
      <c r="C530">
        <v>1</v>
      </c>
      <c r="D530" s="1">
        <v>41988</v>
      </c>
      <c r="E530" s="1">
        <v>42016</v>
      </c>
      <c r="F530" s="1">
        <v>41991</v>
      </c>
      <c r="G530">
        <v>3</v>
      </c>
      <c r="H530">
        <v>351.53</v>
      </c>
      <c r="I530">
        <f t="shared" si="8"/>
        <v>2014</v>
      </c>
    </row>
    <row r="531" spans="1:9" x14ac:dyDescent="0.25">
      <c r="A531">
        <v>10777</v>
      </c>
      <c r="B531" t="s">
        <v>79</v>
      </c>
      <c r="C531">
        <v>7</v>
      </c>
      <c r="D531" s="1">
        <v>41988</v>
      </c>
      <c r="E531" s="1">
        <v>42002</v>
      </c>
      <c r="F531" s="1">
        <v>42025</v>
      </c>
      <c r="G531">
        <v>2</v>
      </c>
      <c r="H531">
        <v>3.01</v>
      </c>
      <c r="I531">
        <f t="shared" si="8"/>
        <v>2014</v>
      </c>
    </row>
    <row r="532" spans="1:9" x14ac:dyDescent="0.25">
      <c r="A532">
        <v>10778</v>
      </c>
      <c r="B532" t="s">
        <v>33</v>
      </c>
      <c r="C532">
        <v>3</v>
      </c>
      <c r="D532" s="1">
        <v>41989</v>
      </c>
      <c r="E532" s="1">
        <v>42017</v>
      </c>
      <c r="F532" s="1">
        <v>41997</v>
      </c>
      <c r="G532">
        <v>1</v>
      </c>
      <c r="H532">
        <v>6.79</v>
      </c>
      <c r="I532">
        <f t="shared" si="8"/>
        <v>2014</v>
      </c>
    </row>
    <row r="533" spans="1:9" x14ac:dyDescent="0.25">
      <c r="A533">
        <v>10779</v>
      </c>
      <c r="B533" t="s">
        <v>32</v>
      </c>
      <c r="C533">
        <v>3</v>
      </c>
      <c r="D533" s="1">
        <v>41989</v>
      </c>
      <c r="E533" s="1">
        <v>42017</v>
      </c>
      <c r="F533" s="1">
        <v>42018</v>
      </c>
      <c r="G533">
        <v>2</v>
      </c>
      <c r="H533">
        <v>58.13</v>
      </c>
      <c r="I533">
        <f t="shared" si="8"/>
        <v>2014</v>
      </c>
    </row>
    <row r="534" spans="1:9" x14ac:dyDescent="0.25">
      <c r="A534">
        <v>10780</v>
      </c>
      <c r="B534" t="s">
        <v>36</v>
      </c>
      <c r="C534">
        <v>2</v>
      </c>
      <c r="D534" s="1">
        <v>41989</v>
      </c>
      <c r="E534" s="1">
        <v>42003</v>
      </c>
      <c r="F534" s="1">
        <v>41998</v>
      </c>
      <c r="G534">
        <v>1</v>
      </c>
      <c r="H534">
        <v>42.13</v>
      </c>
      <c r="I534">
        <f t="shared" si="8"/>
        <v>2014</v>
      </c>
    </row>
    <row r="535" spans="1:9" x14ac:dyDescent="0.25">
      <c r="A535">
        <v>10781</v>
      </c>
      <c r="B535" t="s">
        <v>24</v>
      </c>
      <c r="C535">
        <v>2</v>
      </c>
      <c r="D535" s="1">
        <v>41990</v>
      </c>
      <c r="E535" s="1">
        <v>42018</v>
      </c>
      <c r="F535" s="1">
        <v>41992</v>
      </c>
      <c r="G535">
        <v>3</v>
      </c>
      <c r="H535">
        <v>73.16</v>
      </c>
      <c r="I535">
        <f t="shared" si="8"/>
        <v>2014</v>
      </c>
    </row>
    <row r="536" spans="1:9" x14ac:dyDescent="0.25">
      <c r="A536">
        <v>10782</v>
      </c>
      <c r="B536" t="s">
        <v>86</v>
      </c>
      <c r="C536">
        <v>9</v>
      </c>
      <c r="D536" s="1">
        <v>41990</v>
      </c>
      <c r="E536" s="1">
        <v>42018</v>
      </c>
      <c r="F536" s="1">
        <v>41995</v>
      </c>
      <c r="G536">
        <v>3</v>
      </c>
      <c r="H536">
        <v>1.1000000000000001</v>
      </c>
      <c r="I536">
        <f t="shared" si="8"/>
        <v>2014</v>
      </c>
    </row>
    <row r="537" spans="1:9" x14ac:dyDescent="0.25">
      <c r="A537">
        <v>10783</v>
      </c>
      <c r="B537" t="s">
        <v>10</v>
      </c>
      <c r="C537">
        <v>4</v>
      </c>
      <c r="D537" s="1">
        <v>41991</v>
      </c>
      <c r="E537" s="1">
        <v>42019</v>
      </c>
      <c r="F537" s="1">
        <v>41992</v>
      </c>
      <c r="G537">
        <v>2</v>
      </c>
      <c r="H537">
        <v>124.98</v>
      </c>
      <c r="I537">
        <f t="shared" si="8"/>
        <v>2014</v>
      </c>
    </row>
    <row r="538" spans="1:9" x14ac:dyDescent="0.25">
      <c r="A538">
        <v>10784</v>
      </c>
      <c r="B538" t="s">
        <v>30</v>
      </c>
      <c r="C538">
        <v>4</v>
      </c>
      <c r="D538" s="1">
        <v>41991</v>
      </c>
      <c r="E538" s="1">
        <v>42019</v>
      </c>
      <c r="F538" s="1">
        <v>41995</v>
      </c>
      <c r="G538">
        <v>3</v>
      </c>
      <c r="H538">
        <v>70.09</v>
      </c>
      <c r="I538">
        <f t="shared" si="8"/>
        <v>2014</v>
      </c>
    </row>
    <row r="539" spans="1:9" x14ac:dyDescent="0.25">
      <c r="A539">
        <v>10785</v>
      </c>
      <c r="B539" t="s">
        <v>26</v>
      </c>
      <c r="C539">
        <v>1</v>
      </c>
      <c r="D539" s="1">
        <v>41991</v>
      </c>
      <c r="E539" s="1">
        <v>42019</v>
      </c>
      <c r="F539" s="1">
        <v>41997</v>
      </c>
      <c r="G539">
        <v>3</v>
      </c>
      <c r="H539">
        <v>1.51</v>
      </c>
      <c r="I539">
        <f t="shared" si="8"/>
        <v>2014</v>
      </c>
    </row>
    <row r="540" spans="1:9" x14ac:dyDescent="0.25">
      <c r="A540">
        <v>10786</v>
      </c>
      <c r="B540" t="s">
        <v>70</v>
      </c>
      <c r="C540">
        <v>8</v>
      </c>
      <c r="D540" s="1">
        <v>41992</v>
      </c>
      <c r="E540" s="1">
        <v>42020</v>
      </c>
      <c r="F540" s="1">
        <v>41996</v>
      </c>
      <c r="G540">
        <v>1</v>
      </c>
      <c r="H540">
        <v>110.87</v>
      </c>
      <c r="I540">
        <f t="shared" si="8"/>
        <v>2014</v>
      </c>
    </row>
    <row r="541" spans="1:9" x14ac:dyDescent="0.25">
      <c r="A541">
        <v>10787</v>
      </c>
      <c r="B541" t="s">
        <v>61</v>
      </c>
      <c r="C541">
        <v>2</v>
      </c>
      <c r="D541" s="1">
        <v>41992</v>
      </c>
      <c r="E541" s="1">
        <v>42006</v>
      </c>
      <c r="F541" s="1">
        <v>41999</v>
      </c>
      <c r="G541">
        <v>1</v>
      </c>
      <c r="H541">
        <v>249.93</v>
      </c>
      <c r="I541">
        <f t="shared" si="8"/>
        <v>2014</v>
      </c>
    </row>
    <row r="542" spans="1:9" x14ac:dyDescent="0.25">
      <c r="A542">
        <v>10788</v>
      </c>
      <c r="B542" t="s">
        <v>29</v>
      </c>
      <c r="C542">
        <v>1</v>
      </c>
      <c r="D542" s="1">
        <v>41995</v>
      </c>
      <c r="E542" s="1">
        <v>42023</v>
      </c>
      <c r="F542" s="1">
        <v>42023</v>
      </c>
      <c r="G542">
        <v>2</v>
      </c>
      <c r="H542">
        <v>42.7</v>
      </c>
      <c r="I542">
        <f t="shared" si="8"/>
        <v>2014</v>
      </c>
    </row>
    <row r="543" spans="1:9" x14ac:dyDescent="0.25">
      <c r="A543">
        <v>10789</v>
      </c>
      <c r="B543" t="s">
        <v>76</v>
      </c>
      <c r="C543">
        <v>1</v>
      </c>
      <c r="D543" s="1">
        <v>41995</v>
      </c>
      <c r="E543" s="1">
        <v>42023</v>
      </c>
      <c r="F543" s="1">
        <v>42004</v>
      </c>
      <c r="G543">
        <v>2</v>
      </c>
      <c r="H543">
        <v>100.6</v>
      </c>
      <c r="I543">
        <f t="shared" si="8"/>
        <v>2014</v>
      </c>
    </row>
    <row r="544" spans="1:9" x14ac:dyDescent="0.25">
      <c r="A544">
        <v>10790</v>
      </c>
      <c r="B544" t="s">
        <v>79</v>
      </c>
      <c r="C544">
        <v>6</v>
      </c>
      <c r="D544" s="1">
        <v>41995</v>
      </c>
      <c r="E544" s="1">
        <v>42023</v>
      </c>
      <c r="F544" s="1">
        <v>41999</v>
      </c>
      <c r="G544">
        <v>1</v>
      </c>
      <c r="H544">
        <v>28.23</v>
      </c>
      <c r="I544">
        <f t="shared" si="8"/>
        <v>2014</v>
      </c>
    </row>
    <row r="545" spans="1:9" x14ac:dyDescent="0.25">
      <c r="A545">
        <v>10791</v>
      </c>
      <c r="B545" t="s">
        <v>25</v>
      </c>
      <c r="C545">
        <v>6</v>
      </c>
      <c r="D545" s="1">
        <v>41996</v>
      </c>
      <c r="E545" s="1">
        <v>42024</v>
      </c>
      <c r="F545" s="1">
        <v>42005</v>
      </c>
      <c r="G545">
        <v>2</v>
      </c>
      <c r="H545">
        <v>16.850000000000001</v>
      </c>
      <c r="I545">
        <f t="shared" si="8"/>
        <v>2014</v>
      </c>
    </row>
    <row r="546" spans="1:9" x14ac:dyDescent="0.25">
      <c r="A546">
        <v>10792</v>
      </c>
      <c r="B546" t="s">
        <v>71</v>
      </c>
      <c r="C546">
        <v>1</v>
      </c>
      <c r="D546" s="1">
        <v>41996</v>
      </c>
      <c r="E546" s="1">
        <v>42024</v>
      </c>
      <c r="F546" s="1">
        <v>42004</v>
      </c>
      <c r="G546">
        <v>3</v>
      </c>
      <c r="H546">
        <v>23.79</v>
      </c>
      <c r="I546">
        <f t="shared" si="8"/>
        <v>2014</v>
      </c>
    </row>
    <row r="547" spans="1:9" x14ac:dyDescent="0.25">
      <c r="A547">
        <v>10793</v>
      </c>
      <c r="B547" t="s">
        <v>63</v>
      </c>
      <c r="C547">
        <v>3</v>
      </c>
      <c r="D547" s="1">
        <v>41997</v>
      </c>
      <c r="E547" s="1">
        <v>42025</v>
      </c>
      <c r="F547" s="1">
        <v>42012</v>
      </c>
      <c r="G547">
        <v>3</v>
      </c>
      <c r="H547">
        <v>4.5199999999999996</v>
      </c>
      <c r="I547">
        <f t="shared" si="8"/>
        <v>2014</v>
      </c>
    </row>
    <row r="548" spans="1:9" x14ac:dyDescent="0.25">
      <c r="A548">
        <v>10794</v>
      </c>
      <c r="B548" t="s">
        <v>20</v>
      </c>
      <c r="C548">
        <v>6</v>
      </c>
      <c r="D548" s="1">
        <v>41997</v>
      </c>
      <c r="E548" s="1">
        <v>42025</v>
      </c>
      <c r="F548" s="1">
        <v>42006</v>
      </c>
      <c r="G548">
        <v>1</v>
      </c>
      <c r="H548">
        <v>21.49</v>
      </c>
      <c r="I548">
        <f t="shared" si="8"/>
        <v>2014</v>
      </c>
    </row>
    <row r="549" spans="1:9" x14ac:dyDescent="0.25">
      <c r="A549">
        <v>10795</v>
      </c>
      <c r="B549" t="s">
        <v>17</v>
      </c>
      <c r="C549">
        <v>8</v>
      </c>
      <c r="D549" s="1">
        <v>41997</v>
      </c>
      <c r="E549" s="1">
        <v>42025</v>
      </c>
      <c r="F549" s="1">
        <v>42024</v>
      </c>
      <c r="G549">
        <v>2</v>
      </c>
      <c r="H549">
        <v>126.66</v>
      </c>
      <c r="I549">
        <f t="shared" si="8"/>
        <v>2014</v>
      </c>
    </row>
    <row r="550" spans="1:9" x14ac:dyDescent="0.25">
      <c r="A550">
        <v>10796</v>
      </c>
      <c r="B550" t="s">
        <v>16</v>
      </c>
      <c r="C550">
        <v>3</v>
      </c>
      <c r="D550" s="1">
        <v>41998</v>
      </c>
      <c r="E550" s="1">
        <v>42026</v>
      </c>
      <c r="F550" s="1">
        <v>42018</v>
      </c>
      <c r="G550">
        <v>1</v>
      </c>
      <c r="H550">
        <v>26.52</v>
      </c>
      <c r="I550">
        <f t="shared" si="8"/>
        <v>2014</v>
      </c>
    </row>
    <row r="551" spans="1:9" x14ac:dyDescent="0.25">
      <c r="A551">
        <v>10797</v>
      </c>
      <c r="B551" t="s">
        <v>65</v>
      </c>
      <c r="C551">
        <v>7</v>
      </c>
      <c r="D551" s="1">
        <v>41998</v>
      </c>
      <c r="E551" s="1">
        <v>42026</v>
      </c>
      <c r="F551" s="1">
        <v>42009</v>
      </c>
      <c r="G551">
        <v>2</v>
      </c>
      <c r="H551">
        <v>33.35</v>
      </c>
      <c r="I551">
        <f t="shared" si="8"/>
        <v>2014</v>
      </c>
    </row>
    <row r="552" spans="1:9" x14ac:dyDescent="0.25">
      <c r="A552">
        <v>10798</v>
      </c>
      <c r="B552" t="s">
        <v>50</v>
      </c>
      <c r="C552">
        <v>2</v>
      </c>
      <c r="D552" s="1">
        <v>41999</v>
      </c>
      <c r="E552" s="1">
        <v>42027</v>
      </c>
      <c r="F552" s="1">
        <v>42009</v>
      </c>
      <c r="G552">
        <v>1</v>
      </c>
      <c r="H552">
        <v>2.33</v>
      </c>
      <c r="I552">
        <f t="shared" si="8"/>
        <v>2014</v>
      </c>
    </row>
    <row r="553" spans="1:9" x14ac:dyDescent="0.25">
      <c r="A553">
        <v>10799</v>
      </c>
      <c r="B553" t="s">
        <v>52</v>
      </c>
      <c r="C553">
        <v>9</v>
      </c>
      <c r="D553" s="1">
        <v>41999</v>
      </c>
      <c r="E553" s="1">
        <v>42041</v>
      </c>
      <c r="F553" s="1">
        <v>42009</v>
      </c>
      <c r="G553">
        <v>3</v>
      </c>
      <c r="H553">
        <v>30.76</v>
      </c>
      <c r="I553">
        <f t="shared" si="8"/>
        <v>2014</v>
      </c>
    </row>
    <row r="554" spans="1:9" x14ac:dyDescent="0.25">
      <c r="A554">
        <v>10800</v>
      </c>
      <c r="B554" t="s">
        <v>64</v>
      </c>
      <c r="C554">
        <v>1</v>
      </c>
      <c r="D554" s="1">
        <v>41999</v>
      </c>
      <c r="E554" s="1">
        <v>42027</v>
      </c>
      <c r="F554" s="1">
        <v>42009</v>
      </c>
      <c r="G554">
        <v>3</v>
      </c>
      <c r="H554">
        <v>137.44</v>
      </c>
      <c r="I554">
        <f t="shared" si="8"/>
        <v>2014</v>
      </c>
    </row>
    <row r="555" spans="1:9" x14ac:dyDescent="0.25">
      <c r="A555">
        <v>10801</v>
      </c>
      <c r="B555" t="s">
        <v>54</v>
      </c>
      <c r="C555">
        <v>4</v>
      </c>
      <c r="D555" s="1">
        <v>42002</v>
      </c>
      <c r="E555" s="1">
        <v>42030</v>
      </c>
      <c r="F555" s="1">
        <v>42004</v>
      </c>
      <c r="G555">
        <v>2</v>
      </c>
      <c r="H555">
        <v>97.09</v>
      </c>
      <c r="I555">
        <f t="shared" si="8"/>
        <v>2014</v>
      </c>
    </row>
    <row r="556" spans="1:9" x14ac:dyDescent="0.25">
      <c r="A556">
        <v>10802</v>
      </c>
      <c r="B556" t="s">
        <v>59</v>
      </c>
      <c r="C556">
        <v>4</v>
      </c>
      <c r="D556" s="1">
        <v>42002</v>
      </c>
      <c r="E556" s="1">
        <v>42030</v>
      </c>
      <c r="F556" s="1">
        <v>42006</v>
      </c>
      <c r="G556">
        <v>2</v>
      </c>
      <c r="H556">
        <v>257.26</v>
      </c>
      <c r="I556">
        <f t="shared" si="8"/>
        <v>2014</v>
      </c>
    </row>
    <row r="557" spans="1:9" x14ac:dyDescent="0.25">
      <c r="A557">
        <v>10803</v>
      </c>
      <c r="B557" t="s">
        <v>15</v>
      </c>
      <c r="C557">
        <v>4</v>
      </c>
      <c r="D557" s="1">
        <v>42003</v>
      </c>
      <c r="E557" s="1">
        <v>42031</v>
      </c>
      <c r="F557" s="1">
        <v>42010</v>
      </c>
      <c r="G557">
        <v>1</v>
      </c>
      <c r="H557">
        <v>55.23</v>
      </c>
      <c r="I557">
        <f t="shared" si="8"/>
        <v>2014</v>
      </c>
    </row>
    <row r="558" spans="1:9" x14ac:dyDescent="0.25">
      <c r="A558">
        <v>10804</v>
      </c>
      <c r="B558" t="s">
        <v>64</v>
      </c>
      <c r="C558">
        <v>6</v>
      </c>
      <c r="D558" s="1">
        <v>42003</v>
      </c>
      <c r="E558" s="1">
        <v>42031</v>
      </c>
      <c r="F558" s="1">
        <v>42011</v>
      </c>
      <c r="G558">
        <v>2</v>
      </c>
      <c r="H558">
        <v>27.33</v>
      </c>
      <c r="I558">
        <f t="shared" si="8"/>
        <v>2014</v>
      </c>
    </row>
    <row r="559" spans="1:9" x14ac:dyDescent="0.25">
      <c r="A559">
        <v>10805</v>
      </c>
      <c r="B559" t="s">
        <v>48</v>
      </c>
      <c r="C559">
        <v>2</v>
      </c>
      <c r="D559" s="1">
        <v>42003</v>
      </c>
      <c r="E559" s="1">
        <v>42031</v>
      </c>
      <c r="F559" s="1">
        <v>42013</v>
      </c>
      <c r="G559">
        <v>3</v>
      </c>
      <c r="H559">
        <v>237.34</v>
      </c>
      <c r="I559">
        <f t="shared" si="8"/>
        <v>2014</v>
      </c>
    </row>
    <row r="560" spans="1:9" x14ac:dyDescent="0.25">
      <c r="A560">
        <v>10806</v>
      </c>
      <c r="B560" t="s">
        <v>11</v>
      </c>
      <c r="C560">
        <v>3</v>
      </c>
      <c r="D560" s="1">
        <v>42004</v>
      </c>
      <c r="E560" s="1">
        <v>42032</v>
      </c>
      <c r="F560" s="1">
        <v>42009</v>
      </c>
      <c r="G560">
        <v>2</v>
      </c>
      <c r="H560">
        <v>22.11</v>
      </c>
      <c r="I560">
        <f t="shared" si="8"/>
        <v>2014</v>
      </c>
    </row>
    <row r="561" spans="1:9" x14ac:dyDescent="0.25">
      <c r="A561">
        <v>10807</v>
      </c>
      <c r="B561" t="s">
        <v>78</v>
      </c>
      <c r="C561">
        <v>4</v>
      </c>
      <c r="D561" s="1">
        <v>42004</v>
      </c>
      <c r="E561" s="1">
        <v>42032</v>
      </c>
      <c r="F561" s="1">
        <v>42034</v>
      </c>
      <c r="G561">
        <v>1</v>
      </c>
      <c r="H561">
        <v>1.36</v>
      </c>
      <c r="I561">
        <f t="shared" si="8"/>
        <v>2014</v>
      </c>
    </row>
    <row r="562" spans="1:9" x14ac:dyDescent="0.25">
      <c r="A562">
        <v>10808</v>
      </c>
      <c r="B562" t="s">
        <v>45</v>
      </c>
      <c r="C562">
        <v>2</v>
      </c>
      <c r="D562" s="1">
        <v>42005</v>
      </c>
      <c r="E562" s="1">
        <v>42033</v>
      </c>
      <c r="F562" s="1">
        <v>42013</v>
      </c>
      <c r="G562">
        <v>3</v>
      </c>
      <c r="H562">
        <v>45.53</v>
      </c>
      <c r="I562">
        <f t="shared" si="8"/>
        <v>2015</v>
      </c>
    </row>
    <row r="563" spans="1:9" x14ac:dyDescent="0.25">
      <c r="A563">
        <v>10809</v>
      </c>
      <c r="B563" t="s">
        <v>15</v>
      </c>
      <c r="C563">
        <v>7</v>
      </c>
      <c r="D563" s="1">
        <v>42005</v>
      </c>
      <c r="E563" s="1">
        <v>42033</v>
      </c>
      <c r="F563" s="1">
        <v>42011</v>
      </c>
      <c r="G563">
        <v>1</v>
      </c>
      <c r="H563">
        <v>4.87</v>
      </c>
      <c r="I563">
        <f t="shared" si="8"/>
        <v>2015</v>
      </c>
    </row>
    <row r="564" spans="1:9" x14ac:dyDescent="0.25">
      <c r="A564">
        <v>10810</v>
      </c>
      <c r="B564" t="s">
        <v>83</v>
      </c>
      <c r="C564">
        <v>2</v>
      </c>
      <c r="D564" s="1">
        <v>42005</v>
      </c>
      <c r="E564" s="1">
        <v>42033</v>
      </c>
      <c r="F564" s="1">
        <v>42011</v>
      </c>
      <c r="G564">
        <v>3</v>
      </c>
      <c r="H564">
        <v>4.33</v>
      </c>
      <c r="I564">
        <f t="shared" si="8"/>
        <v>2015</v>
      </c>
    </row>
    <row r="565" spans="1:9" x14ac:dyDescent="0.25">
      <c r="A565">
        <v>10811</v>
      </c>
      <c r="B565" t="s">
        <v>75</v>
      </c>
      <c r="C565">
        <v>8</v>
      </c>
      <c r="D565" s="1">
        <v>42006</v>
      </c>
      <c r="E565" s="1">
        <v>42034</v>
      </c>
      <c r="F565" s="1">
        <v>42012</v>
      </c>
      <c r="G565">
        <v>1</v>
      </c>
      <c r="H565">
        <v>31.22</v>
      </c>
      <c r="I565">
        <f t="shared" si="8"/>
        <v>2015</v>
      </c>
    </row>
    <row r="566" spans="1:9" x14ac:dyDescent="0.25">
      <c r="A566">
        <v>10812</v>
      </c>
      <c r="B566" t="s">
        <v>38</v>
      </c>
      <c r="C566">
        <v>5</v>
      </c>
      <c r="D566" s="1">
        <v>42006</v>
      </c>
      <c r="E566" s="1">
        <v>42034</v>
      </c>
      <c r="F566" s="1">
        <v>42016</v>
      </c>
      <c r="G566">
        <v>1</v>
      </c>
      <c r="H566">
        <v>59.78</v>
      </c>
      <c r="I566">
        <f t="shared" si="8"/>
        <v>2015</v>
      </c>
    </row>
    <row r="567" spans="1:9" x14ac:dyDescent="0.25">
      <c r="A567">
        <v>10813</v>
      </c>
      <c r="B567" t="s">
        <v>37</v>
      </c>
      <c r="C567">
        <v>1</v>
      </c>
      <c r="D567" s="1">
        <v>42009</v>
      </c>
      <c r="E567" s="1">
        <v>42037</v>
      </c>
      <c r="F567" s="1">
        <v>42013</v>
      </c>
      <c r="G567">
        <v>1</v>
      </c>
      <c r="H567">
        <v>47.38</v>
      </c>
      <c r="I567">
        <f t="shared" si="8"/>
        <v>2015</v>
      </c>
    </row>
    <row r="568" spans="1:9" x14ac:dyDescent="0.25">
      <c r="A568">
        <v>10814</v>
      </c>
      <c r="B568" t="s">
        <v>11</v>
      </c>
      <c r="C568">
        <v>3</v>
      </c>
      <c r="D568" s="1">
        <v>42009</v>
      </c>
      <c r="E568" s="1">
        <v>42037</v>
      </c>
      <c r="F568" s="1">
        <v>42018</v>
      </c>
      <c r="G568">
        <v>3</v>
      </c>
      <c r="H568">
        <v>130.94</v>
      </c>
      <c r="I568">
        <f t="shared" si="8"/>
        <v>2015</v>
      </c>
    </row>
    <row r="569" spans="1:9" x14ac:dyDescent="0.25">
      <c r="A569">
        <v>10815</v>
      </c>
      <c r="B569" t="s">
        <v>53</v>
      </c>
      <c r="C569">
        <v>2</v>
      </c>
      <c r="D569" s="1">
        <v>42009</v>
      </c>
      <c r="E569" s="1">
        <v>42037</v>
      </c>
      <c r="F569" s="1">
        <v>42018</v>
      </c>
      <c r="G569">
        <v>3</v>
      </c>
      <c r="H569">
        <v>14.62</v>
      </c>
      <c r="I569">
        <f t="shared" si="8"/>
        <v>2015</v>
      </c>
    </row>
    <row r="570" spans="1:9" x14ac:dyDescent="0.25">
      <c r="A570">
        <v>10816</v>
      </c>
      <c r="B570" t="s">
        <v>87</v>
      </c>
      <c r="C570">
        <v>4</v>
      </c>
      <c r="D570" s="1">
        <v>42010</v>
      </c>
      <c r="E570" s="1">
        <v>42038</v>
      </c>
      <c r="F570" s="1">
        <v>42039</v>
      </c>
      <c r="G570">
        <v>2</v>
      </c>
      <c r="H570">
        <v>719.78</v>
      </c>
      <c r="I570">
        <f t="shared" si="8"/>
        <v>2015</v>
      </c>
    </row>
    <row r="571" spans="1:9" x14ac:dyDescent="0.25">
      <c r="A571">
        <v>10817</v>
      </c>
      <c r="B571" t="s">
        <v>52</v>
      </c>
      <c r="C571">
        <v>3</v>
      </c>
      <c r="D571" s="1">
        <v>42010</v>
      </c>
      <c r="E571" s="1">
        <v>42024</v>
      </c>
      <c r="F571" s="1">
        <v>42017</v>
      </c>
      <c r="G571">
        <v>2</v>
      </c>
      <c r="H571">
        <v>306.07</v>
      </c>
      <c r="I571">
        <f t="shared" si="8"/>
        <v>2015</v>
      </c>
    </row>
    <row r="572" spans="1:9" x14ac:dyDescent="0.25">
      <c r="A572">
        <v>10818</v>
      </c>
      <c r="B572" t="s">
        <v>30</v>
      </c>
      <c r="C572">
        <v>7</v>
      </c>
      <c r="D572" s="1">
        <v>42011</v>
      </c>
      <c r="E572" s="1">
        <v>42039</v>
      </c>
      <c r="F572" s="1">
        <v>42016</v>
      </c>
      <c r="G572">
        <v>3</v>
      </c>
      <c r="H572">
        <v>65.48</v>
      </c>
      <c r="I572">
        <f t="shared" si="8"/>
        <v>2015</v>
      </c>
    </row>
    <row r="573" spans="1:9" x14ac:dyDescent="0.25">
      <c r="A573">
        <v>10819</v>
      </c>
      <c r="B573" t="s">
        <v>86</v>
      </c>
      <c r="C573">
        <v>2</v>
      </c>
      <c r="D573" s="1">
        <v>42011</v>
      </c>
      <c r="E573" s="1">
        <v>42039</v>
      </c>
      <c r="F573" s="1">
        <v>42020</v>
      </c>
      <c r="G573">
        <v>3</v>
      </c>
      <c r="H573">
        <v>19.760000000000002</v>
      </c>
      <c r="I573">
        <f t="shared" si="8"/>
        <v>2015</v>
      </c>
    </row>
    <row r="574" spans="1:9" x14ac:dyDescent="0.25">
      <c r="A574">
        <v>10820</v>
      </c>
      <c r="B574" t="s">
        <v>21</v>
      </c>
      <c r="C574">
        <v>3</v>
      </c>
      <c r="D574" s="1">
        <v>42011</v>
      </c>
      <c r="E574" s="1">
        <v>42039</v>
      </c>
      <c r="F574" s="1">
        <v>42017</v>
      </c>
      <c r="G574">
        <v>2</v>
      </c>
      <c r="H574">
        <v>37.520000000000003</v>
      </c>
      <c r="I574">
        <f t="shared" si="8"/>
        <v>2015</v>
      </c>
    </row>
    <row r="575" spans="1:9" x14ac:dyDescent="0.25">
      <c r="A575">
        <v>10821</v>
      </c>
      <c r="B575" t="s">
        <v>28</v>
      </c>
      <c r="C575">
        <v>1</v>
      </c>
      <c r="D575" s="1">
        <v>42012</v>
      </c>
      <c r="E575" s="1">
        <v>42040</v>
      </c>
      <c r="F575" s="1">
        <v>42019</v>
      </c>
      <c r="G575">
        <v>1</v>
      </c>
      <c r="H575">
        <v>36.68</v>
      </c>
      <c r="I575">
        <f t="shared" si="8"/>
        <v>2015</v>
      </c>
    </row>
    <row r="576" spans="1:9" x14ac:dyDescent="0.25">
      <c r="A576">
        <v>10822</v>
      </c>
      <c r="B576" t="s">
        <v>89</v>
      </c>
      <c r="C576">
        <v>6</v>
      </c>
      <c r="D576" s="1">
        <v>42012</v>
      </c>
      <c r="E576" s="1">
        <v>42040</v>
      </c>
      <c r="F576" s="1">
        <v>42020</v>
      </c>
      <c r="G576">
        <v>3</v>
      </c>
      <c r="H576">
        <v>7</v>
      </c>
      <c r="I576">
        <f t="shared" si="8"/>
        <v>2015</v>
      </c>
    </row>
    <row r="577" spans="1:9" x14ac:dyDescent="0.25">
      <c r="A577">
        <v>10823</v>
      </c>
      <c r="B577" t="s">
        <v>36</v>
      </c>
      <c r="C577">
        <v>5</v>
      </c>
      <c r="D577" s="1">
        <v>42013</v>
      </c>
      <c r="E577" s="1">
        <v>42041</v>
      </c>
      <c r="F577" s="1">
        <v>42017</v>
      </c>
      <c r="G577">
        <v>2</v>
      </c>
      <c r="H577">
        <v>163.97</v>
      </c>
      <c r="I577">
        <f t="shared" si="8"/>
        <v>2015</v>
      </c>
    </row>
    <row r="578" spans="1:9" x14ac:dyDescent="0.25">
      <c r="A578">
        <v>10824</v>
      </c>
      <c r="B578" t="s">
        <v>22</v>
      </c>
      <c r="C578">
        <v>8</v>
      </c>
      <c r="D578" s="1">
        <v>42013</v>
      </c>
      <c r="E578" s="1">
        <v>42041</v>
      </c>
      <c r="F578" s="1">
        <v>42034</v>
      </c>
      <c r="G578">
        <v>1</v>
      </c>
      <c r="H578">
        <v>1.23</v>
      </c>
      <c r="I578">
        <f t="shared" si="8"/>
        <v>2015</v>
      </c>
    </row>
    <row r="579" spans="1:9" x14ac:dyDescent="0.25">
      <c r="A579">
        <v>10825</v>
      </c>
      <c r="B579" t="s">
        <v>65</v>
      </c>
      <c r="C579">
        <v>1</v>
      </c>
      <c r="D579" s="1">
        <v>42013</v>
      </c>
      <c r="E579" s="1">
        <v>42041</v>
      </c>
      <c r="F579" s="1">
        <v>42018</v>
      </c>
      <c r="G579">
        <v>1</v>
      </c>
      <c r="H579">
        <v>79.25</v>
      </c>
      <c r="I579">
        <f t="shared" ref="I579:I642" si="9">YEAR(D579)</f>
        <v>2015</v>
      </c>
    </row>
    <row r="580" spans="1:9" x14ac:dyDescent="0.25">
      <c r="A580">
        <v>10826</v>
      </c>
      <c r="B580" t="s">
        <v>23</v>
      </c>
      <c r="C580">
        <v>6</v>
      </c>
      <c r="D580" s="1">
        <v>42016</v>
      </c>
      <c r="E580" s="1">
        <v>42044</v>
      </c>
      <c r="F580" s="1">
        <v>42041</v>
      </c>
      <c r="G580">
        <v>1</v>
      </c>
      <c r="H580">
        <v>7.09</v>
      </c>
      <c r="I580">
        <f t="shared" si="9"/>
        <v>2015</v>
      </c>
    </row>
    <row r="581" spans="1:9" x14ac:dyDescent="0.25">
      <c r="A581">
        <v>10827</v>
      </c>
      <c r="B581" t="s">
        <v>56</v>
      </c>
      <c r="C581">
        <v>1</v>
      </c>
      <c r="D581" s="1">
        <v>42016</v>
      </c>
      <c r="E581" s="1">
        <v>42030</v>
      </c>
      <c r="F581" s="1">
        <v>42041</v>
      </c>
      <c r="G581">
        <v>2</v>
      </c>
      <c r="H581">
        <v>63.54</v>
      </c>
      <c r="I581">
        <f t="shared" si="9"/>
        <v>2015</v>
      </c>
    </row>
    <row r="582" spans="1:9" x14ac:dyDescent="0.25">
      <c r="A582">
        <v>10828</v>
      </c>
      <c r="B582" t="s">
        <v>81</v>
      </c>
      <c r="C582">
        <v>9</v>
      </c>
      <c r="D582" s="1">
        <v>42017</v>
      </c>
      <c r="E582" s="1">
        <v>42031</v>
      </c>
      <c r="F582" s="1">
        <v>42039</v>
      </c>
      <c r="G582">
        <v>1</v>
      </c>
      <c r="H582">
        <v>90.85</v>
      </c>
      <c r="I582">
        <f t="shared" si="9"/>
        <v>2015</v>
      </c>
    </row>
    <row r="583" spans="1:9" x14ac:dyDescent="0.25">
      <c r="A583">
        <v>10829</v>
      </c>
      <c r="B583" t="s">
        <v>50</v>
      </c>
      <c r="C583">
        <v>9</v>
      </c>
      <c r="D583" s="1">
        <v>42017</v>
      </c>
      <c r="E583" s="1">
        <v>42045</v>
      </c>
      <c r="F583" s="1">
        <v>42027</v>
      </c>
      <c r="G583">
        <v>1</v>
      </c>
      <c r="H583">
        <v>154.72</v>
      </c>
      <c r="I583">
        <f t="shared" si="9"/>
        <v>2015</v>
      </c>
    </row>
    <row r="584" spans="1:9" x14ac:dyDescent="0.25">
      <c r="A584">
        <v>10830</v>
      </c>
      <c r="B584" t="s">
        <v>41</v>
      </c>
      <c r="C584">
        <v>4</v>
      </c>
      <c r="D584" s="1">
        <v>42017</v>
      </c>
      <c r="E584" s="1">
        <v>42059</v>
      </c>
      <c r="F584" s="1">
        <v>42025</v>
      </c>
      <c r="G584">
        <v>2</v>
      </c>
      <c r="H584">
        <v>81.83</v>
      </c>
      <c r="I584">
        <f t="shared" si="9"/>
        <v>2015</v>
      </c>
    </row>
    <row r="585" spans="1:9" x14ac:dyDescent="0.25">
      <c r="A585">
        <v>10831</v>
      </c>
      <c r="B585" t="s">
        <v>73</v>
      </c>
      <c r="C585">
        <v>3</v>
      </c>
      <c r="D585" s="1">
        <v>42018</v>
      </c>
      <c r="E585" s="1">
        <v>42046</v>
      </c>
      <c r="F585" s="1">
        <v>42027</v>
      </c>
      <c r="G585">
        <v>2</v>
      </c>
      <c r="H585">
        <v>72.19</v>
      </c>
      <c r="I585">
        <f t="shared" si="9"/>
        <v>2015</v>
      </c>
    </row>
    <row r="586" spans="1:9" x14ac:dyDescent="0.25">
      <c r="A586">
        <v>10832</v>
      </c>
      <c r="B586" t="s">
        <v>61</v>
      </c>
      <c r="C586">
        <v>2</v>
      </c>
      <c r="D586" s="1">
        <v>42018</v>
      </c>
      <c r="E586" s="1">
        <v>42046</v>
      </c>
      <c r="F586" s="1">
        <v>42023</v>
      </c>
      <c r="G586">
        <v>2</v>
      </c>
      <c r="H586">
        <v>43.26</v>
      </c>
      <c r="I586">
        <f t="shared" si="9"/>
        <v>2015</v>
      </c>
    </row>
    <row r="587" spans="1:9" x14ac:dyDescent="0.25">
      <c r="A587">
        <v>10833</v>
      </c>
      <c r="B587" t="s">
        <v>19</v>
      </c>
      <c r="C587">
        <v>6</v>
      </c>
      <c r="D587" s="1">
        <v>42019</v>
      </c>
      <c r="E587" s="1">
        <v>42047</v>
      </c>
      <c r="F587" s="1">
        <v>42027</v>
      </c>
      <c r="G587">
        <v>2</v>
      </c>
      <c r="H587">
        <v>71.489999999999995</v>
      </c>
      <c r="I587">
        <f t="shared" si="9"/>
        <v>2015</v>
      </c>
    </row>
    <row r="588" spans="1:9" x14ac:dyDescent="0.25">
      <c r="A588">
        <v>10834</v>
      </c>
      <c r="B588" t="s">
        <v>41</v>
      </c>
      <c r="C588">
        <v>1</v>
      </c>
      <c r="D588" s="1">
        <v>42019</v>
      </c>
      <c r="E588" s="1">
        <v>42047</v>
      </c>
      <c r="F588" s="1">
        <v>42023</v>
      </c>
      <c r="G588">
        <v>3</v>
      </c>
      <c r="H588">
        <v>29.78</v>
      </c>
      <c r="I588">
        <f t="shared" si="9"/>
        <v>2015</v>
      </c>
    </row>
    <row r="589" spans="1:9" x14ac:dyDescent="0.25">
      <c r="A589">
        <v>10835</v>
      </c>
      <c r="B589" t="s">
        <v>93</v>
      </c>
      <c r="C589">
        <v>1</v>
      </c>
      <c r="D589" s="1">
        <v>42019</v>
      </c>
      <c r="E589" s="1">
        <v>42047</v>
      </c>
      <c r="F589" s="1">
        <v>42025</v>
      </c>
      <c r="G589">
        <v>3</v>
      </c>
      <c r="H589">
        <v>69.53</v>
      </c>
      <c r="I589">
        <f t="shared" si="9"/>
        <v>2015</v>
      </c>
    </row>
    <row r="590" spans="1:9" x14ac:dyDescent="0.25">
      <c r="A590">
        <v>10836</v>
      </c>
      <c r="B590" t="s">
        <v>17</v>
      </c>
      <c r="C590">
        <v>7</v>
      </c>
      <c r="D590" s="1">
        <v>42020</v>
      </c>
      <c r="E590" s="1">
        <v>42048</v>
      </c>
      <c r="F590" s="1">
        <v>42025</v>
      </c>
      <c r="G590">
        <v>1</v>
      </c>
      <c r="H590">
        <v>411.88</v>
      </c>
      <c r="I590">
        <f t="shared" si="9"/>
        <v>2015</v>
      </c>
    </row>
    <row r="591" spans="1:9" x14ac:dyDescent="0.25">
      <c r="A591">
        <v>10837</v>
      </c>
      <c r="B591" t="s">
        <v>33</v>
      </c>
      <c r="C591">
        <v>9</v>
      </c>
      <c r="D591" s="1">
        <v>42020</v>
      </c>
      <c r="E591" s="1">
        <v>42048</v>
      </c>
      <c r="F591" s="1">
        <v>42027</v>
      </c>
      <c r="G591">
        <v>3</v>
      </c>
      <c r="H591">
        <v>13.32</v>
      </c>
      <c r="I591">
        <f t="shared" si="9"/>
        <v>2015</v>
      </c>
    </row>
    <row r="592" spans="1:9" x14ac:dyDescent="0.25">
      <c r="A592">
        <v>10838</v>
      </c>
      <c r="B592" t="s">
        <v>75</v>
      </c>
      <c r="C592">
        <v>3</v>
      </c>
      <c r="D592" s="1">
        <v>42023</v>
      </c>
      <c r="E592" s="1">
        <v>42051</v>
      </c>
      <c r="F592" s="1">
        <v>42027</v>
      </c>
      <c r="G592">
        <v>3</v>
      </c>
      <c r="H592">
        <v>59.28</v>
      </c>
      <c r="I592">
        <f t="shared" si="9"/>
        <v>2015</v>
      </c>
    </row>
    <row r="593" spans="1:9" x14ac:dyDescent="0.25">
      <c r="A593">
        <v>10839</v>
      </c>
      <c r="B593" t="s">
        <v>41</v>
      </c>
      <c r="C593">
        <v>3</v>
      </c>
      <c r="D593" s="1">
        <v>42023</v>
      </c>
      <c r="E593" s="1">
        <v>42051</v>
      </c>
      <c r="F593" s="1">
        <v>42026</v>
      </c>
      <c r="G593">
        <v>3</v>
      </c>
      <c r="H593">
        <v>35.43</v>
      </c>
      <c r="I593">
        <f t="shared" si="9"/>
        <v>2015</v>
      </c>
    </row>
    <row r="594" spans="1:9" x14ac:dyDescent="0.25">
      <c r="A594">
        <v>10840</v>
      </c>
      <c r="B594" t="s">
        <v>75</v>
      </c>
      <c r="C594">
        <v>4</v>
      </c>
      <c r="D594" s="1">
        <v>42023</v>
      </c>
      <c r="E594" s="1">
        <v>42065</v>
      </c>
      <c r="F594" s="1">
        <v>42051</v>
      </c>
      <c r="G594">
        <v>2</v>
      </c>
      <c r="H594">
        <v>2.71</v>
      </c>
      <c r="I594">
        <f t="shared" si="9"/>
        <v>2015</v>
      </c>
    </row>
    <row r="595" spans="1:9" x14ac:dyDescent="0.25">
      <c r="A595">
        <v>10841</v>
      </c>
      <c r="B595" t="s">
        <v>12</v>
      </c>
      <c r="C595">
        <v>5</v>
      </c>
      <c r="D595" s="1">
        <v>42024</v>
      </c>
      <c r="E595" s="1">
        <v>42052</v>
      </c>
      <c r="F595" s="1">
        <v>42033</v>
      </c>
      <c r="G595">
        <v>2</v>
      </c>
      <c r="H595">
        <v>424.3</v>
      </c>
      <c r="I595">
        <f t="shared" si="9"/>
        <v>2015</v>
      </c>
    </row>
    <row r="596" spans="1:9" x14ac:dyDescent="0.25">
      <c r="A596">
        <v>10842</v>
      </c>
      <c r="B596" t="s">
        <v>31</v>
      </c>
      <c r="C596">
        <v>1</v>
      </c>
      <c r="D596" s="1">
        <v>42024</v>
      </c>
      <c r="E596" s="1">
        <v>42052</v>
      </c>
      <c r="F596" s="1">
        <v>42033</v>
      </c>
      <c r="G596">
        <v>3</v>
      </c>
      <c r="H596">
        <v>54.42</v>
      </c>
      <c r="I596">
        <f t="shared" si="9"/>
        <v>2015</v>
      </c>
    </row>
    <row r="597" spans="1:9" x14ac:dyDescent="0.25">
      <c r="A597">
        <v>10843</v>
      </c>
      <c r="B597" t="s">
        <v>11</v>
      </c>
      <c r="C597">
        <v>4</v>
      </c>
      <c r="D597" s="1">
        <v>42025</v>
      </c>
      <c r="E597" s="1">
        <v>42053</v>
      </c>
      <c r="F597" s="1">
        <v>42030</v>
      </c>
      <c r="G597">
        <v>2</v>
      </c>
      <c r="H597">
        <v>9.26</v>
      </c>
      <c r="I597">
        <f t="shared" si="9"/>
        <v>2015</v>
      </c>
    </row>
    <row r="598" spans="1:9" x14ac:dyDescent="0.25">
      <c r="A598">
        <v>10844</v>
      </c>
      <c r="B598" t="s">
        <v>62</v>
      </c>
      <c r="C598">
        <v>8</v>
      </c>
      <c r="D598" s="1">
        <v>42025</v>
      </c>
      <c r="E598" s="1">
        <v>42053</v>
      </c>
      <c r="F598" s="1">
        <v>42030</v>
      </c>
      <c r="G598">
        <v>2</v>
      </c>
      <c r="H598">
        <v>25.22</v>
      </c>
      <c r="I598">
        <f t="shared" si="9"/>
        <v>2015</v>
      </c>
    </row>
    <row r="599" spans="1:9" x14ac:dyDescent="0.25">
      <c r="A599">
        <v>10845</v>
      </c>
      <c r="B599" t="s">
        <v>29</v>
      </c>
      <c r="C599">
        <v>8</v>
      </c>
      <c r="D599" s="1">
        <v>42025</v>
      </c>
      <c r="E599" s="1">
        <v>42039</v>
      </c>
      <c r="F599" s="1">
        <v>42034</v>
      </c>
      <c r="G599">
        <v>1</v>
      </c>
      <c r="H599">
        <v>212.98</v>
      </c>
      <c r="I599">
        <f t="shared" si="9"/>
        <v>2015</v>
      </c>
    </row>
    <row r="600" spans="1:9" x14ac:dyDescent="0.25">
      <c r="A600">
        <v>10846</v>
      </c>
      <c r="B600" t="s">
        <v>12</v>
      </c>
      <c r="C600">
        <v>2</v>
      </c>
      <c r="D600" s="1">
        <v>42026</v>
      </c>
      <c r="E600" s="1">
        <v>42068</v>
      </c>
      <c r="F600" s="1">
        <v>42027</v>
      </c>
      <c r="G600">
        <v>3</v>
      </c>
      <c r="H600">
        <v>56.46</v>
      </c>
      <c r="I600">
        <f t="shared" si="9"/>
        <v>2015</v>
      </c>
    </row>
    <row r="601" spans="1:9" x14ac:dyDescent="0.25">
      <c r="A601">
        <v>10847</v>
      </c>
      <c r="B601" t="s">
        <v>53</v>
      </c>
      <c r="C601">
        <v>4</v>
      </c>
      <c r="D601" s="1">
        <v>42026</v>
      </c>
      <c r="E601" s="1">
        <v>42040</v>
      </c>
      <c r="F601" s="1">
        <v>42045</v>
      </c>
      <c r="G601">
        <v>3</v>
      </c>
      <c r="H601">
        <v>487.57</v>
      </c>
      <c r="I601">
        <f t="shared" si="9"/>
        <v>2015</v>
      </c>
    </row>
    <row r="602" spans="1:9" x14ac:dyDescent="0.25">
      <c r="A602">
        <v>10848</v>
      </c>
      <c r="B602" t="s">
        <v>80</v>
      </c>
      <c r="C602">
        <v>7</v>
      </c>
      <c r="D602" s="1">
        <v>42027</v>
      </c>
      <c r="E602" s="1">
        <v>42055</v>
      </c>
      <c r="F602" s="1">
        <v>42033</v>
      </c>
      <c r="G602">
        <v>2</v>
      </c>
      <c r="H602">
        <v>38.24</v>
      </c>
      <c r="I602">
        <f t="shared" si="9"/>
        <v>2015</v>
      </c>
    </row>
    <row r="603" spans="1:9" x14ac:dyDescent="0.25">
      <c r="A603">
        <v>10849</v>
      </c>
      <c r="B603" t="s">
        <v>52</v>
      </c>
      <c r="C603">
        <v>9</v>
      </c>
      <c r="D603" s="1">
        <v>42027</v>
      </c>
      <c r="E603" s="1">
        <v>42055</v>
      </c>
      <c r="F603" s="1">
        <v>42034</v>
      </c>
      <c r="G603">
        <v>2</v>
      </c>
      <c r="H603">
        <v>0.56000000000000005</v>
      </c>
      <c r="I603">
        <f t="shared" si="9"/>
        <v>2015</v>
      </c>
    </row>
    <row r="604" spans="1:9" x14ac:dyDescent="0.25">
      <c r="A604">
        <v>10850</v>
      </c>
      <c r="B604" t="s">
        <v>11</v>
      </c>
      <c r="C604">
        <v>1</v>
      </c>
      <c r="D604" s="1">
        <v>42027</v>
      </c>
      <c r="E604" s="1">
        <v>42069</v>
      </c>
      <c r="F604" s="1">
        <v>42034</v>
      </c>
      <c r="G604">
        <v>1</v>
      </c>
      <c r="H604">
        <v>49.19</v>
      </c>
      <c r="I604">
        <f t="shared" si="9"/>
        <v>2015</v>
      </c>
    </row>
    <row r="605" spans="1:9" x14ac:dyDescent="0.25">
      <c r="A605">
        <v>10851</v>
      </c>
      <c r="B605" t="s">
        <v>37</v>
      </c>
      <c r="C605">
        <v>5</v>
      </c>
      <c r="D605" s="1">
        <v>42030</v>
      </c>
      <c r="E605" s="1">
        <v>42058</v>
      </c>
      <c r="F605" s="1">
        <v>42037</v>
      </c>
      <c r="G605">
        <v>1</v>
      </c>
      <c r="H605">
        <v>160.55000000000001</v>
      </c>
      <c r="I605">
        <f t="shared" si="9"/>
        <v>2015</v>
      </c>
    </row>
    <row r="606" spans="1:9" x14ac:dyDescent="0.25">
      <c r="A606">
        <v>10852</v>
      </c>
      <c r="B606" t="s">
        <v>21</v>
      </c>
      <c r="C606">
        <v>8</v>
      </c>
      <c r="D606" s="1">
        <v>42030</v>
      </c>
      <c r="E606" s="1">
        <v>42044</v>
      </c>
      <c r="F606" s="1">
        <v>42034</v>
      </c>
      <c r="G606">
        <v>1</v>
      </c>
      <c r="H606">
        <v>174.05</v>
      </c>
      <c r="I606">
        <f t="shared" si="9"/>
        <v>2015</v>
      </c>
    </row>
    <row r="607" spans="1:9" x14ac:dyDescent="0.25">
      <c r="A607">
        <v>10853</v>
      </c>
      <c r="B607" t="s">
        <v>84</v>
      </c>
      <c r="C607">
        <v>9</v>
      </c>
      <c r="D607" s="1">
        <v>42031</v>
      </c>
      <c r="E607" s="1">
        <v>42059</v>
      </c>
      <c r="F607" s="1">
        <v>42038</v>
      </c>
      <c r="G607">
        <v>2</v>
      </c>
      <c r="H607">
        <v>53.83</v>
      </c>
      <c r="I607">
        <f t="shared" si="9"/>
        <v>2015</v>
      </c>
    </row>
    <row r="608" spans="1:9" x14ac:dyDescent="0.25">
      <c r="A608">
        <v>10854</v>
      </c>
      <c r="B608" t="s">
        <v>17</v>
      </c>
      <c r="C608">
        <v>3</v>
      </c>
      <c r="D608" s="1">
        <v>42031</v>
      </c>
      <c r="E608" s="1">
        <v>42059</v>
      </c>
      <c r="F608" s="1">
        <v>42040</v>
      </c>
      <c r="G608">
        <v>2</v>
      </c>
      <c r="H608">
        <v>100.22</v>
      </c>
      <c r="I608">
        <f t="shared" si="9"/>
        <v>2015</v>
      </c>
    </row>
    <row r="609" spans="1:9" x14ac:dyDescent="0.25">
      <c r="A609">
        <v>10855</v>
      </c>
      <c r="B609" t="s">
        <v>45</v>
      </c>
      <c r="C609">
        <v>3</v>
      </c>
      <c r="D609" s="1">
        <v>42031</v>
      </c>
      <c r="E609" s="1">
        <v>42059</v>
      </c>
      <c r="F609" s="1">
        <v>42039</v>
      </c>
      <c r="G609">
        <v>1</v>
      </c>
      <c r="H609">
        <v>170.97</v>
      </c>
      <c r="I609">
        <f t="shared" si="9"/>
        <v>2015</v>
      </c>
    </row>
    <row r="610" spans="1:9" x14ac:dyDescent="0.25">
      <c r="A610">
        <v>10856</v>
      </c>
      <c r="B610" t="s">
        <v>67</v>
      </c>
      <c r="C610">
        <v>3</v>
      </c>
      <c r="D610" s="1">
        <v>42032</v>
      </c>
      <c r="E610" s="1">
        <v>42060</v>
      </c>
      <c r="F610" s="1">
        <v>42045</v>
      </c>
      <c r="G610">
        <v>2</v>
      </c>
      <c r="H610">
        <v>58.43</v>
      </c>
      <c r="I610">
        <f t="shared" si="9"/>
        <v>2015</v>
      </c>
    </row>
    <row r="611" spans="1:9" x14ac:dyDescent="0.25">
      <c r="A611">
        <v>10857</v>
      </c>
      <c r="B611" t="s">
        <v>33</v>
      </c>
      <c r="C611">
        <v>8</v>
      </c>
      <c r="D611" s="1">
        <v>42032</v>
      </c>
      <c r="E611" s="1">
        <v>42060</v>
      </c>
      <c r="F611" s="1">
        <v>42041</v>
      </c>
      <c r="G611">
        <v>2</v>
      </c>
      <c r="H611">
        <v>188.85</v>
      </c>
      <c r="I611">
        <f t="shared" si="9"/>
        <v>2015</v>
      </c>
    </row>
    <row r="612" spans="1:9" x14ac:dyDescent="0.25">
      <c r="A612">
        <v>10858</v>
      </c>
      <c r="B612" t="s">
        <v>96</v>
      </c>
      <c r="C612">
        <v>2</v>
      </c>
      <c r="D612" s="1">
        <v>42033</v>
      </c>
      <c r="E612" s="1">
        <v>42061</v>
      </c>
      <c r="F612" s="1">
        <v>42038</v>
      </c>
      <c r="G612">
        <v>1</v>
      </c>
      <c r="H612">
        <v>52.51</v>
      </c>
      <c r="I612">
        <f t="shared" si="9"/>
        <v>2015</v>
      </c>
    </row>
    <row r="613" spans="1:9" x14ac:dyDescent="0.25">
      <c r="A613">
        <v>10859</v>
      </c>
      <c r="B613" t="s">
        <v>25</v>
      </c>
      <c r="C613">
        <v>1</v>
      </c>
      <c r="D613" s="1">
        <v>42033</v>
      </c>
      <c r="E613" s="1">
        <v>42061</v>
      </c>
      <c r="F613" s="1">
        <v>42037</v>
      </c>
      <c r="G613">
        <v>2</v>
      </c>
      <c r="H613">
        <v>76.099999999999994</v>
      </c>
      <c r="I613">
        <f t="shared" si="9"/>
        <v>2015</v>
      </c>
    </row>
    <row r="614" spans="1:9" x14ac:dyDescent="0.25">
      <c r="A614">
        <v>10860</v>
      </c>
      <c r="B614" t="s">
        <v>94</v>
      </c>
      <c r="C614">
        <v>3</v>
      </c>
      <c r="D614" s="1">
        <v>42033</v>
      </c>
      <c r="E614" s="1">
        <v>42061</v>
      </c>
      <c r="F614" s="1">
        <v>42039</v>
      </c>
      <c r="G614">
        <v>3</v>
      </c>
      <c r="H614">
        <v>19.260000000000002</v>
      </c>
      <c r="I614">
        <f t="shared" si="9"/>
        <v>2015</v>
      </c>
    </row>
    <row r="615" spans="1:9" x14ac:dyDescent="0.25">
      <c r="A615">
        <v>10861</v>
      </c>
      <c r="B615" t="s">
        <v>27</v>
      </c>
      <c r="C615">
        <v>4</v>
      </c>
      <c r="D615" s="1">
        <v>42034</v>
      </c>
      <c r="E615" s="1">
        <v>42062</v>
      </c>
      <c r="F615" s="1">
        <v>42052</v>
      </c>
      <c r="G615">
        <v>2</v>
      </c>
      <c r="H615">
        <v>14.93</v>
      </c>
      <c r="I615">
        <f t="shared" si="9"/>
        <v>2015</v>
      </c>
    </row>
    <row r="616" spans="1:9" x14ac:dyDescent="0.25">
      <c r="A616">
        <v>10862</v>
      </c>
      <c r="B616" t="s">
        <v>34</v>
      </c>
      <c r="C616">
        <v>8</v>
      </c>
      <c r="D616" s="1">
        <v>42034</v>
      </c>
      <c r="E616" s="1">
        <v>42076</v>
      </c>
      <c r="F616" s="1">
        <v>42037</v>
      </c>
      <c r="G616">
        <v>2</v>
      </c>
      <c r="H616">
        <v>53.23</v>
      </c>
      <c r="I616">
        <f t="shared" si="9"/>
        <v>2015</v>
      </c>
    </row>
    <row r="617" spans="1:9" x14ac:dyDescent="0.25">
      <c r="A617">
        <v>10863</v>
      </c>
      <c r="B617" t="s">
        <v>16</v>
      </c>
      <c r="C617">
        <v>4</v>
      </c>
      <c r="D617" s="1">
        <v>42037</v>
      </c>
      <c r="E617" s="1">
        <v>42065</v>
      </c>
      <c r="F617" s="1">
        <v>42052</v>
      </c>
      <c r="G617">
        <v>2</v>
      </c>
      <c r="H617">
        <v>30.26</v>
      </c>
      <c r="I617">
        <f t="shared" si="9"/>
        <v>2015</v>
      </c>
    </row>
    <row r="618" spans="1:9" x14ac:dyDescent="0.25">
      <c r="A618">
        <v>10864</v>
      </c>
      <c r="B618" t="s">
        <v>63</v>
      </c>
      <c r="C618">
        <v>4</v>
      </c>
      <c r="D618" s="1">
        <v>42037</v>
      </c>
      <c r="E618" s="1">
        <v>42065</v>
      </c>
      <c r="F618" s="1">
        <v>42044</v>
      </c>
      <c r="G618">
        <v>2</v>
      </c>
      <c r="H618">
        <v>3.04</v>
      </c>
      <c r="I618">
        <f t="shared" si="9"/>
        <v>2015</v>
      </c>
    </row>
    <row r="619" spans="1:9" x14ac:dyDescent="0.25">
      <c r="A619">
        <v>10865</v>
      </c>
      <c r="B619" t="s">
        <v>29</v>
      </c>
      <c r="C619">
        <v>2</v>
      </c>
      <c r="D619" s="1">
        <v>42037</v>
      </c>
      <c r="E619" s="1">
        <v>42051</v>
      </c>
      <c r="F619" s="1">
        <v>42047</v>
      </c>
      <c r="G619">
        <v>1</v>
      </c>
      <c r="H619">
        <v>348.14</v>
      </c>
      <c r="I619">
        <f t="shared" si="9"/>
        <v>2015</v>
      </c>
    </row>
    <row r="620" spans="1:9" x14ac:dyDescent="0.25">
      <c r="A620">
        <v>10866</v>
      </c>
      <c r="B620" t="s">
        <v>33</v>
      </c>
      <c r="C620">
        <v>5</v>
      </c>
      <c r="D620" s="1">
        <v>42038</v>
      </c>
      <c r="E620" s="1">
        <v>42066</v>
      </c>
      <c r="F620" s="1">
        <v>42047</v>
      </c>
      <c r="G620">
        <v>1</v>
      </c>
      <c r="H620">
        <v>109.11</v>
      </c>
      <c r="I620">
        <f t="shared" si="9"/>
        <v>2015</v>
      </c>
    </row>
    <row r="621" spans="1:9" x14ac:dyDescent="0.25">
      <c r="A621">
        <v>10867</v>
      </c>
      <c r="B621" t="s">
        <v>46</v>
      </c>
      <c r="C621">
        <v>6</v>
      </c>
      <c r="D621" s="1">
        <v>42038</v>
      </c>
      <c r="E621" s="1">
        <v>42080</v>
      </c>
      <c r="F621" s="1">
        <v>42046</v>
      </c>
      <c r="G621">
        <v>1</v>
      </c>
      <c r="H621">
        <v>1.93</v>
      </c>
      <c r="I621">
        <f t="shared" si="9"/>
        <v>2015</v>
      </c>
    </row>
    <row r="622" spans="1:9" x14ac:dyDescent="0.25">
      <c r="A622">
        <v>10868</v>
      </c>
      <c r="B622" t="s">
        <v>70</v>
      </c>
      <c r="C622">
        <v>7</v>
      </c>
      <c r="D622" s="1">
        <v>42039</v>
      </c>
      <c r="E622" s="1">
        <v>42067</v>
      </c>
      <c r="F622" s="1">
        <v>42058</v>
      </c>
      <c r="G622">
        <v>2</v>
      </c>
      <c r="H622">
        <v>191.27</v>
      </c>
      <c r="I622">
        <f t="shared" si="9"/>
        <v>2015</v>
      </c>
    </row>
    <row r="623" spans="1:9" x14ac:dyDescent="0.25">
      <c r="A623">
        <v>10869</v>
      </c>
      <c r="B623" t="s">
        <v>64</v>
      </c>
      <c r="C623">
        <v>5</v>
      </c>
      <c r="D623" s="1">
        <v>42039</v>
      </c>
      <c r="E623" s="1">
        <v>42067</v>
      </c>
      <c r="F623" s="1">
        <v>42044</v>
      </c>
      <c r="G623">
        <v>1</v>
      </c>
      <c r="H623">
        <v>143.28</v>
      </c>
      <c r="I623">
        <f t="shared" si="9"/>
        <v>2015</v>
      </c>
    </row>
    <row r="624" spans="1:9" x14ac:dyDescent="0.25">
      <c r="A624">
        <v>10870</v>
      </c>
      <c r="B624" t="s">
        <v>71</v>
      </c>
      <c r="C624">
        <v>5</v>
      </c>
      <c r="D624" s="1">
        <v>42039</v>
      </c>
      <c r="E624" s="1">
        <v>42067</v>
      </c>
      <c r="F624" s="1">
        <v>42048</v>
      </c>
      <c r="G624">
        <v>3</v>
      </c>
      <c r="H624">
        <v>12.04</v>
      </c>
      <c r="I624">
        <f t="shared" si="9"/>
        <v>2015</v>
      </c>
    </row>
    <row r="625" spans="1:9" x14ac:dyDescent="0.25">
      <c r="A625">
        <v>10871</v>
      </c>
      <c r="B625" t="s">
        <v>56</v>
      </c>
      <c r="C625">
        <v>9</v>
      </c>
      <c r="D625" s="1">
        <v>42040</v>
      </c>
      <c r="E625" s="1">
        <v>42068</v>
      </c>
      <c r="F625" s="1">
        <v>42045</v>
      </c>
      <c r="G625">
        <v>2</v>
      </c>
      <c r="H625">
        <v>112.27</v>
      </c>
      <c r="I625">
        <f t="shared" si="9"/>
        <v>2015</v>
      </c>
    </row>
    <row r="626" spans="1:9" x14ac:dyDescent="0.25">
      <c r="A626">
        <v>10872</v>
      </c>
      <c r="B626" t="s">
        <v>44</v>
      </c>
      <c r="C626">
        <v>5</v>
      </c>
      <c r="D626" s="1">
        <v>42040</v>
      </c>
      <c r="E626" s="1">
        <v>42068</v>
      </c>
      <c r="F626" s="1">
        <v>42044</v>
      </c>
      <c r="G626">
        <v>2</v>
      </c>
      <c r="H626">
        <v>175.32</v>
      </c>
      <c r="I626">
        <f t="shared" si="9"/>
        <v>2015</v>
      </c>
    </row>
    <row r="627" spans="1:9" x14ac:dyDescent="0.25">
      <c r="A627">
        <v>10873</v>
      </c>
      <c r="B627" t="s">
        <v>91</v>
      </c>
      <c r="C627">
        <v>4</v>
      </c>
      <c r="D627" s="1">
        <v>42041</v>
      </c>
      <c r="E627" s="1">
        <v>42069</v>
      </c>
      <c r="F627" s="1">
        <v>42044</v>
      </c>
      <c r="G627">
        <v>1</v>
      </c>
      <c r="H627">
        <v>0.82</v>
      </c>
      <c r="I627">
        <f t="shared" si="9"/>
        <v>2015</v>
      </c>
    </row>
    <row r="628" spans="1:9" x14ac:dyDescent="0.25">
      <c r="A628">
        <v>10874</v>
      </c>
      <c r="B628" t="s">
        <v>44</v>
      </c>
      <c r="C628">
        <v>5</v>
      </c>
      <c r="D628" s="1">
        <v>42041</v>
      </c>
      <c r="E628" s="1">
        <v>42069</v>
      </c>
      <c r="F628" s="1">
        <v>42046</v>
      </c>
      <c r="G628">
        <v>2</v>
      </c>
      <c r="H628">
        <v>19.579999999999998</v>
      </c>
      <c r="I628">
        <f t="shared" si="9"/>
        <v>2015</v>
      </c>
    </row>
    <row r="629" spans="1:9" x14ac:dyDescent="0.25">
      <c r="A629">
        <v>10875</v>
      </c>
      <c r="B629" t="s">
        <v>33</v>
      </c>
      <c r="C629">
        <v>4</v>
      </c>
      <c r="D629" s="1">
        <v>42041</v>
      </c>
      <c r="E629" s="1">
        <v>42069</v>
      </c>
      <c r="F629" s="1">
        <v>42066</v>
      </c>
      <c r="G629">
        <v>2</v>
      </c>
      <c r="H629">
        <v>32.369999999999997</v>
      </c>
      <c r="I629">
        <f t="shared" si="9"/>
        <v>2015</v>
      </c>
    </row>
    <row r="630" spans="1:9" x14ac:dyDescent="0.25">
      <c r="A630">
        <v>10876</v>
      </c>
      <c r="B630" t="s">
        <v>56</v>
      </c>
      <c r="C630">
        <v>7</v>
      </c>
      <c r="D630" s="1">
        <v>42044</v>
      </c>
      <c r="E630" s="1">
        <v>42072</v>
      </c>
      <c r="F630" s="1">
        <v>42047</v>
      </c>
      <c r="G630">
        <v>3</v>
      </c>
      <c r="H630">
        <v>60.42</v>
      </c>
      <c r="I630">
        <f t="shared" si="9"/>
        <v>2015</v>
      </c>
    </row>
    <row r="631" spans="1:9" x14ac:dyDescent="0.25">
      <c r="A631">
        <v>10877</v>
      </c>
      <c r="B631" t="s">
        <v>37</v>
      </c>
      <c r="C631">
        <v>1</v>
      </c>
      <c r="D631" s="1">
        <v>42044</v>
      </c>
      <c r="E631" s="1">
        <v>42072</v>
      </c>
      <c r="F631" s="1">
        <v>42054</v>
      </c>
      <c r="G631">
        <v>1</v>
      </c>
      <c r="H631">
        <v>38.06</v>
      </c>
      <c r="I631">
        <f t="shared" si="9"/>
        <v>2015</v>
      </c>
    </row>
    <row r="632" spans="1:9" x14ac:dyDescent="0.25">
      <c r="A632">
        <v>10878</v>
      </c>
      <c r="B632" t="s">
        <v>29</v>
      </c>
      <c r="C632">
        <v>4</v>
      </c>
      <c r="D632" s="1">
        <v>42045</v>
      </c>
      <c r="E632" s="1">
        <v>42073</v>
      </c>
      <c r="F632" s="1">
        <v>42047</v>
      </c>
      <c r="G632">
        <v>1</v>
      </c>
      <c r="H632">
        <v>46.69</v>
      </c>
      <c r="I632">
        <f t="shared" si="9"/>
        <v>2015</v>
      </c>
    </row>
    <row r="633" spans="1:9" x14ac:dyDescent="0.25">
      <c r="A633">
        <v>10879</v>
      </c>
      <c r="B633" t="s">
        <v>91</v>
      </c>
      <c r="C633">
        <v>3</v>
      </c>
      <c r="D633" s="1">
        <v>42045</v>
      </c>
      <c r="E633" s="1">
        <v>42073</v>
      </c>
      <c r="F633" s="1">
        <v>42047</v>
      </c>
      <c r="G633">
        <v>3</v>
      </c>
      <c r="H633">
        <v>8.5</v>
      </c>
      <c r="I633">
        <f t="shared" si="9"/>
        <v>2015</v>
      </c>
    </row>
    <row r="634" spans="1:9" x14ac:dyDescent="0.25">
      <c r="A634">
        <v>10880</v>
      </c>
      <c r="B634" t="s">
        <v>22</v>
      </c>
      <c r="C634">
        <v>7</v>
      </c>
      <c r="D634" s="1">
        <v>42045</v>
      </c>
      <c r="E634" s="1">
        <v>42087</v>
      </c>
      <c r="F634" s="1">
        <v>42053</v>
      </c>
      <c r="G634">
        <v>1</v>
      </c>
      <c r="H634">
        <v>88.01</v>
      </c>
      <c r="I634">
        <f t="shared" si="9"/>
        <v>2015</v>
      </c>
    </row>
    <row r="635" spans="1:9" x14ac:dyDescent="0.25">
      <c r="A635">
        <v>10881</v>
      </c>
      <c r="B635" t="s">
        <v>86</v>
      </c>
      <c r="C635">
        <v>4</v>
      </c>
      <c r="D635" s="1">
        <v>42046</v>
      </c>
      <c r="E635" s="1">
        <v>42074</v>
      </c>
      <c r="F635" s="1">
        <v>42053</v>
      </c>
      <c r="G635">
        <v>1</v>
      </c>
      <c r="H635">
        <v>2.84</v>
      </c>
      <c r="I635">
        <f t="shared" si="9"/>
        <v>2015</v>
      </c>
    </row>
    <row r="636" spans="1:9" x14ac:dyDescent="0.25">
      <c r="A636">
        <v>10882</v>
      </c>
      <c r="B636" t="s">
        <v>53</v>
      </c>
      <c r="C636">
        <v>4</v>
      </c>
      <c r="D636" s="1">
        <v>42046</v>
      </c>
      <c r="E636" s="1">
        <v>42074</v>
      </c>
      <c r="F636" s="1">
        <v>42055</v>
      </c>
      <c r="G636">
        <v>3</v>
      </c>
      <c r="H636">
        <v>23.1</v>
      </c>
      <c r="I636">
        <f t="shared" si="9"/>
        <v>2015</v>
      </c>
    </row>
    <row r="637" spans="1:9" x14ac:dyDescent="0.25">
      <c r="A637">
        <v>10883</v>
      </c>
      <c r="B637" t="s">
        <v>46</v>
      </c>
      <c r="C637">
        <v>8</v>
      </c>
      <c r="D637" s="1">
        <v>42047</v>
      </c>
      <c r="E637" s="1">
        <v>42075</v>
      </c>
      <c r="F637" s="1">
        <v>42055</v>
      </c>
      <c r="G637">
        <v>3</v>
      </c>
      <c r="H637">
        <v>0.53</v>
      </c>
      <c r="I637">
        <f t="shared" si="9"/>
        <v>2015</v>
      </c>
    </row>
    <row r="638" spans="1:9" x14ac:dyDescent="0.25">
      <c r="A638">
        <v>10884</v>
      </c>
      <c r="B638" t="s">
        <v>90</v>
      </c>
      <c r="C638">
        <v>4</v>
      </c>
      <c r="D638" s="1">
        <v>42047</v>
      </c>
      <c r="E638" s="1">
        <v>42075</v>
      </c>
      <c r="F638" s="1">
        <v>42048</v>
      </c>
      <c r="G638">
        <v>2</v>
      </c>
      <c r="H638">
        <v>90.97</v>
      </c>
      <c r="I638">
        <f t="shared" si="9"/>
        <v>2015</v>
      </c>
    </row>
    <row r="639" spans="1:9" x14ac:dyDescent="0.25">
      <c r="A639">
        <v>10885</v>
      </c>
      <c r="B639" t="s">
        <v>12</v>
      </c>
      <c r="C639">
        <v>6</v>
      </c>
      <c r="D639" s="1">
        <v>42047</v>
      </c>
      <c r="E639" s="1">
        <v>42075</v>
      </c>
      <c r="F639" s="1">
        <v>42053</v>
      </c>
      <c r="G639">
        <v>3</v>
      </c>
      <c r="H639">
        <v>5.64</v>
      </c>
      <c r="I639">
        <f t="shared" si="9"/>
        <v>2015</v>
      </c>
    </row>
    <row r="640" spans="1:9" x14ac:dyDescent="0.25">
      <c r="A640">
        <v>10886</v>
      </c>
      <c r="B640" t="s">
        <v>10</v>
      </c>
      <c r="C640">
        <v>1</v>
      </c>
      <c r="D640" s="1">
        <v>42048</v>
      </c>
      <c r="E640" s="1">
        <v>42076</v>
      </c>
      <c r="F640" s="1">
        <v>42065</v>
      </c>
      <c r="G640">
        <v>1</v>
      </c>
      <c r="H640">
        <v>4.99</v>
      </c>
      <c r="I640">
        <f t="shared" si="9"/>
        <v>2015</v>
      </c>
    </row>
    <row r="641" spans="1:9" x14ac:dyDescent="0.25">
      <c r="A641">
        <v>10887</v>
      </c>
      <c r="B641" t="s">
        <v>68</v>
      </c>
      <c r="C641">
        <v>8</v>
      </c>
      <c r="D641" s="1">
        <v>42048</v>
      </c>
      <c r="E641" s="1">
        <v>42076</v>
      </c>
      <c r="F641" s="1">
        <v>42051</v>
      </c>
      <c r="G641">
        <v>3</v>
      </c>
      <c r="H641">
        <v>1.25</v>
      </c>
      <c r="I641">
        <f t="shared" si="9"/>
        <v>2015</v>
      </c>
    </row>
    <row r="642" spans="1:9" x14ac:dyDescent="0.25">
      <c r="A642">
        <v>10888</v>
      </c>
      <c r="B642" t="s">
        <v>44</v>
      </c>
      <c r="C642">
        <v>1</v>
      </c>
      <c r="D642" s="1">
        <v>42051</v>
      </c>
      <c r="E642" s="1">
        <v>42079</v>
      </c>
      <c r="F642" s="1">
        <v>42058</v>
      </c>
      <c r="G642">
        <v>2</v>
      </c>
      <c r="H642">
        <v>51.87</v>
      </c>
      <c r="I642">
        <f t="shared" si="9"/>
        <v>2015</v>
      </c>
    </row>
    <row r="643" spans="1:9" x14ac:dyDescent="0.25">
      <c r="A643">
        <v>10889</v>
      </c>
      <c r="B643" t="s">
        <v>21</v>
      </c>
      <c r="C643">
        <v>9</v>
      </c>
      <c r="D643" s="1">
        <v>42051</v>
      </c>
      <c r="E643" s="1">
        <v>42079</v>
      </c>
      <c r="F643" s="1">
        <v>42058</v>
      </c>
      <c r="G643">
        <v>3</v>
      </c>
      <c r="H643">
        <v>280.61</v>
      </c>
      <c r="I643">
        <f t="shared" ref="I643:I706" si="10">YEAR(D643)</f>
        <v>2015</v>
      </c>
    </row>
    <row r="644" spans="1:9" x14ac:dyDescent="0.25">
      <c r="A644">
        <v>10890</v>
      </c>
      <c r="B644" t="s">
        <v>49</v>
      </c>
      <c r="C644">
        <v>7</v>
      </c>
      <c r="D644" s="1">
        <v>42051</v>
      </c>
      <c r="E644" s="1">
        <v>42079</v>
      </c>
      <c r="F644" s="1">
        <v>42053</v>
      </c>
      <c r="G644">
        <v>1</v>
      </c>
      <c r="H644">
        <v>32.76</v>
      </c>
      <c r="I644">
        <f t="shared" si="10"/>
        <v>2015</v>
      </c>
    </row>
    <row r="645" spans="1:9" x14ac:dyDescent="0.25">
      <c r="A645">
        <v>10891</v>
      </c>
      <c r="B645" t="s">
        <v>34</v>
      </c>
      <c r="C645">
        <v>7</v>
      </c>
      <c r="D645" s="1">
        <v>42052</v>
      </c>
      <c r="E645" s="1">
        <v>42080</v>
      </c>
      <c r="F645" s="1">
        <v>42054</v>
      </c>
      <c r="G645">
        <v>2</v>
      </c>
      <c r="H645">
        <v>20.37</v>
      </c>
      <c r="I645">
        <f t="shared" si="10"/>
        <v>2015</v>
      </c>
    </row>
    <row r="646" spans="1:9" x14ac:dyDescent="0.25">
      <c r="A646">
        <v>10892</v>
      </c>
      <c r="B646" t="s">
        <v>88</v>
      </c>
      <c r="C646">
        <v>4</v>
      </c>
      <c r="D646" s="1">
        <v>42052</v>
      </c>
      <c r="E646" s="1">
        <v>42080</v>
      </c>
      <c r="F646" s="1">
        <v>42054</v>
      </c>
      <c r="G646">
        <v>2</v>
      </c>
      <c r="H646">
        <v>120.27</v>
      </c>
      <c r="I646">
        <f t="shared" si="10"/>
        <v>2015</v>
      </c>
    </row>
    <row r="647" spans="1:9" x14ac:dyDescent="0.25">
      <c r="A647">
        <v>10893</v>
      </c>
      <c r="B647" t="s">
        <v>52</v>
      </c>
      <c r="C647">
        <v>9</v>
      </c>
      <c r="D647" s="1">
        <v>42053</v>
      </c>
      <c r="E647" s="1">
        <v>42081</v>
      </c>
      <c r="F647" s="1">
        <v>42055</v>
      </c>
      <c r="G647">
        <v>2</v>
      </c>
      <c r="H647">
        <v>77.78</v>
      </c>
      <c r="I647">
        <f t="shared" si="10"/>
        <v>2015</v>
      </c>
    </row>
    <row r="648" spans="1:9" x14ac:dyDescent="0.25">
      <c r="A648">
        <v>10894</v>
      </c>
      <c r="B648" t="s">
        <v>53</v>
      </c>
      <c r="C648">
        <v>1</v>
      </c>
      <c r="D648" s="1">
        <v>42053</v>
      </c>
      <c r="E648" s="1">
        <v>42081</v>
      </c>
      <c r="F648" s="1">
        <v>42055</v>
      </c>
      <c r="G648">
        <v>1</v>
      </c>
      <c r="H648">
        <v>116.13</v>
      </c>
      <c r="I648">
        <f t="shared" si="10"/>
        <v>2015</v>
      </c>
    </row>
    <row r="649" spans="1:9" x14ac:dyDescent="0.25">
      <c r="A649">
        <v>10895</v>
      </c>
      <c r="B649" t="s">
        <v>17</v>
      </c>
      <c r="C649">
        <v>3</v>
      </c>
      <c r="D649" s="1">
        <v>42053</v>
      </c>
      <c r="E649" s="1">
        <v>42081</v>
      </c>
      <c r="F649" s="1">
        <v>42058</v>
      </c>
      <c r="G649">
        <v>1</v>
      </c>
      <c r="H649">
        <v>162.75</v>
      </c>
      <c r="I649">
        <f t="shared" si="10"/>
        <v>2015</v>
      </c>
    </row>
    <row r="650" spans="1:9" x14ac:dyDescent="0.25">
      <c r="A650">
        <v>10896</v>
      </c>
      <c r="B650" t="s">
        <v>88</v>
      </c>
      <c r="C650">
        <v>7</v>
      </c>
      <c r="D650" s="1">
        <v>42054</v>
      </c>
      <c r="E650" s="1">
        <v>42082</v>
      </c>
      <c r="F650" s="1">
        <v>42062</v>
      </c>
      <c r="G650">
        <v>3</v>
      </c>
      <c r="H650">
        <v>32.450000000000003</v>
      </c>
      <c r="I650">
        <f t="shared" si="10"/>
        <v>2015</v>
      </c>
    </row>
    <row r="651" spans="1:9" x14ac:dyDescent="0.25">
      <c r="A651">
        <v>10897</v>
      </c>
      <c r="B651" t="s">
        <v>42</v>
      </c>
      <c r="C651">
        <v>3</v>
      </c>
      <c r="D651" s="1">
        <v>42054</v>
      </c>
      <c r="E651" s="1">
        <v>42082</v>
      </c>
      <c r="F651" s="1">
        <v>42060</v>
      </c>
      <c r="G651">
        <v>2</v>
      </c>
      <c r="H651">
        <v>603.54</v>
      </c>
      <c r="I651">
        <f t="shared" si="10"/>
        <v>2015</v>
      </c>
    </row>
    <row r="652" spans="1:9" x14ac:dyDescent="0.25">
      <c r="A652">
        <v>10898</v>
      </c>
      <c r="B652" t="s">
        <v>77</v>
      </c>
      <c r="C652">
        <v>4</v>
      </c>
      <c r="D652" s="1">
        <v>42055</v>
      </c>
      <c r="E652" s="1">
        <v>42083</v>
      </c>
      <c r="F652" s="1">
        <v>42069</v>
      </c>
      <c r="G652">
        <v>2</v>
      </c>
      <c r="H652">
        <v>1.27</v>
      </c>
      <c r="I652">
        <f t="shared" si="10"/>
        <v>2015</v>
      </c>
    </row>
    <row r="653" spans="1:9" x14ac:dyDescent="0.25">
      <c r="A653">
        <v>10899</v>
      </c>
      <c r="B653" t="s">
        <v>36</v>
      </c>
      <c r="C653">
        <v>5</v>
      </c>
      <c r="D653" s="1">
        <v>42055</v>
      </c>
      <c r="E653" s="1">
        <v>42083</v>
      </c>
      <c r="F653" s="1">
        <v>42061</v>
      </c>
      <c r="G653">
        <v>3</v>
      </c>
      <c r="H653">
        <v>1.21</v>
      </c>
      <c r="I653">
        <f t="shared" si="10"/>
        <v>2015</v>
      </c>
    </row>
    <row r="654" spans="1:9" x14ac:dyDescent="0.25">
      <c r="A654">
        <v>10900</v>
      </c>
      <c r="B654" t="s">
        <v>15</v>
      </c>
      <c r="C654">
        <v>1</v>
      </c>
      <c r="D654" s="1">
        <v>42055</v>
      </c>
      <c r="E654" s="1">
        <v>42083</v>
      </c>
      <c r="F654" s="1">
        <v>42067</v>
      </c>
      <c r="G654">
        <v>2</v>
      </c>
      <c r="H654">
        <v>1.66</v>
      </c>
      <c r="I654">
        <f t="shared" si="10"/>
        <v>2015</v>
      </c>
    </row>
    <row r="655" spans="1:9" x14ac:dyDescent="0.25">
      <c r="A655">
        <v>10901</v>
      </c>
      <c r="B655" t="s">
        <v>16</v>
      </c>
      <c r="C655">
        <v>4</v>
      </c>
      <c r="D655" s="1">
        <v>42058</v>
      </c>
      <c r="E655" s="1">
        <v>42086</v>
      </c>
      <c r="F655" s="1">
        <v>42061</v>
      </c>
      <c r="G655">
        <v>1</v>
      </c>
      <c r="H655">
        <v>62.09</v>
      </c>
      <c r="I655">
        <f t="shared" si="10"/>
        <v>2015</v>
      </c>
    </row>
    <row r="656" spans="1:9" x14ac:dyDescent="0.25">
      <c r="A656">
        <v>10902</v>
      </c>
      <c r="B656" t="s">
        <v>22</v>
      </c>
      <c r="C656">
        <v>1</v>
      </c>
      <c r="D656" s="1">
        <v>42058</v>
      </c>
      <c r="E656" s="1">
        <v>42086</v>
      </c>
      <c r="F656" s="1">
        <v>42066</v>
      </c>
      <c r="G656">
        <v>1</v>
      </c>
      <c r="H656">
        <v>44.15</v>
      </c>
      <c r="I656">
        <f t="shared" si="10"/>
        <v>2015</v>
      </c>
    </row>
    <row r="657" spans="1:9" x14ac:dyDescent="0.25">
      <c r="A657">
        <v>10903</v>
      </c>
      <c r="B657" t="s">
        <v>10</v>
      </c>
      <c r="C657">
        <v>3</v>
      </c>
      <c r="D657" s="1">
        <v>42059</v>
      </c>
      <c r="E657" s="1">
        <v>42087</v>
      </c>
      <c r="F657" s="1">
        <v>42067</v>
      </c>
      <c r="G657">
        <v>3</v>
      </c>
      <c r="H657">
        <v>36.71</v>
      </c>
      <c r="I657">
        <f t="shared" si="10"/>
        <v>2015</v>
      </c>
    </row>
    <row r="658" spans="1:9" x14ac:dyDescent="0.25">
      <c r="A658">
        <v>10904</v>
      </c>
      <c r="B658" t="s">
        <v>27</v>
      </c>
      <c r="C658">
        <v>3</v>
      </c>
      <c r="D658" s="1">
        <v>42059</v>
      </c>
      <c r="E658" s="1">
        <v>42087</v>
      </c>
      <c r="F658" s="1">
        <v>42062</v>
      </c>
      <c r="G658">
        <v>3</v>
      </c>
      <c r="H658">
        <v>162.94999999999999</v>
      </c>
      <c r="I658">
        <f t="shared" si="10"/>
        <v>2015</v>
      </c>
    </row>
    <row r="659" spans="1:9" x14ac:dyDescent="0.25">
      <c r="A659">
        <v>10905</v>
      </c>
      <c r="B659" t="s">
        <v>15</v>
      </c>
      <c r="C659">
        <v>9</v>
      </c>
      <c r="D659" s="1">
        <v>42059</v>
      </c>
      <c r="E659" s="1">
        <v>42087</v>
      </c>
      <c r="F659" s="1">
        <v>42069</v>
      </c>
      <c r="G659">
        <v>2</v>
      </c>
      <c r="H659">
        <v>13.72</v>
      </c>
      <c r="I659">
        <f t="shared" si="10"/>
        <v>2015</v>
      </c>
    </row>
    <row r="660" spans="1:9" x14ac:dyDescent="0.25">
      <c r="A660">
        <v>10906</v>
      </c>
      <c r="B660" t="s">
        <v>71</v>
      </c>
      <c r="C660">
        <v>4</v>
      </c>
      <c r="D660" s="1">
        <v>42060</v>
      </c>
      <c r="E660" s="1">
        <v>42074</v>
      </c>
      <c r="F660" s="1">
        <v>42066</v>
      </c>
      <c r="G660">
        <v>3</v>
      </c>
      <c r="H660">
        <v>26.29</v>
      </c>
      <c r="I660">
        <f t="shared" si="10"/>
        <v>2015</v>
      </c>
    </row>
    <row r="661" spans="1:9" x14ac:dyDescent="0.25">
      <c r="A661">
        <v>10907</v>
      </c>
      <c r="B661" t="s">
        <v>95</v>
      </c>
      <c r="C661">
        <v>6</v>
      </c>
      <c r="D661" s="1">
        <v>42060</v>
      </c>
      <c r="E661" s="1">
        <v>42088</v>
      </c>
      <c r="F661" s="1">
        <v>42062</v>
      </c>
      <c r="G661">
        <v>3</v>
      </c>
      <c r="H661">
        <v>9.19</v>
      </c>
      <c r="I661">
        <f t="shared" si="10"/>
        <v>2015</v>
      </c>
    </row>
    <row r="662" spans="1:9" x14ac:dyDescent="0.25">
      <c r="A662">
        <v>10908</v>
      </c>
      <c r="B662" t="s">
        <v>38</v>
      </c>
      <c r="C662">
        <v>4</v>
      </c>
      <c r="D662" s="1">
        <v>42061</v>
      </c>
      <c r="E662" s="1">
        <v>42089</v>
      </c>
      <c r="F662" s="1">
        <v>42069</v>
      </c>
      <c r="G662">
        <v>2</v>
      </c>
      <c r="H662">
        <v>32.96</v>
      </c>
      <c r="I662">
        <f t="shared" si="10"/>
        <v>2015</v>
      </c>
    </row>
    <row r="663" spans="1:9" x14ac:dyDescent="0.25">
      <c r="A663">
        <v>10909</v>
      </c>
      <c r="B663" t="s">
        <v>73</v>
      </c>
      <c r="C663">
        <v>1</v>
      </c>
      <c r="D663" s="1">
        <v>42061</v>
      </c>
      <c r="E663" s="1">
        <v>42089</v>
      </c>
      <c r="F663" s="1">
        <v>42073</v>
      </c>
      <c r="G663">
        <v>2</v>
      </c>
      <c r="H663">
        <v>53.05</v>
      </c>
      <c r="I663">
        <f t="shared" si="10"/>
        <v>2015</v>
      </c>
    </row>
    <row r="664" spans="1:9" x14ac:dyDescent="0.25">
      <c r="A664">
        <v>10910</v>
      </c>
      <c r="B664" t="s">
        <v>91</v>
      </c>
      <c r="C664">
        <v>1</v>
      </c>
      <c r="D664" s="1">
        <v>42061</v>
      </c>
      <c r="E664" s="1">
        <v>42089</v>
      </c>
      <c r="F664" s="1">
        <v>42067</v>
      </c>
      <c r="G664">
        <v>3</v>
      </c>
      <c r="H664">
        <v>38.11</v>
      </c>
      <c r="I664">
        <f t="shared" si="10"/>
        <v>2015</v>
      </c>
    </row>
    <row r="665" spans="1:9" x14ac:dyDescent="0.25">
      <c r="A665">
        <v>10911</v>
      </c>
      <c r="B665" t="s">
        <v>44</v>
      </c>
      <c r="C665">
        <v>3</v>
      </c>
      <c r="D665" s="1">
        <v>42061</v>
      </c>
      <c r="E665" s="1">
        <v>42089</v>
      </c>
      <c r="F665" s="1">
        <v>42068</v>
      </c>
      <c r="G665">
        <v>1</v>
      </c>
      <c r="H665">
        <v>38.19</v>
      </c>
      <c r="I665">
        <f t="shared" si="10"/>
        <v>2015</v>
      </c>
    </row>
    <row r="666" spans="1:9" x14ac:dyDescent="0.25">
      <c r="A666">
        <v>10912</v>
      </c>
      <c r="B666" t="s">
        <v>42</v>
      </c>
      <c r="C666">
        <v>2</v>
      </c>
      <c r="D666" s="1">
        <v>42061</v>
      </c>
      <c r="E666" s="1">
        <v>42089</v>
      </c>
      <c r="F666" s="1">
        <v>42081</v>
      </c>
      <c r="G666">
        <v>2</v>
      </c>
      <c r="H666">
        <v>580.91</v>
      </c>
      <c r="I666">
        <f t="shared" si="10"/>
        <v>2015</v>
      </c>
    </row>
    <row r="667" spans="1:9" x14ac:dyDescent="0.25">
      <c r="A667">
        <v>10913</v>
      </c>
      <c r="B667" t="s">
        <v>70</v>
      </c>
      <c r="C667">
        <v>4</v>
      </c>
      <c r="D667" s="1">
        <v>42061</v>
      </c>
      <c r="E667" s="1">
        <v>42089</v>
      </c>
      <c r="F667" s="1">
        <v>42067</v>
      </c>
      <c r="G667">
        <v>1</v>
      </c>
      <c r="H667">
        <v>33.049999999999997</v>
      </c>
      <c r="I667">
        <f t="shared" si="10"/>
        <v>2015</v>
      </c>
    </row>
    <row r="668" spans="1:9" x14ac:dyDescent="0.25">
      <c r="A668">
        <v>10914</v>
      </c>
      <c r="B668" t="s">
        <v>70</v>
      </c>
      <c r="C668">
        <v>6</v>
      </c>
      <c r="D668" s="1">
        <v>42062</v>
      </c>
      <c r="E668" s="1">
        <v>42090</v>
      </c>
      <c r="F668" s="1">
        <v>42065</v>
      </c>
      <c r="G668">
        <v>1</v>
      </c>
      <c r="H668">
        <v>21.19</v>
      </c>
      <c r="I668">
        <f t="shared" si="10"/>
        <v>2015</v>
      </c>
    </row>
    <row r="669" spans="1:9" x14ac:dyDescent="0.25">
      <c r="A669">
        <v>10915</v>
      </c>
      <c r="B669" t="s">
        <v>31</v>
      </c>
      <c r="C669">
        <v>2</v>
      </c>
      <c r="D669" s="1">
        <v>42062</v>
      </c>
      <c r="E669" s="1">
        <v>42090</v>
      </c>
      <c r="F669" s="1">
        <v>42065</v>
      </c>
      <c r="G669">
        <v>2</v>
      </c>
      <c r="H669">
        <v>3.51</v>
      </c>
      <c r="I669">
        <f t="shared" si="10"/>
        <v>2015</v>
      </c>
    </row>
    <row r="670" spans="1:9" x14ac:dyDescent="0.25">
      <c r="A670">
        <v>10916</v>
      </c>
      <c r="B670" t="s">
        <v>81</v>
      </c>
      <c r="C670">
        <v>1</v>
      </c>
      <c r="D670" s="1">
        <v>42062</v>
      </c>
      <c r="E670" s="1">
        <v>42090</v>
      </c>
      <c r="F670" s="1">
        <v>42072</v>
      </c>
      <c r="G670">
        <v>2</v>
      </c>
      <c r="H670">
        <v>63.77</v>
      </c>
      <c r="I670">
        <f t="shared" si="10"/>
        <v>2015</v>
      </c>
    </row>
    <row r="671" spans="1:9" x14ac:dyDescent="0.25">
      <c r="A671">
        <v>10917</v>
      </c>
      <c r="B671" t="s">
        <v>35</v>
      </c>
      <c r="C671">
        <v>4</v>
      </c>
      <c r="D671" s="1">
        <v>42065</v>
      </c>
      <c r="E671" s="1">
        <v>42093</v>
      </c>
      <c r="F671" s="1">
        <v>42074</v>
      </c>
      <c r="G671">
        <v>2</v>
      </c>
      <c r="H671">
        <v>8.2899999999999991</v>
      </c>
      <c r="I671">
        <f t="shared" si="10"/>
        <v>2015</v>
      </c>
    </row>
    <row r="672" spans="1:9" x14ac:dyDescent="0.25">
      <c r="A672">
        <v>10918</v>
      </c>
      <c r="B672" t="s">
        <v>74</v>
      </c>
      <c r="C672">
        <v>3</v>
      </c>
      <c r="D672" s="1">
        <v>42065</v>
      </c>
      <c r="E672" s="1">
        <v>42093</v>
      </c>
      <c r="F672" s="1">
        <v>42074</v>
      </c>
      <c r="G672">
        <v>3</v>
      </c>
      <c r="H672">
        <v>48.83</v>
      </c>
      <c r="I672">
        <f t="shared" si="10"/>
        <v>2015</v>
      </c>
    </row>
    <row r="673" spans="1:9" x14ac:dyDescent="0.25">
      <c r="A673">
        <v>10919</v>
      </c>
      <c r="B673" t="s">
        <v>75</v>
      </c>
      <c r="C673">
        <v>2</v>
      </c>
      <c r="D673" s="1">
        <v>42065</v>
      </c>
      <c r="E673" s="1">
        <v>42093</v>
      </c>
      <c r="F673" s="1">
        <v>42067</v>
      </c>
      <c r="G673">
        <v>2</v>
      </c>
      <c r="H673">
        <v>19.8</v>
      </c>
      <c r="I673">
        <f t="shared" si="10"/>
        <v>2015</v>
      </c>
    </row>
    <row r="674" spans="1:9" x14ac:dyDescent="0.25">
      <c r="A674">
        <v>10920</v>
      </c>
      <c r="B674" t="s">
        <v>63</v>
      </c>
      <c r="C674">
        <v>4</v>
      </c>
      <c r="D674" s="1">
        <v>42066</v>
      </c>
      <c r="E674" s="1">
        <v>42094</v>
      </c>
      <c r="F674" s="1">
        <v>42072</v>
      </c>
      <c r="G674">
        <v>2</v>
      </c>
      <c r="H674">
        <v>29.61</v>
      </c>
      <c r="I674">
        <f t="shared" si="10"/>
        <v>2015</v>
      </c>
    </row>
    <row r="675" spans="1:9" x14ac:dyDescent="0.25">
      <c r="A675">
        <v>10921</v>
      </c>
      <c r="B675" t="s">
        <v>69</v>
      </c>
      <c r="C675">
        <v>1</v>
      </c>
      <c r="D675" s="1">
        <v>42066</v>
      </c>
      <c r="E675" s="1">
        <v>42108</v>
      </c>
      <c r="F675" s="1">
        <v>42072</v>
      </c>
      <c r="G675">
        <v>1</v>
      </c>
      <c r="H675">
        <v>176.48</v>
      </c>
      <c r="I675">
        <f t="shared" si="10"/>
        <v>2015</v>
      </c>
    </row>
    <row r="676" spans="1:9" x14ac:dyDescent="0.25">
      <c r="A676">
        <v>10922</v>
      </c>
      <c r="B676" t="s">
        <v>10</v>
      </c>
      <c r="C676">
        <v>5</v>
      </c>
      <c r="D676" s="1">
        <v>42066</v>
      </c>
      <c r="E676" s="1">
        <v>42094</v>
      </c>
      <c r="F676" s="1">
        <v>42068</v>
      </c>
      <c r="G676">
        <v>3</v>
      </c>
      <c r="H676">
        <v>62.74</v>
      </c>
      <c r="I676">
        <f t="shared" si="10"/>
        <v>2015</v>
      </c>
    </row>
    <row r="677" spans="1:9" x14ac:dyDescent="0.25">
      <c r="A677">
        <v>10923</v>
      </c>
      <c r="B677" t="s">
        <v>61</v>
      </c>
      <c r="C677">
        <v>7</v>
      </c>
      <c r="D677" s="1">
        <v>42066</v>
      </c>
      <c r="E677" s="1">
        <v>42108</v>
      </c>
      <c r="F677" s="1">
        <v>42076</v>
      </c>
      <c r="G677">
        <v>3</v>
      </c>
      <c r="H677">
        <v>68.260000000000005</v>
      </c>
      <c r="I677">
        <f t="shared" si="10"/>
        <v>2015</v>
      </c>
    </row>
    <row r="678" spans="1:9" x14ac:dyDescent="0.25">
      <c r="A678">
        <v>10924</v>
      </c>
      <c r="B678" t="s">
        <v>33</v>
      </c>
      <c r="C678">
        <v>3</v>
      </c>
      <c r="D678" s="1">
        <v>42067</v>
      </c>
      <c r="E678" s="1">
        <v>42095</v>
      </c>
      <c r="F678" s="1">
        <v>42102</v>
      </c>
      <c r="G678">
        <v>2</v>
      </c>
      <c r="H678">
        <v>151.52000000000001</v>
      </c>
      <c r="I678">
        <f t="shared" si="10"/>
        <v>2015</v>
      </c>
    </row>
    <row r="679" spans="1:9" x14ac:dyDescent="0.25">
      <c r="A679">
        <v>10925</v>
      </c>
      <c r="B679" t="s">
        <v>10</v>
      </c>
      <c r="C679">
        <v>3</v>
      </c>
      <c r="D679" s="1">
        <v>42067</v>
      </c>
      <c r="E679" s="1">
        <v>42095</v>
      </c>
      <c r="F679" s="1">
        <v>42076</v>
      </c>
      <c r="G679">
        <v>1</v>
      </c>
      <c r="H679">
        <v>2.27</v>
      </c>
      <c r="I679">
        <f t="shared" si="10"/>
        <v>2015</v>
      </c>
    </row>
    <row r="680" spans="1:9" x14ac:dyDescent="0.25">
      <c r="A680">
        <v>10926</v>
      </c>
      <c r="B680" t="s">
        <v>47</v>
      </c>
      <c r="C680">
        <v>4</v>
      </c>
      <c r="D680" s="1">
        <v>42067</v>
      </c>
      <c r="E680" s="1">
        <v>42095</v>
      </c>
      <c r="F680" s="1">
        <v>42074</v>
      </c>
      <c r="G680">
        <v>3</v>
      </c>
      <c r="H680">
        <v>39.92</v>
      </c>
      <c r="I680">
        <f t="shared" si="10"/>
        <v>2015</v>
      </c>
    </row>
    <row r="681" spans="1:9" x14ac:dyDescent="0.25">
      <c r="A681">
        <v>10927</v>
      </c>
      <c r="B681" t="s">
        <v>96</v>
      </c>
      <c r="C681">
        <v>4</v>
      </c>
      <c r="D681" s="1">
        <v>42068</v>
      </c>
      <c r="E681" s="1">
        <v>42096</v>
      </c>
      <c r="F681" s="1">
        <v>42102</v>
      </c>
      <c r="G681">
        <v>1</v>
      </c>
      <c r="H681">
        <v>19.79</v>
      </c>
      <c r="I681">
        <f t="shared" si="10"/>
        <v>2015</v>
      </c>
    </row>
    <row r="682" spans="1:9" x14ac:dyDescent="0.25">
      <c r="A682">
        <v>10928</v>
      </c>
      <c r="B682" t="s">
        <v>68</v>
      </c>
      <c r="C682">
        <v>1</v>
      </c>
      <c r="D682" s="1">
        <v>42068</v>
      </c>
      <c r="E682" s="1">
        <v>42096</v>
      </c>
      <c r="F682" s="1">
        <v>42081</v>
      </c>
      <c r="G682">
        <v>1</v>
      </c>
      <c r="H682">
        <v>1.36</v>
      </c>
      <c r="I682">
        <f t="shared" si="10"/>
        <v>2015</v>
      </c>
    </row>
    <row r="683" spans="1:9" x14ac:dyDescent="0.25">
      <c r="A683">
        <v>10929</v>
      </c>
      <c r="B683" t="s">
        <v>25</v>
      </c>
      <c r="C683">
        <v>6</v>
      </c>
      <c r="D683" s="1">
        <v>42068</v>
      </c>
      <c r="E683" s="1">
        <v>42096</v>
      </c>
      <c r="F683" s="1">
        <v>42075</v>
      </c>
      <c r="G683">
        <v>1</v>
      </c>
      <c r="H683">
        <v>33.93</v>
      </c>
      <c r="I683">
        <f t="shared" si="10"/>
        <v>2015</v>
      </c>
    </row>
    <row r="684" spans="1:9" x14ac:dyDescent="0.25">
      <c r="A684">
        <v>10930</v>
      </c>
      <c r="B684" t="s">
        <v>12</v>
      </c>
      <c r="C684">
        <v>4</v>
      </c>
      <c r="D684" s="1">
        <v>42069</v>
      </c>
      <c r="E684" s="1">
        <v>42111</v>
      </c>
      <c r="F684" s="1">
        <v>42081</v>
      </c>
      <c r="G684">
        <v>3</v>
      </c>
      <c r="H684">
        <v>15.55</v>
      </c>
      <c r="I684">
        <f t="shared" si="10"/>
        <v>2015</v>
      </c>
    </row>
    <row r="685" spans="1:9" x14ac:dyDescent="0.25">
      <c r="A685">
        <v>10931</v>
      </c>
      <c r="B685" t="s">
        <v>14</v>
      </c>
      <c r="C685">
        <v>4</v>
      </c>
      <c r="D685" s="1">
        <v>42069</v>
      </c>
      <c r="E685" s="1">
        <v>42083</v>
      </c>
      <c r="F685" s="1">
        <v>42082</v>
      </c>
      <c r="G685">
        <v>2</v>
      </c>
      <c r="H685">
        <v>13.6</v>
      </c>
      <c r="I685">
        <f t="shared" si="10"/>
        <v>2015</v>
      </c>
    </row>
    <row r="686" spans="1:9" x14ac:dyDescent="0.25">
      <c r="A686">
        <v>10932</v>
      </c>
      <c r="B686" t="s">
        <v>56</v>
      </c>
      <c r="C686">
        <v>8</v>
      </c>
      <c r="D686" s="1">
        <v>42069</v>
      </c>
      <c r="E686" s="1">
        <v>42097</v>
      </c>
      <c r="F686" s="1">
        <v>42087</v>
      </c>
      <c r="G686">
        <v>1</v>
      </c>
      <c r="H686">
        <v>134.63999999999999</v>
      </c>
      <c r="I686">
        <f t="shared" si="10"/>
        <v>2015</v>
      </c>
    </row>
    <row r="687" spans="1:9" x14ac:dyDescent="0.25">
      <c r="A687">
        <v>10933</v>
      </c>
      <c r="B687" t="s">
        <v>50</v>
      </c>
      <c r="C687">
        <v>6</v>
      </c>
      <c r="D687" s="1">
        <v>42069</v>
      </c>
      <c r="E687" s="1">
        <v>42097</v>
      </c>
      <c r="F687" s="1">
        <v>42079</v>
      </c>
      <c r="G687">
        <v>3</v>
      </c>
      <c r="H687">
        <v>54.15</v>
      </c>
      <c r="I687">
        <f t="shared" si="10"/>
        <v>2015</v>
      </c>
    </row>
    <row r="688" spans="1:9" x14ac:dyDescent="0.25">
      <c r="A688">
        <v>10934</v>
      </c>
      <c r="B688" t="s">
        <v>34</v>
      </c>
      <c r="C688">
        <v>3</v>
      </c>
      <c r="D688" s="1">
        <v>42072</v>
      </c>
      <c r="E688" s="1">
        <v>42100</v>
      </c>
      <c r="F688" s="1">
        <v>42075</v>
      </c>
      <c r="G688">
        <v>3</v>
      </c>
      <c r="H688">
        <v>32.01</v>
      </c>
      <c r="I688">
        <f t="shared" si="10"/>
        <v>2015</v>
      </c>
    </row>
    <row r="689" spans="1:9" x14ac:dyDescent="0.25">
      <c r="A689">
        <v>10935</v>
      </c>
      <c r="B689" t="s">
        <v>15</v>
      </c>
      <c r="C689">
        <v>4</v>
      </c>
      <c r="D689" s="1">
        <v>42072</v>
      </c>
      <c r="E689" s="1">
        <v>42100</v>
      </c>
      <c r="F689" s="1">
        <v>42081</v>
      </c>
      <c r="G689">
        <v>3</v>
      </c>
      <c r="H689">
        <v>47.59</v>
      </c>
      <c r="I689">
        <f t="shared" si="10"/>
        <v>2015</v>
      </c>
    </row>
    <row r="690" spans="1:9" x14ac:dyDescent="0.25">
      <c r="A690">
        <v>10936</v>
      </c>
      <c r="B690" t="s">
        <v>87</v>
      </c>
      <c r="C690">
        <v>3</v>
      </c>
      <c r="D690" s="1">
        <v>42072</v>
      </c>
      <c r="E690" s="1">
        <v>42100</v>
      </c>
      <c r="F690" s="1">
        <v>42081</v>
      </c>
      <c r="G690">
        <v>2</v>
      </c>
      <c r="H690">
        <v>33.68</v>
      </c>
      <c r="I690">
        <f t="shared" si="10"/>
        <v>2015</v>
      </c>
    </row>
    <row r="691" spans="1:9" x14ac:dyDescent="0.25">
      <c r="A691">
        <v>10937</v>
      </c>
      <c r="B691" t="s">
        <v>86</v>
      </c>
      <c r="C691">
        <v>7</v>
      </c>
      <c r="D691" s="1">
        <v>42073</v>
      </c>
      <c r="E691" s="1">
        <v>42087</v>
      </c>
      <c r="F691" s="1">
        <v>42076</v>
      </c>
      <c r="G691">
        <v>3</v>
      </c>
      <c r="H691">
        <v>31.51</v>
      </c>
      <c r="I691">
        <f t="shared" si="10"/>
        <v>2015</v>
      </c>
    </row>
    <row r="692" spans="1:9" x14ac:dyDescent="0.25">
      <c r="A692">
        <v>10938</v>
      </c>
      <c r="B692" t="s">
        <v>29</v>
      </c>
      <c r="C692">
        <v>3</v>
      </c>
      <c r="D692" s="1">
        <v>42073</v>
      </c>
      <c r="E692" s="1">
        <v>42101</v>
      </c>
      <c r="F692" s="1">
        <v>42079</v>
      </c>
      <c r="G692">
        <v>2</v>
      </c>
      <c r="H692">
        <v>31.89</v>
      </c>
      <c r="I692">
        <f t="shared" si="10"/>
        <v>2015</v>
      </c>
    </row>
    <row r="693" spans="1:9" x14ac:dyDescent="0.25">
      <c r="A693">
        <v>10939</v>
      </c>
      <c r="B693" t="s">
        <v>30</v>
      </c>
      <c r="C693">
        <v>2</v>
      </c>
      <c r="D693" s="1">
        <v>42073</v>
      </c>
      <c r="E693" s="1">
        <v>42101</v>
      </c>
      <c r="F693" s="1">
        <v>42076</v>
      </c>
      <c r="G693">
        <v>2</v>
      </c>
      <c r="H693">
        <v>76.33</v>
      </c>
      <c r="I693">
        <f t="shared" si="10"/>
        <v>2015</v>
      </c>
    </row>
    <row r="694" spans="1:9" x14ac:dyDescent="0.25">
      <c r="A694">
        <v>10940</v>
      </c>
      <c r="B694" t="s">
        <v>56</v>
      </c>
      <c r="C694">
        <v>8</v>
      </c>
      <c r="D694" s="1">
        <v>42074</v>
      </c>
      <c r="E694" s="1">
        <v>42102</v>
      </c>
      <c r="F694" s="1">
        <v>42086</v>
      </c>
      <c r="G694">
        <v>3</v>
      </c>
      <c r="H694">
        <v>19.77</v>
      </c>
      <c r="I694">
        <f t="shared" si="10"/>
        <v>2015</v>
      </c>
    </row>
    <row r="695" spans="1:9" x14ac:dyDescent="0.25">
      <c r="A695">
        <v>10941</v>
      </c>
      <c r="B695" t="s">
        <v>53</v>
      </c>
      <c r="C695">
        <v>7</v>
      </c>
      <c r="D695" s="1">
        <v>42074</v>
      </c>
      <c r="E695" s="1">
        <v>42102</v>
      </c>
      <c r="F695" s="1">
        <v>42083</v>
      </c>
      <c r="G695">
        <v>2</v>
      </c>
      <c r="H695">
        <v>400.81</v>
      </c>
      <c r="I695">
        <f t="shared" si="10"/>
        <v>2015</v>
      </c>
    </row>
    <row r="696" spans="1:9" x14ac:dyDescent="0.25">
      <c r="A696">
        <v>10942</v>
      </c>
      <c r="B696" t="s">
        <v>38</v>
      </c>
      <c r="C696">
        <v>9</v>
      </c>
      <c r="D696" s="1">
        <v>42074</v>
      </c>
      <c r="E696" s="1">
        <v>42102</v>
      </c>
      <c r="F696" s="1">
        <v>42081</v>
      </c>
      <c r="G696">
        <v>3</v>
      </c>
      <c r="H696">
        <v>17.95</v>
      </c>
      <c r="I696">
        <f t="shared" si="10"/>
        <v>2015</v>
      </c>
    </row>
    <row r="697" spans="1:9" x14ac:dyDescent="0.25">
      <c r="A697">
        <v>10943</v>
      </c>
      <c r="B697" t="s">
        <v>39</v>
      </c>
      <c r="C697">
        <v>4</v>
      </c>
      <c r="D697" s="1">
        <v>42074</v>
      </c>
      <c r="E697" s="1">
        <v>42102</v>
      </c>
      <c r="F697" s="1">
        <v>42082</v>
      </c>
      <c r="G697">
        <v>2</v>
      </c>
      <c r="H697">
        <v>2.17</v>
      </c>
      <c r="I697">
        <f t="shared" si="10"/>
        <v>2015</v>
      </c>
    </row>
    <row r="698" spans="1:9" x14ac:dyDescent="0.25">
      <c r="A698">
        <v>10944</v>
      </c>
      <c r="B698" t="s">
        <v>74</v>
      </c>
      <c r="C698">
        <v>6</v>
      </c>
      <c r="D698" s="1">
        <v>42075</v>
      </c>
      <c r="E698" s="1">
        <v>42089</v>
      </c>
      <c r="F698" s="1">
        <v>42076</v>
      </c>
      <c r="G698">
        <v>3</v>
      </c>
      <c r="H698">
        <v>52.92</v>
      </c>
      <c r="I698">
        <f t="shared" si="10"/>
        <v>2015</v>
      </c>
    </row>
    <row r="699" spans="1:9" x14ac:dyDescent="0.25">
      <c r="A699">
        <v>10945</v>
      </c>
      <c r="B699" t="s">
        <v>32</v>
      </c>
      <c r="C699">
        <v>4</v>
      </c>
      <c r="D699" s="1">
        <v>42075</v>
      </c>
      <c r="E699" s="1">
        <v>42103</v>
      </c>
      <c r="F699" s="1">
        <v>42081</v>
      </c>
      <c r="G699">
        <v>1</v>
      </c>
      <c r="H699">
        <v>10.220000000000001</v>
      </c>
      <c r="I699">
        <f t="shared" si="10"/>
        <v>2015</v>
      </c>
    </row>
    <row r="700" spans="1:9" x14ac:dyDescent="0.25">
      <c r="A700">
        <v>10946</v>
      </c>
      <c r="B700" t="s">
        <v>69</v>
      </c>
      <c r="C700">
        <v>1</v>
      </c>
      <c r="D700" s="1">
        <v>42075</v>
      </c>
      <c r="E700" s="1">
        <v>42103</v>
      </c>
      <c r="F700" s="1">
        <v>42082</v>
      </c>
      <c r="G700">
        <v>2</v>
      </c>
      <c r="H700">
        <v>27.2</v>
      </c>
      <c r="I700">
        <f t="shared" si="10"/>
        <v>2015</v>
      </c>
    </row>
    <row r="701" spans="1:9" x14ac:dyDescent="0.25">
      <c r="A701">
        <v>10947</v>
      </c>
      <c r="B701" t="s">
        <v>39</v>
      </c>
      <c r="C701">
        <v>3</v>
      </c>
      <c r="D701" s="1">
        <v>42076</v>
      </c>
      <c r="E701" s="1">
        <v>42104</v>
      </c>
      <c r="F701" s="1">
        <v>42079</v>
      </c>
      <c r="G701">
        <v>2</v>
      </c>
      <c r="H701">
        <v>3.26</v>
      </c>
      <c r="I701">
        <f t="shared" si="10"/>
        <v>2015</v>
      </c>
    </row>
    <row r="702" spans="1:9" x14ac:dyDescent="0.25">
      <c r="A702">
        <v>10948</v>
      </c>
      <c r="B702" t="s">
        <v>44</v>
      </c>
      <c r="C702">
        <v>3</v>
      </c>
      <c r="D702" s="1">
        <v>42076</v>
      </c>
      <c r="E702" s="1">
        <v>42104</v>
      </c>
      <c r="F702" s="1">
        <v>42082</v>
      </c>
      <c r="G702">
        <v>3</v>
      </c>
      <c r="H702">
        <v>23.39</v>
      </c>
      <c r="I702">
        <f t="shared" si="10"/>
        <v>2015</v>
      </c>
    </row>
    <row r="703" spans="1:9" x14ac:dyDescent="0.25">
      <c r="A703">
        <v>10949</v>
      </c>
      <c r="B703" t="s">
        <v>74</v>
      </c>
      <c r="C703">
        <v>2</v>
      </c>
      <c r="D703" s="1">
        <v>42076</v>
      </c>
      <c r="E703" s="1">
        <v>42104</v>
      </c>
      <c r="F703" s="1">
        <v>42080</v>
      </c>
      <c r="G703">
        <v>3</v>
      </c>
      <c r="H703">
        <v>74.44</v>
      </c>
      <c r="I703">
        <f t="shared" si="10"/>
        <v>2015</v>
      </c>
    </row>
    <row r="704" spans="1:9" x14ac:dyDescent="0.25">
      <c r="A704">
        <v>10950</v>
      </c>
      <c r="B704" t="s">
        <v>30</v>
      </c>
      <c r="C704">
        <v>1</v>
      </c>
      <c r="D704" s="1">
        <v>42079</v>
      </c>
      <c r="E704" s="1">
        <v>42107</v>
      </c>
      <c r="F704" s="1">
        <v>42086</v>
      </c>
      <c r="G704">
        <v>2</v>
      </c>
      <c r="H704">
        <v>2.5</v>
      </c>
      <c r="I704">
        <f t="shared" si="10"/>
        <v>2015</v>
      </c>
    </row>
    <row r="705" spans="1:9" x14ac:dyDescent="0.25">
      <c r="A705">
        <v>10951</v>
      </c>
      <c r="B705" t="s">
        <v>14</v>
      </c>
      <c r="C705">
        <v>9</v>
      </c>
      <c r="D705" s="1">
        <v>42079</v>
      </c>
      <c r="E705" s="1">
        <v>42121</v>
      </c>
      <c r="F705" s="1">
        <v>42101</v>
      </c>
      <c r="G705">
        <v>2</v>
      </c>
      <c r="H705">
        <v>30.85</v>
      </c>
      <c r="I705">
        <f t="shared" si="10"/>
        <v>2015</v>
      </c>
    </row>
    <row r="706" spans="1:9" x14ac:dyDescent="0.25">
      <c r="A706">
        <v>10952</v>
      </c>
      <c r="B706" t="s">
        <v>93</v>
      </c>
      <c r="C706">
        <v>1</v>
      </c>
      <c r="D706" s="1">
        <v>42079</v>
      </c>
      <c r="E706" s="1">
        <v>42121</v>
      </c>
      <c r="F706" s="1">
        <v>42087</v>
      </c>
      <c r="G706">
        <v>1</v>
      </c>
      <c r="H706">
        <v>40.42</v>
      </c>
      <c r="I706">
        <f t="shared" si="10"/>
        <v>2015</v>
      </c>
    </row>
    <row r="707" spans="1:9" x14ac:dyDescent="0.25">
      <c r="A707">
        <v>10953</v>
      </c>
      <c r="B707" t="s">
        <v>63</v>
      </c>
      <c r="C707">
        <v>9</v>
      </c>
      <c r="D707" s="1">
        <v>42079</v>
      </c>
      <c r="E707" s="1">
        <v>42093</v>
      </c>
      <c r="F707" s="1">
        <v>42088</v>
      </c>
      <c r="G707">
        <v>2</v>
      </c>
      <c r="H707">
        <v>23.72</v>
      </c>
      <c r="I707">
        <f t="shared" ref="I707:I770" si="11">YEAR(D707)</f>
        <v>2015</v>
      </c>
    </row>
    <row r="708" spans="1:9" x14ac:dyDescent="0.25">
      <c r="A708">
        <v>10954</v>
      </c>
      <c r="B708" t="s">
        <v>75</v>
      </c>
      <c r="C708">
        <v>5</v>
      </c>
      <c r="D708" s="1">
        <v>42080</v>
      </c>
      <c r="E708" s="1">
        <v>42122</v>
      </c>
      <c r="F708" s="1">
        <v>42083</v>
      </c>
      <c r="G708">
        <v>1</v>
      </c>
      <c r="H708">
        <v>27.91</v>
      </c>
      <c r="I708">
        <f t="shared" si="11"/>
        <v>2015</v>
      </c>
    </row>
    <row r="709" spans="1:9" x14ac:dyDescent="0.25">
      <c r="A709">
        <v>10955</v>
      </c>
      <c r="B709" t="s">
        <v>22</v>
      </c>
      <c r="C709">
        <v>8</v>
      </c>
      <c r="D709" s="1">
        <v>42080</v>
      </c>
      <c r="E709" s="1">
        <v>42108</v>
      </c>
      <c r="F709" s="1">
        <v>42083</v>
      </c>
      <c r="G709">
        <v>2</v>
      </c>
      <c r="H709">
        <v>3.26</v>
      </c>
      <c r="I709">
        <f t="shared" si="11"/>
        <v>2015</v>
      </c>
    </row>
    <row r="710" spans="1:9" x14ac:dyDescent="0.25">
      <c r="A710">
        <v>10956</v>
      </c>
      <c r="B710" t="s">
        <v>84</v>
      </c>
      <c r="C710">
        <v>6</v>
      </c>
      <c r="D710" s="1">
        <v>42080</v>
      </c>
      <c r="E710" s="1">
        <v>42122</v>
      </c>
      <c r="F710" s="1">
        <v>42083</v>
      </c>
      <c r="G710">
        <v>2</v>
      </c>
      <c r="H710">
        <v>44.65</v>
      </c>
      <c r="I710">
        <f t="shared" si="11"/>
        <v>2015</v>
      </c>
    </row>
    <row r="711" spans="1:9" x14ac:dyDescent="0.25">
      <c r="A711">
        <v>10957</v>
      </c>
      <c r="B711" t="s">
        <v>16</v>
      </c>
      <c r="C711">
        <v>8</v>
      </c>
      <c r="D711" s="1">
        <v>42081</v>
      </c>
      <c r="E711" s="1">
        <v>42109</v>
      </c>
      <c r="F711" s="1">
        <v>42090</v>
      </c>
      <c r="G711">
        <v>3</v>
      </c>
      <c r="H711">
        <v>105.36</v>
      </c>
      <c r="I711">
        <f t="shared" si="11"/>
        <v>2015</v>
      </c>
    </row>
    <row r="712" spans="1:9" x14ac:dyDescent="0.25">
      <c r="A712">
        <v>10958</v>
      </c>
      <c r="B712" t="s">
        <v>77</v>
      </c>
      <c r="C712">
        <v>7</v>
      </c>
      <c r="D712" s="1">
        <v>42081</v>
      </c>
      <c r="E712" s="1">
        <v>42109</v>
      </c>
      <c r="F712" s="1">
        <v>42090</v>
      </c>
      <c r="G712">
        <v>2</v>
      </c>
      <c r="H712">
        <v>49.56</v>
      </c>
      <c r="I712">
        <f t="shared" si="11"/>
        <v>2015</v>
      </c>
    </row>
    <row r="713" spans="1:9" x14ac:dyDescent="0.25">
      <c r="A713">
        <v>10959</v>
      </c>
      <c r="B713" t="s">
        <v>79</v>
      </c>
      <c r="C713">
        <v>6</v>
      </c>
      <c r="D713" s="1">
        <v>42081</v>
      </c>
      <c r="E713" s="1">
        <v>42123</v>
      </c>
      <c r="F713" s="1">
        <v>42086</v>
      </c>
      <c r="G713">
        <v>2</v>
      </c>
      <c r="H713">
        <v>4.9800000000000004</v>
      </c>
      <c r="I713">
        <f t="shared" si="11"/>
        <v>2015</v>
      </c>
    </row>
    <row r="714" spans="1:9" x14ac:dyDescent="0.25">
      <c r="A714">
        <v>10960</v>
      </c>
      <c r="B714" t="s">
        <v>16</v>
      </c>
      <c r="C714">
        <v>3</v>
      </c>
      <c r="D714" s="1">
        <v>42082</v>
      </c>
      <c r="E714" s="1">
        <v>42096</v>
      </c>
      <c r="F714" s="1">
        <v>42102</v>
      </c>
      <c r="G714">
        <v>1</v>
      </c>
      <c r="H714">
        <v>2.08</v>
      </c>
      <c r="I714">
        <f t="shared" si="11"/>
        <v>2015</v>
      </c>
    </row>
    <row r="715" spans="1:9" x14ac:dyDescent="0.25">
      <c r="A715">
        <v>10961</v>
      </c>
      <c r="B715" t="s">
        <v>70</v>
      </c>
      <c r="C715">
        <v>8</v>
      </c>
      <c r="D715" s="1">
        <v>42082</v>
      </c>
      <c r="E715" s="1">
        <v>42110</v>
      </c>
      <c r="F715" s="1">
        <v>42093</v>
      </c>
      <c r="G715">
        <v>1</v>
      </c>
      <c r="H715">
        <v>104.47</v>
      </c>
      <c r="I715">
        <f t="shared" si="11"/>
        <v>2015</v>
      </c>
    </row>
    <row r="716" spans="1:9" x14ac:dyDescent="0.25">
      <c r="A716">
        <v>10962</v>
      </c>
      <c r="B716" t="s">
        <v>29</v>
      </c>
      <c r="C716">
        <v>8</v>
      </c>
      <c r="D716" s="1">
        <v>42082</v>
      </c>
      <c r="E716" s="1">
        <v>42110</v>
      </c>
      <c r="F716" s="1">
        <v>42086</v>
      </c>
      <c r="G716">
        <v>2</v>
      </c>
      <c r="H716">
        <v>275.79000000000002</v>
      </c>
      <c r="I716">
        <f t="shared" si="11"/>
        <v>2015</v>
      </c>
    </row>
    <row r="717" spans="1:9" x14ac:dyDescent="0.25">
      <c r="A717">
        <v>10963</v>
      </c>
      <c r="B717" t="s">
        <v>55</v>
      </c>
      <c r="C717">
        <v>9</v>
      </c>
      <c r="D717" s="1">
        <v>42082</v>
      </c>
      <c r="E717" s="1">
        <v>42110</v>
      </c>
      <c r="F717" s="1">
        <v>42089</v>
      </c>
      <c r="G717">
        <v>3</v>
      </c>
      <c r="H717">
        <v>2.7</v>
      </c>
      <c r="I717">
        <f t="shared" si="11"/>
        <v>2015</v>
      </c>
    </row>
    <row r="718" spans="1:9" x14ac:dyDescent="0.25">
      <c r="A718">
        <v>10964</v>
      </c>
      <c r="B718" t="s">
        <v>95</v>
      </c>
      <c r="C718">
        <v>3</v>
      </c>
      <c r="D718" s="1">
        <v>42083</v>
      </c>
      <c r="E718" s="1">
        <v>42111</v>
      </c>
      <c r="F718" s="1">
        <v>42087</v>
      </c>
      <c r="G718">
        <v>2</v>
      </c>
      <c r="H718">
        <v>87.38</v>
      </c>
      <c r="I718">
        <f t="shared" si="11"/>
        <v>2015</v>
      </c>
    </row>
    <row r="719" spans="1:9" x14ac:dyDescent="0.25">
      <c r="A719">
        <v>10965</v>
      </c>
      <c r="B719" t="s">
        <v>45</v>
      </c>
      <c r="C719">
        <v>6</v>
      </c>
      <c r="D719" s="1">
        <v>42083</v>
      </c>
      <c r="E719" s="1">
        <v>42111</v>
      </c>
      <c r="F719" s="1">
        <v>42093</v>
      </c>
      <c r="G719">
        <v>3</v>
      </c>
      <c r="H719">
        <v>144.38</v>
      </c>
      <c r="I719">
        <f t="shared" si="11"/>
        <v>2015</v>
      </c>
    </row>
    <row r="720" spans="1:9" x14ac:dyDescent="0.25">
      <c r="A720">
        <v>10966</v>
      </c>
      <c r="B720" t="s">
        <v>13</v>
      </c>
      <c r="C720">
        <v>4</v>
      </c>
      <c r="D720" s="1">
        <v>42083</v>
      </c>
      <c r="E720" s="1">
        <v>42111</v>
      </c>
      <c r="F720" s="1">
        <v>42102</v>
      </c>
      <c r="G720">
        <v>1</v>
      </c>
      <c r="H720">
        <v>27.19</v>
      </c>
      <c r="I720">
        <f t="shared" si="11"/>
        <v>2015</v>
      </c>
    </row>
    <row r="721" spans="1:9" x14ac:dyDescent="0.25">
      <c r="A721">
        <v>10967</v>
      </c>
      <c r="B721" t="s">
        <v>9</v>
      </c>
      <c r="C721">
        <v>2</v>
      </c>
      <c r="D721" s="1">
        <v>42086</v>
      </c>
      <c r="E721" s="1">
        <v>42114</v>
      </c>
      <c r="F721" s="1">
        <v>42096</v>
      </c>
      <c r="G721">
        <v>2</v>
      </c>
      <c r="H721">
        <v>62.22</v>
      </c>
      <c r="I721">
        <f t="shared" si="11"/>
        <v>2015</v>
      </c>
    </row>
    <row r="722" spans="1:9" x14ac:dyDescent="0.25">
      <c r="A722">
        <v>10968</v>
      </c>
      <c r="B722" t="s">
        <v>17</v>
      </c>
      <c r="C722">
        <v>1</v>
      </c>
      <c r="D722" s="1">
        <v>42086</v>
      </c>
      <c r="E722" s="1">
        <v>42114</v>
      </c>
      <c r="F722" s="1">
        <v>42095</v>
      </c>
      <c r="G722">
        <v>3</v>
      </c>
      <c r="H722">
        <v>74.599999999999994</v>
      </c>
      <c r="I722">
        <f t="shared" si="11"/>
        <v>2015</v>
      </c>
    </row>
    <row r="723" spans="1:9" x14ac:dyDescent="0.25">
      <c r="A723">
        <v>10969</v>
      </c>
      <c r="B723" t="s">
        <v>40</v>
      </c>
      <c r="C723">
        <v>1</v>
      </c>
      <c r="D723" s="1">
        <v>42086</v>
      </c>
      <c r="E723" s="1">
        <v>42114</v>
      </c>
      <c r="F723" s="1">
        <v>42093</v>
      </c>
      <c r="G723">
        <v>2</v>
      </c>
      <c r="H723">
        <v>0.21</v>
      </c>
      <c r="I723">
        <f t="shared" si="11"/>
        <v>2015</v>
      </c>
    </row>
    <row r="724" spans="1:9" x14ac:dyDescent="0.25">
      <c r="A724">
        <v>10970</v>
      </c>
      <c r="B724" t="s">
        <v>54</v>
      </c>
      <c r="C724">
        <v>9</v>
      </c>
      <c r="D724" s="1">
        <v>42087</v>
      </c>
      <c r="E724" s="1">
        <v>42101</v>
      </c>
      <c r="F724" s="1">
        <v>42118</v>
      </c>
      <c r="G724">
        <v>1</v>
      </c>
      <c r="H724">
        <v>16.16</v>
      </c>
      <c r="I724">
        <f t="shared" si="11"/>
        <v>2015</v>
      </c>
    </row>
    <row r="725" spans="1:9" x14ac:dyDescent="0.25">
      <c r="A725">
        <v>10971</v>
      </c>
      <c r="B725" t="s">
        <v>94</v>
      </c>
      <c r="C725">
        <v>2</v>
      </c>
      <c r="D725" s="1">
        <v>42087</v>
      </c>
      <c r="E725" s="1">
        <v>42115</v>
      </c>
      <c r="F725" s="1">
        <v>42096</v>
      </c>
      <c r="G725">
        <v>2</v>
      </c>
      <c r="H725">
        <v>121.82</v>
      </c>
      <c r="I725">
        <f t="shared" si="11"/>
        <v>2015</v>
      </c>
    </row>
    <row r="726" spans="1:9" x14ac:dyDescent="0.25">
      <c r="A726">
        <v>10972</v>
      </c>
      <c r="B726" t="s">
        <v>96</v>
      </c>
      <c r="C726">
        <v>4</v>
      </c>
      <c r="D726" s="1">
        <v>42087</v>
      </c>
      <c r="E726" s="1">
        <v>42115</v>
      </c>
      <c r="F726" s="1">
        <v>42089</v>
      </c>
      <c r="G726">
        <v>2</v>
      </c>
      <c r="H726">
        <v>0.02</v>
      </c>
      <c r="I726">
        <f t="shared" si="11"/>
        <v>2015</v>
      </c>
    </row>
    <row r="727" spans="1:9" x14ac:dyDescent="0.25">
      <c r="A727">
        <v>10973</v>
      </c>
      <c r="B727" t="s">
        <v>96</v>
      </c>
      <c r="C727">
        <v>6</v>
      </c>
      <c r="D727" s="1">
        <v>42087</v>
      </c>
      <c r="E727" s="1">
        <v>42115</v>
      </c>
      <c r="F727" s="1">
        <v>42090</v>
      </c>
      <c r="G727">
        <v>2</v>
      </c>
      <c r="H727">
        <v>15.17</v>
      </c>
      <c r="I727">
        <f t="shared" si="11"/>
        <v>2015</v>
      </c>
    </row>
    <row r="728" spans="1:9" x14ac:dyDescent="0.25">
      <c r="A728">
        <v>10974</v>
      </c>
      <c r="B728" t="s">
        <v>28</v>
      </c>
      <c r="C728">
        <v>3</v>
      </c>
      <c r="D728" s="1">
        <v>42088</v>
      </c>
      <c r="E728" s="1">
        <v>42102</v>
      </c>
      <c r="F728" s="1">
        <v>42097</v>
      </c>
      <c r="G728">
        <v>3</v>
      </c>
      <c r="H728">
        <v>12.96</v>
      </c>
      <c r="I728">
        <f t="shared" si="11"/>
        <v>2015</v>
      </c>
    </row>
    <row r="729" spans="1:9" x14ac:dyDescent="0.25">
      <c r="A729">
        <v>10975</v>
      </c>
      <c r="B729" t="s">
        <v>74</v>
      </c>
      <c r="C729">
        <v>1</v>
      </c>
      <c r="D729" s="1">
        <v>42088</v>
      </c>
      <c r="E729" s="1">
        <v>42116</v>
      </c>
      <c r="F729" s="1">
        <v>42090</v>
      </c>
      <c r="G729">
        <v>3</v>
      </c>
      <c r="H729">
        <v>32.270000000000003</v>
      </c>
      <c r="I729">
        <f t="shared" si="11"/>
        <v>2015</v>
      </c>
    </row>
    <row r="730" spans="1:9" x14ac:dyDescent="0.25">
      <c r="A730">
        <v>10976</v>
      </c>
      <c r="B730" t="s">
        <v>16</v>
      </c>
      <c r="C730">
        <v>1</v>
      </c>
      <c r="D730" s="1">
        <v>42088</v>
      </c>
      <c r="E730" s="1">
        <v>42130</v>
      </c>
      <c r="F730" s="1">
        <v>42097</v>
      </c>
      <c r="G730">
        <v>1</v>
      </c>
      <c r="H730">
        <v>37.97</v>
      </c>
      <c r="I730">
        <f t="shared" si="11"/>
        <v>2015</v>
      </c>
    </row>
    <row r="731" spans="1:9" x14ac:dyDescent="0.25">
      <c r="A731">
        <v>10977</v>
      </c>
      <c r="B731" t="s">
        <v>22</v>
      </c>
      <c r="C731">
        <v>8</v>
      </c>
      <c r="D731" s="1">
        <v>42089</v>
      </c>
      <c r="E731" s="1">
        <v>42117</v>
      </c>
      <c r="F731" s="1">
        <v>42104</v>
      </c>
      <c r="G731">
        <v>3</v>
      </c>
      <c r="H731">
        <v>208.5</v>
      </c>
      <c r="I731">
        <f t="shared" si="11"/>
        <v>2015</v>
      </c>
    </row>
    <row r="732" spans="1:9" x14ac:dyDescent="0.25">
      <c r="A732">
        <v>10978</v>
      </c>
      <c r="B732" t="s">
        <v>88</v>
      </c>
      <c r="C732">
        <v>9</v>
      </c>
      <c r="D732" s="1">
        <v>42089</v>
      </c>
      <c r="E732" s="1">
        <v>42117</v>
      </c>
      <c r="F732" s="1">
        <v>42117</v>
      </c>
      <c r="G732">
        <v>2</v>
      </c>
      <c r="H732">
        <v>32.82</v>
      </c>
      <c r="I732">
        <f t="shared" si="11"/>
        <v>2015</v>
      </c>
    </row>
    <row r="733" spans="1:9" x14ac:dyDescent="0.25">
      <c r="A733">
        <v>10979</v>
      </c>
      <c r="B733" t="s">
        <v>17</v>
      </c>
      <c r="C733">
        <v>8</v>
      </c>
      <c r="D733" s="1">
        <v>42089</v>
      </c>
      <c r="E733" s="1">
        <v>42117</v>
      </c>
      <c r="F733" s="1">
        <v>42094</v>
      </c>
      <c r="G733">
        <v>2</v>
      </c>
      <c r="H733">
        <v>353.07</v>
      </c>
      <c r="I733">
        <f t="shared" si="11"/>
        <v>2015</v>
      </c>
    </row>
    <row r="734" spans="1:9" x14ac:dyDescent="0.25">
      <c r="A734">
        <v>10980</v>
      </c>
      <c r="B734" t="s">
        <v>22</v>
      </c>
      <c r="C734">
        <v>4</v>
      </c>
      <c r="D734" s="1">
        <v>42090</v>
      </c>
      <c r="E734" s="1">
        <v>42132</v>
      </c>
      <c r="F734" s="1">
        <v>42111</v>
      </c>
      <c r="G734">
        <v>1</v>
      </c>
      <c r="H734">
        <v>1.26</v>
      </c>
      <c r="I734">
        <f t="shared" si="11"/>
        <v>2015</v>
      </c>
    </row>
    <row r="735" spans="1:9" x14ac:dyDescent="0.25">
      <c r="A735">
        <v>10981</v>
      </c>
      <c r="B735" t="s">
        <v>10</v>
      </c>
      <c r="C735">
        <v>1</v>
      </c>
      <c r="D735" s="1">
        <v>42090</v>
      </c>
      <c r="E735" s="1">
        <v>42118</v>
      </c>
      <c r="F735" s="1">
        <v>42096</v>
      </c>
      <c r="G735">
        <v>2</v>
      </c>
      <c r="H735">
        <v>193.37</v>
      </c>
      <c r="I735">
        <f t="shared" si="11"/>
        <v>2015</v>
      </c>
    </row>
    <row r="736" spans="1:9" x14ac:dyDescent="0.25">
      <c r="A736">
        <v>10982</v>
      </c>
      <c r="B736" t="s">
        <v>74</v>
      </c>
      <c r="C736">
        <v>2</v>
      </c>
      <c r="D736" s="1">
        <v>42090</v>
      </c>
      <c r="E736" s="1">
        <v>42118</v>
      </c>
      <c r="F736" s="1">
        <v>42102</v>
      </c>
      <c r="G736">
        <v>1</v>
      </c>
      <c r="H736">
        <v>14.01</v>
      </c>
      <c r="I736">
        <f t="shared" si="11"/>
        <v>2015</v>
      </c>
    </row>
    <row r="737" spans="1:9" x14ac:dyDescent="0.25">
      <c r="A737">
        <v>10983</v>
      </c>
      <c r="B737" t="s">
        <v>53</v>
      </c>
      <c r="C737">
        <v>2</v>
      </c>
      <c r="D737" s="1">
        <v>42090</v>
      </c>
      <c r="E737" s="1">
        <v>42118</v>
      </c>
      <c r="F737" s="1">
        <v>42100</v>
      </c>
      <c r="G737">
        <v>2</v>
      </c>
      <c r="H737">
        <v>657.54</v>
      </c>
      <c r="I737">
        <f t="shared" si="11"/>
        <v>2015</v>
      </c>
    </row>
    <row r="738" spans="1:9" x14ac:dyDescent="0.25">
      <c r="A738">
        <v>10984</v>
      </c>
      <c r="B738" t="s">
        <v>53</v>
      </c>
      <c r="C738">
        <v>1</v>
      </c>
      <c r="D738" s="1">
        <v>42093</v>
      </c>
      <c r="E738" s="1">
        <v>42121</v>
      </c>
      <c r="F738" s="1">
        <v>42097</v>
      </c>
      <c r="G738">
        <v>3</v>
      </c>
      <c r="H738">
        <v>211.22</v>
      </c>
      <c r="I738">
        <f t="shared" si="11"/>
        <v>2015</v>
      </c>
    </row>
    <row r="739" spans="1:9" x14ac:dyDescent="0.25">
      <c r="A739">
        <v>10985</v>
      </c>
      <c r="B739" t="s">
        <v>42</v>
      </c>
      <c r="C739">
        <v>2</v>
      </c>
      <c r="D739" s="1">
        <v>42093</v>
      </c>
      <c r="E739" s="1">
        <v>42121</v>
      </c>
      <c r="F739" s="1">
        <v>42096</v>
      </c>
      <c r="G739">
        <v>1</v>
      </c>
      <c r="H739">
        <v>91.51</v>
      </c>
      <c r="I739">
        <f t="shared" si="11"/>
        <v>2015</v>
      </c>
    </row>
    <row r="740" spans="1:9" x14ac:dyDescent="0.25">
      <c r="A740">
        <v>10986</v>
      </c>
      <c r="B740" t="s">
        <v>77</v>
      </c>
      <c r="C740">
        <v>8</v>
      </c>
      <c r="D740" s="1">
        <v>42093</v>
      </c>
      <c r="E740" s="1">
        <v>42121</v>
      </c>
      <c r="F740" s="1">
        <v>42115</v>
      </c>
      <c r="G740">
        <v>2</v>
      </c>
      <c r="H740">
        <v>217.86</v>
      </c>
      <c r="I740">
        <f t="shared" si="11"/>
        <v>2015</v>
      </c>
    </row>
    <row r="741" spans="1:9" x14ac:dyDescent="0.25">
      <c r="A741">
        <v>10987</v>
      </c>
      <c r="B741" t="s">
        <v>66</v>
      </c>
      <c r="C741">
        <v>8</v>
      </c>
      <c r="D741" s="1">
        <v>42094</v>
      </c>
      <c r="E741" s="1">
        <v>42122</v>
      </c>
      <c r="F741" s="1">
        <v>42100</v>
      </c>
      <c r="G741">
        <v>1</v>
      </c>
      <c r="H741">
        <v>185.48</v>
      </c>
      <c r="I741">
        <f t="shared" si="11"/>
        <v>2015</v>
      </c>
    </row>
    <row r="742" spans="1:9" x14ac:dyDescent="0.25">
      <c r="A742">
        <v>10988</v>
      </c>
      <c r="B742" t="s">
        <v>21</v>
      </c>
      <c r="C742">
        <v>3</v>
      </c>
      <c r="D742" s="1">
        <v>42094</v>
      </c>
      <c r="E742" s="1">
        <v>42122</v>
      </c>
      <c r="F742" s="1">
        <v>42104</v>
      </c>
      <c r="G742">
        <v>2</v>
      </c>
      <c r="H742">
        <v>61.14</v>
      </c>
      <c r="I742">
        <f t="shared" si="11"/>
        <v>2015</v>
      </c>
    </row>
    <row r="743" spans="1:9" x14ac:dyDescent="0.25">
      <c r="A743">
        <v>10989</v>
      </c>
      <c r="B743" t="s">
        <v>20</v>
      </c>
      <c r="C743">
        <v>2</v>
      </c>
      <c r="D743" s="1">
        <v>42094</v>
      </c>
      <c r="E743" s="1">
        <v>42122</v>
      </c>
      <c r="F743" s="1">
        <v>42096</v>
      </c>
      <c r="G743">
        <v>1</v>
      </c>
      <c r="H743">
        <v>34.76</v>
      </c>
      <c r="I743">
        <f t="shared" si="11"/>
        <v>2015</v>
      </c>
    </row>
    <row r="744" spans="1:9" x14ac:dyDescent="0.25">
      <c r="A744">
        <v>10990</v>
      </c>
      <c r="B744" t="s">
        <v>17</v>
      </c>
      <c r="C744">
        <v>2</v>
      </c>
      <c r="D744" s="1">
        <v>42095</v>
      </c>
      <c r="E744" s="1">
        <v>42137</v>
      </c>
      <c r="F744" s="1">
        <v>42101</v>
      </c>
      <c r="G744">
        <v>3</v>
      </c>
      <c r="H744">
        <v>117.61</v>
      </c>
      <c r="I744">
        <f t="shared" si="11"/>
        <v>2015</v>
      </c>
    </row>
    <row r="745" spans="1:9" x14ac:dyDescent="0.25">
      <c r="A745">
        <v>10991</v>
      </c>
      <c r="B745" t="s">
        <v>29</v>
      </c>
      <c r="C745">
        <v>1</v>
      </c>
      <c r="D745" s="1">
        <v>42095</v>
      </c>
      <c r="E745" s="1">
        <v>42123</v>
      </c>
      <c r="F745" s="1">
        <v>42101</v>
      </c>
      <c r="G745">
        <v>1</v>
      </c>
      <c r="H745">
        <v>38.51</v>
      </c>
      <c r="I745">
        <f t="shared" si="11"/>
        <v>2015</v>
      </c>
    </row>
    <row r="746" spans="1:9" x14ac:dyDescent="0.25">
      <c r="A746">
        <v>10992</v>
      </c>
      <c r="B746" t="s">
        <v>48</v>
      </c>
      <c r="C746">
        <v>1</v>
      </c>
      <c r="D746" s="1">
        <v>42095</v>
      </c>
      <c r="E746" s="1">
        <v>42123</v>
      </c>
      <c r="F746" s="1">
        <v>42097</v>
      </c>
      <c r="G746">
        <v>3</v>
      </c>
      <c r="H746">
        <v>4.2699999999999996</v>
      </c>
      <c r="I746">
        <f t="shared" si="11"/>
        <v>2015</v>
      </c>
    </row>
    <row r="747" spans="1:9" x14ac:dyDescent="0.25">
      <c r="A747">
        <v>10993</v>
      </c>
      <c r="B747" t="s">
        <v>22</v>
      </c>
      <c r="C747">
        <v>7</v>
      </c>
      <c r="D747" s="1">
        <v>42095</v>
      </c>
      <c r="E747" s="1">
        <v>42123</v>
      </c>
      <c r="F747" s="1">
        <v>42104</v>
      </c>
      <c r="G747">
        <v>3</v>
      </c>
      <c r="H747">
        <v>8.81</v>
      </c>
      <c r="I747">
        <f t="shared" si="11"/>
        <v>2015</v>
      </c>
    </row>
    <row r="748" spans="1:9" x14ac:dyDescent="0.25">
      <c r="A748">
        <v>10994</v>
      </c>
      <c r="B748" t="s">
        <v>69</v>
      </c>
      <c r="C748">
        <v>2</v>
      </c>
      <c r="D748" s="1">
        <v>42096</v>
      </c>
      <c r="E748" s="1">
        <v>42110</v>
      </c>
      <c r="F748" s="1">
        <v>42103</v>
      </c>
      <c r="G748">
        <v>3</v>
      </c>
      <c r="H748">
        <v>65.53</v>
      </c>
      <c r="I748">
        <f t="shared" si="11"/>
        <v>2015</v>
      </c>
    </row>
    <row r="749" spans="1:9" x14ac:dyDescent="0.25">
      <c r="A749">
        <v>10995</v>
      </c>
      <c r="B749" t="s">
        <v>51</v>
      </c>
      <c r="C749">
        <v>1</v>
      </c>
      <c r="D749" s="1">
        <v>42096</v>
      </c>
      <c r="E749" s="1">
        <v>42124</v>
      </c>
      <c r="F749" s="1">
        <v>42100</v>
      </c>
      <c r="G749">
        <v>3</v>
      </c>
      <c r="H749">
        <v>46</v>
      </c>
      <c r="I749">
        <f t="shared" si="11"/>
        <v>2015</v>
      </c>
    </row>
    <row r="750" spans="1:9" x14ac:dyDescent="0.25">
      <c r="A750">
        <v>10996</v>
      </c>
      <c r="B750" t="s">
        <v>29</v>
      </c>
      <c r="C750">
        <v>4</v>
      </c>
      <c r="D750" s="1">
        <v>42096</v>
      </c>
      <c r="E750" s="1">
        <v>42124</v>
      </c>
      <c r="F750" s="1">
        <v>42104</v>
      </c>
      <c r="G750">
        <v>2</v>
      </c>
      <c r="H750">
        <v>1.1200000000000001</v>
      </c>
      <c r="I750">
        <f t="shared" si="11"/>
        <v>2015</v>
      </c>
    </row>
    <row r="751" spans="1:9" x14ac:dyDescent="0.25">
      <c r="A751">
        <v>10997</v>
      </c>
      <c r="B751" t="s">
        <v>36</v>
      </c>
      <c r="C751">
        <v>8</v>
      </c>
      <c r="D751" s="1">
        <v>42097</v>
      </c>
      <c r="E751" s="1">
        <v>42139</v>
      </c>
      <c r="F751" s="1">
        <v>42107</v>
      </c>
      <c r="G751">
        <v>2</v>
      </c>
      <c r="H751">
        <v>73.91</v>
      </c>
      <c r="I751">
        <f t="shared" si="11"/>
        <v>2015</v>
      </c>
    </row>
    <row r="752" spans="1:9" x14ac:dyDescent="0.25">
      <c r="A752">
        <v>10998</v>
      </c>
      <c r="B752" t="s">
        <v>71</v>
      </c>
      <c r="C752">
        <v>8</v>
      </c>
      <c r="D752" s="1">
        <v>42097</v>
      </c>
      <c r="E752" s="1">
        <v>42111</v>
      </c>
      <c r="F752" s="1">
        <v>42111</v>
      </c>
      <c r="G752">
        <v>2</v>
      </c>
      <c r="H752">
        <v>20.309999999999999</v>
      </c>
      <c r="I752">
        <f t="shared" si="11"/>
        <v>2015</v>
      </c>
    </row>
    <row r="753" spans="1:9" x14ac:dyDescent="0.25">
      <c r="A753">
        <v>10999</v>
      </c>
      <c r="B753" t="s">
        <v>19</v>
      </c>
      <c r="C753">
        <v>6</v>
      </c>
      <c r="D753" s="1">
        <v>42097</v>
      </c>
      <c r="E753" s="1">
        <v>42125</v>
      </c>
      <c r="F753" s="1">
        <v>42104</v>
      </c>
      <c r="G753">
        <v>2</v>
      </c>
      <c r="H753">
        <v>96.35</v>
      </c>
      <c r="I753">
        <f t="shared" si="11"/>
        <v>2015</v>
      </c>
    </row>
    <row r="754" spans="1:9" x14ac:dyDescent="0.25">
      <c r="A754">
        <v>11000</v>
      </c>
      <c r="B754" t="s">
        <v>21</v>
      </c>
      <c r="C754">
        <v>2</v>
      </c>
      <c r="D754" s="1">
        <v>42100</v>
      </c>
      <c r="E754" s="1">
        <v>42128</v>
      </c>
      <c r="F754" s="1">
        <v>42108</v>
      </c>
      <c r="G754">
        <v>3</v>
      </c>
      <c r="H754">
        <v>55.12</v>
      </c>
      <c r="I754">
        <f t="shared" si="11"/>
        <v>2015</v>
      </c>
    </row>
    <row r="755" spans="1:9" x14ac:dyDescent="0.25">
      <c r="A755">
        <v>11001</v>
      </c>
      <c r="B755" t="s">
        <v>22</v>
      </c>
      <c r="C755">
        <v>2</v>
      </c>
      <c r="D755" s="1">
        <v>42100</v>
      </c>
      <c r="E755" s="1">
        <v>42128</v>
      </c>
      <c r="F755" s="1">
        <v>42108</v>
      </c>
      <c r="G755">
        <v>2</v>
      </c>
      <c r="H755">
        <v>197.3</v>
      </c>
      <c r="I755">
        <f t="shared" si="11"/>
        <v>2015</v>
      </c>
    </row>
    <row r="756" spans="1:9" x14ac:dyDescent="0.25">
      <c r="A756">
        <v>11002</v>
      </c>
      <c r="B756" t="s">
        <v>53</v>
      </c>
      <c r="C756">
        <v>4</v>
      </c>
      <c r="D756" s="1">
        <v>42100</v>
      </c>
      <c r="E756" s="1">
        <v>42128</v>
      </c>
      <c r="F756" s="1">
        <v>42110</v>
      </c>
      <c r="G756">
        <v>1</v>
      </c>
      <c r="H756">
        <v>141.16</v>
      </c>
      <c r="I756">
        <f t="shared" si="11"/>
        <v>2015</v>
      </c>
    </row>
    <row r="757" spans="1:9" x14ac:dyDescent="0.25">
      <c r="A757">
        <v>11003</v>
      </c>
      <c r="B757" t="s">
        <v>92</v>
      </c>
      <c r="C757">
        <v>3</v>
      </c>
      <c r="D757" s="1">
        <v>42100</v>
      </c>
      <c r="E757" s="1">
        <v>42128</v>
      </c>
      <c r="F757" s="1">
        <v>42102</v>
      </c>
      <c r="G757">
        <v>3</v>
      </c>
      <c r="H757">
        <v>14.91</v>
      </c>
      <c r="I757">
        <f t="shared" si="11"/>
        <v>2015</v>
      </c>
    </row>
    <row r="758" spans="1:9" x14ac:dyDescent="0.25">
      <c r="A758">
        <v>11004</v>
      </c>
      <c r="B758" t="s">
        <v>88</v>
      </c>
      <c r="C758">
        <v>3</v>
      </c>
      <c r="D758" s="1">
        <v>42101</v>
      </c>
      <c r="E758" s="1">
        <v>42129</v>
      </c>
      <c r="F758" s="1">
        <v>42114</v>
      </c>
      <c r="G758">
        <v>1</v>
      </c>
      <c r="H758">
        <v>44.84</v>
      </c>
      <c r="I758">
        <f t="shared" si="11"/>
        <v>2015</v>
      </c>
    </row>
    <row r="759" spans="1:9" x14ac:dyDescent="0.25">
      <c r="A759">
        <v>11005</v>
      </c>
      <c r="B759" t="s">
        <v>91</v>
      </c>
      <c r="C759">
        <v>2</v>
      </c>
      <c r="D759" s="1">
        <v>42101</v>
      </c>
      <c r="E759" s="1">
        <v>42129</v>
      </c>
      <c r="F759" s="1">
        <v>42104</v>
      </c>
      <c r="G759">
        <v>1</v>
      </c>
      <c r="H759">
        <v>0.75</v>
      </c>
      <c r="I759">
        <f t="shared" si="11"/>
        <v>2015</v>
      </c>
    </row>
    <row r="760" spans="1:9" x14ac:dyDescent="0.25">
      <c r="A760">
        <v>11006</v>
      </c>
      <c r="B760" t="s">
        <v>87</v>
      </c>
      <c r="C760">
        <v>3</v>
      </c>
      <c r="D760" s="1">
        <v>42101</v>
      </c>
      <c r="E760" s="1">
        <v>42129</v>
      </c>
      <c r="F760" s="1">
        <v>42109</v>
      </c>
      <c r="G760">
        <v>2</v>
      </c>
      <c r="H760">
        <v>25.19</v>
      </c>
      <c r="I760">
        <f t="shared" si="11"/>
        <v>2015</v>
      </c>
    </row>
    <row r="761" spans="1:9" x14ac:dyDescent="0.25">
      <c r="A761">
        <v>11007</v>
      </c>
      <c r="B761" t="s">
        <v>58</v>
      </c>
      <c r="C761">
        <v>8</v>
      </c>
      <c r="D761" s="1">
        <v>42102</v>
      </c>
      <c r="E761" s="1">
        <v>42130</v>
      </c>
      <c r="F761" s="1">
        <v>42107</v>
      </c>
      <c r="G761">
        <v>2</v>
      </c>
      <c r="H761">
        <v>202.24</v>
      </c>
      <c r="I761">
        <f t="shared" si="11"/>
        <v>2015</v>
      </c>
    </row>
    <row r="762" spans="1:9" x14ac:dyDescent="0.25">
      <c r="A762">
        <v>11008</v>
      </c>
      <c r="B762" t="s">
        <v>17</v>
      </c>
      <c r="C762">
        <v>7</v>
      </c>
      <c r="D762" s="1">
        <v>42102</v>
      </c>
      <c r="E762" s="1">
        <v>42130</v>
      </c>
      <c r="G762">
        <v>3</v>
      </c>
      <c r="H762">
        <v>79.459999999999994</v>
      </c>
      <c r="I762">
        <f t="shared" si="11"/>
        <v>2015</v>
      </c>
    </row>
    <row r="763" spans="1:9" x14ac:dyDescent="0.25">
      <c r="A763">
        <v>11009</v>
      </c>
      <c r="B763" t="s">
        <v>44</v>
      </c>
      <c r="C763">
        <v>2</v>
      </c>
      <c r="D763" s="1">
        <v>42102</v>
      </c>
      <c r="E763" s="1">
        <v>42130</v>
      </c>
      <c r="F763" s="1">
        <v>42104</v>
      </c>
      <c r="G763">
        <v>1</v>
      </c>
      <c r="H763">
        <v>59.11</v>
      </c>
      <c r="I763">
        <f t="shared" si="11"/>
        <v>2015</v>
      </c>
    </row>
    <row r="764" spans="1:9" x14ac:dyDescent="0.25">
      <c r="A764">
        <v>11010</v>
      </c>
      <c r="B764" t="s">
        <v>38</v>
      </c>
      <c r="C764">
        <v>2</v>
      </c>
      <c r="D764" s="1">
        <v>42103</v>
      </c>
      <c r="E764" s="1">
        <v>42131</v>
      </c>
      <c r="F764" s="1">
        <v>42115</v>
      </c>
      <c r="G764">
        <v>2</v>
      </c>
      <c r="H764">
        <v>28.71</v>
      </c>
      <c r="I764">
        <f t="shared" si="11"/>
        <v>2015</v>
      </c>
    </row>
    <row r="765" spans="1:9" x14ac:dyDescent="0.25">
      <c r="A765">
        <v>11011</v>
      </c>
      <c r="B765" t="s">
        <v>93</v>
      </c>
      <c r="C765">
        <v>3</v>
      </c>
      <c r="D765" s="1">
        <v>42103</v>
      </c>
      <c r="E765" s="1">
        <v>42131</v>
      </c>
      <c r="F765" s="1">
        <v>42107</v>
      </c>
      <c r="G765">
        <v>1</v>
      </c>
      <c r="H765">
        <v>1.21</v>
      </c>
      <c r="I765">
        <f t="shared" si="11"/>
        <v>2015</v>
      </c>
    </row>
    <row r="766" spans="1:9" x14ac:dyDescent="0.25">
      <c r="A766">
        <v>11012</v>
      </c>
      <c r="B766" t="s">
        <v>25</v>
      </c>
      <c r="C766">
        <v>1</v>
      </c>
      <c r="D766" s="1">
        <v>42103</v>
      </c>
      <c r="E766" s="1">
        <v>42117</v>
      </c>
      <c r="F766" s="1">
        <v>42111</v>
      </c>
      <c r="G766">
        <v>3</v>
      </c>
      <c r="H766">
        <v>242.95</v>
      </c>
      <c r="I766">
        <f t="shared" si="11"/>
        <v>2015</v>
      </c>
    </row>
    <row r="767" spans="1:9" x14ac:dyDescent="0.25">
      <c r="A767">
        <v>11013</v>
      </c>
      <c r="B767" t="s">
        <v>35</v>
      </c>
      <c r="C767">
        <v>2</v>
      </c>
      <c r="D767" s="1">
        <v>42103</v>
      </c>
      <c r="E767" s="1">
        <v>42131</v>
      </c>
      <c r="F767" s="1">
        <v>42104</v>
      </c>
      <c r="G767">
        <v>1</v>
      </c>
      <c r="H767">
        <v>32.99</v>
      </c>
      <c r="I767">
        <f t="shared" si="11"/>
        <v>2015</v>
      </c>
    </row>
    <row r="768" spans="1:9" x14ac:dyDescent="0.25">
      <c r="A768">
        <v>11014</v>
      </c>
      <c r="B768" t="s">
        <v>75</v>
      </c>
      <c r="C768">
        <v>2</v>
      </c>
      <c r="D768" s="1">
        <v>42104</v>
      </c>
      <c r="E768" s="1">
        <v>42132</v>
      </c>
      <c r="F768" s="1">
        <v>42109</v>
      </c>
      <c r="G768">
        <v>3</v>
      </c>
      <c r="H768">
        <v>23.6</v>
      </c>
      <c r="I768">
        <f t="shared" si="11"/>
        <v>2015</v>
      </c>
    </row>
    <row r="769" spans="1:9" x14ac:dyDescent="0.25">
      <c r="A769">
        <v>11015</v>
      </c>
      <c r="B769" t="s">
        <v>73</v>
      </c>
      <c r="C769">
        <v>2</v>
      </c>
      <c r="D769" s="1">
        <v>42104</v>
      </c>
      <c r="E769" s="1">
        <v>42118</v>
      </c>
      <c r="F769" s="1">
        <v>42114</v>
      </c>
      <c r="G769">
        <v>2</v>
      </c>
      <c r="H769">
        <v>4.62</v>
      </c>
      <c r="I769">
        <f t="shared" si="11"/>
        <v>2015</v>
      </c>
    </row>
    <row r="770" spans="1:9" x14ac:dyDescent="0.25">
      <c r="A770">
        <v>11016</v>
      </c>
      <c r="B770" t="s">
        <v>63</v>
      </c>
      <c r="C770">
        <v>9</v>
      </c>
      <c r="D770" s="1">
        <v>42104</v>
      </c>
      <c r="E770" s="1">
        <v>42132</v>
      </c>
      <c r="F770" s="1">
        <v>42107</v>
      </c>
      <c r="G770">
        <v>2</v>
      </c>
      <c r="H770">
        <v>33.799999999999997</v>
      </c>
      <c r="I770">
        <f t="shared" si="11"/>
        <v>2015</v>
      </c>
    </row>
    <row r="771" spans="1:9" x14ac:dyDescent="0.25">
      <c r="A771">
        <v>11017</v>
      </c>
      <c r="B771" t="s">
        <v>17</v>
      </c>
      <c r="C771">
        <v>9</v>
      </c>
      <c r="D771" s="1">
        <v>42107</v>
      </c>
      <c r="E771" s="1">
        <v>42135</v>
      </c>
      <c r="F771" s="1">
        <v>42114</v>
      </c>
      <c r="G771">
        <v>2</v>
      </c>
      <c r="H771">
        <v>754.26</v>
      </c>
      <c r="I771">
        <f t="shared" ref="I771:I831" si="12">YEAR(D771)</f>
        <v>2015</v>
      </c>
    </row>
    <row r="772" spans="1:9" x14ac:dyDescent="0.25">
      <c r="A772">
        <v>11018</v>
      </c>
      <c r="B772" t="s">
        <v>46</v>
      </c>
      <c r="C772">
        <v>4</v>
      </c>
      <c r="D772" s="1">
        <v>42107</v>
      </c>
      <c r="E772" s="1">
        <v>42135</v>
      </c>
      <c r="F772" s="1">
        <v>42110</v>
      </c>
      <c r="G772">
        <v>2</v>
      </c>
      <c r="H772">
        <v>11.65</v>
      </c>
      <c r="I772">
        <f t="shared" si="12"/>
        <v>2015</v>
      </c>
    </row>
    <row r="773" spans="1:9" x14ac:dyDescent="0.25">
      <c r="A773">
        <v>11019</v>
      </c>
      <c r="B773" t="s">
        <v>81</v>
      </c>
      <c r="C773">
        <v>6</v>
      </c>
      <c r="D773" s="1">
        <v>42107</v>
      </c>
      <c r="E773" s="1">
        <v>42135</v>
      </c>
      <c r="G773">
        <v>3</v>
      </c>
      <c r="H773">
        <v>3.17</v>
      </c>
      <c r="I773">
        <f t="shared" si="12"/>
        <v>2015</v>
      </c>
    </row>
    <row r="774" spans="1:9" x14ac:dyDescent="0.25">
      <c r="A774">
        <v>11020</v>
      </c>
      <c r="B774" t="s">
        <v>19</v>
      </c>
      <c r="C774">
        <v>2</v>
      </c>
      <c r="D774" s="1">
        <v>42108</v>
      </c>
      <c r="E774" s="1">
        <v>42136</v>
      </c>
      <c r="F774" s="1">
        <v>42110</v>
      </c>
      <c r="G774">
        <v>2</v>
      </c>
      <c r="H774">
        <v>43.3</v>
      </c>
      <c r="I774">
        <f t="shared" si="12"/>
        <v>2015</v>
      </c>
    </row>
    <row r="775" spans="1:9" x14ac:dyDescent="0.25">
      <c r="A775">
        <v>11021</v>
      </c>
      <c r="B775" t="s">
        <v>29</v>
      </c>
      <c r="C775">
        <v>3</v>
      </c>
      <c r="D775" s="1">
        <v>42108</v>
      </c>
      <c r="E775" s="1">
        <v>42136</v>
      </c>
      <c r="F775" s="1">
        <v>42115</v>
      </c>
      <c r="G775">
        <v>1</v>
      </c>
      <c r="H775">
        <v>297.18</v>
      </c>
      <c r="I775">
        <f t="shared" si="12"/>
        <v>2015</v>
      </c>
    </row>
    <row r="776" spans="1:9" x14ac:dyDescent="0.25">
      <c r="A776">
        <v>11022</v>
      </c>
      <c r="B776" t="s">
        <v>10</v>
      </c>
      <c r="C776">
        <v>9</v>
      </c>
      <c r="D776" s="1">
        <v>42108</v>
      </c>
      <c r="E776" s="1">
        <v>42136</v>
      </c>
      <c r="F776" s="1">
        <v>42128</v>
      </c>
      <c r="G776">
        <v>2</v>
      </c>
      <c r="H776">
        <v>6.27</v>
      </c>
      <c r="I776">
        <f t="shared" si="12"/>
        <v>2015</v>
      </c>
    </row>
    <row r="777" spans="1:9" x14ac:dyDescent="0.25">
      <c r="A777">
        <v>11023</v>
      </c>
      <c r="B777" t="s">
        <v>39</v>
      </c>
      <c r="C777">
        <v>1</v>
      </c>
      <c r="D777" s="1">
        <v>42108</v>
      </c>
      <c r="E777" s="1">
        <v>42122</v>
      </c>
      <c r="F777" s="1">
        <v>42118</v>
      </c>
      <c r="G777">
        <v>2</v>
      </c>
      <c r="H777">
        <v>123.83</v>
      </c>
      <c r="I777">
        <f t="shared" si="12"/>
        <v>2015</v>
      </c>
    </row>
    <row r="778" spans="1:9" x14ac:dyDescent="0.25">
      <c r="A778">
        <v>11024</v>
      </c>
      <c r="B778" t="s">
        <v>66</v>
      </c>
      <c r="C778">
        <v>4</v>
      </c>
      <c r="D778" s="1">
        <v>42109</v>
      </c>
      <c r="E778" s="1">
        <v>42137</v>
      </c>
      <c r="F778" s="1">
        <v>42114</v>
      </c>
      <c r="G778">
        <v>1</v>
      </c>
      <c r="H778">
        <v>74.36</v>
      </c>
      <c r="I778">
        <f t="shared" si="12"/>
        <v>2015</v>
      </c>
    </row>
    <row r="779" spans="1:9" x14ac:dyDescent="0.25">
      <c r="A779">
        <v>11025</v>
      </c>
      <c r="B779" t="s">
        <v>24</v>
      </c>
      <c r="C779">
        <v>6</v>
      </c>
      <c r="D779" s="1">
        <v>42109</v>
      </c>
      <c r="E779" s="1">
        <v>42137</v>
      </c>
      <c r="F779" s="1">
        <v>42118</v>
      </c>
      <c r="G779">
        <v>3</v>
      </c>
      <c r="H779">
        <v>29.17</v>
      </c>
      <c r="I779">
        <f t="shared" si="12"/>
        <v>2015</v>
      </c>
    </row>
    <row r="780" spans="1:9" x14ac:dyDescent="0.25">
      <c r="A780">
        <v>11026</v>
      </c>
      <c r="B780" t="s">
        <v>78</v>
      </c>
      <c r="C780">
        <v>4</v>
      </c>
      <c r="D780" s="1">
        <v>42109</v>
      </c>
      <c r="E780" s="1">
        <v>42137</v>
      </c>
      <c r="F780" s="1">
        <v>42122</v>
      </c>
      <c r="G780">
        <v>1</v>
      </c>
      <c r="H780">
        <v>47.09</v>
      </c>
      <c r="I780">
        <f t="shared" si="12"/>
        <v>2015</v>
      </c>
    </row>
    <row r="781" spans="1:9" x14ac:dyDescent="0.25">
      <c r="A781">
        <v>11027</v>
      </c>
      <c r="B781" t="s">
        <v>74</v>
      </c>
      <c r="C781">
        <v>1</v>
      </c>
      <c r="D781" s="1">
        <v>42110</v>
      </c>
      <c r="E781" s="1">
        <v>42138</v>
      </c>
      <c r="F781" s="1">
        <v>42114</v>
      </c>
      <c r="G781">
        <v>1</v>
      </c>
      <c r="H781">
        <v>52.52</v>
      </c>
      <c r="I781">
        <f t="shared" si="12"/>
        <v>2015</v>
      </c>
    </row>
    <row r="782" spans="1:9" x14ac:dyDescent="0.25">
      <c r="A782">
        <v>11028</v>
      </c>
      <c r="B782" t="s">
        <v>52</v>
      </c>
      <c r="C782">
        <v>2</v>
      </c>
      <c r="D782" s="1">
        <v>42110</v>
      </c>
      <c r="E782" s="1">
        <v>42138</v>
      </c>
      <c r="F782" s="1">
        <v>42116</v>
      </c>
      <c r="G782">
        <v>1</v>
      </c>
      <c r="H782">
        <v>29.59</v>
      </c>
      <c r="I782">
        <f t="shared" si="12"/>
        <v>2015</v>
      </c>
    </row>
    <row r="783" spans="1:9" x14ac:dyDescent="0.25">
      <c r="A783">
        <v>11029</v>
      </c>
      <c r="B783" t="s">
        <v>13</v>
      </c>
      <c r="C783">
        <v>4</v>
      </c>
      <c r="D783" s="1">
        <v>42110</v>
      </c>
      <c r="E783" s="1">
        <v>42138</v>
      </c>
      <c r="F783" s="1">
        <v>42121</v>
      </c>
      <c r="G783">
        <v>1</v>
      </c>
      <c r="H783">
        <v>47.84</v>
      </c>
      <c r="I783">
        <f t="shared" si="12"/>
        <v>2015</v>
      </c>
    </row>
    <row r="784" spans="1:9" x14ac:dyDescent="0.25">
      <c r="A784">
        <v>11030</v>
      </c>
      <c r="B784" t="s">
        <v>53</v>
      </c>
      <c r="C784">
        <v>7</v>
      </c>
      <c r="D784" s="1">
        <v>42111</v>
      </c>
      <c r="E784" s="1">
        <v>42139</v>
      </c>
      <c r="F784" s="1">
        <v>42121</v>
      </c>
      <c r="G784">
        <v>2</v>
      </c>
      <c r="H784">
        <v>830.75</v>
      </c>
      <c r="I784">
        <f t="shared" si="12"/>
        <v>2015</v>
      </c>
    </row>
    <row r="785" spans="1:9" x14ac:dyDescent="0.25">
      <c r="A785">
        <v>11031</v>
      </c>
      <c r="B785" t="s">
        <v>53</v>
      </c>
      <c r="C785">
        <v>6</v>
      </c>
      <c r="D785" s="1">
        <v>42111</v>
      </c>
      <c r="E785" s="1">
        <v>42139</v>
      </c>
      <c r="F785" s="1">
        <v>42118</v>
      </c>
      <c r="G785">
        <v>2</v>
      </c>
      <c r="H785">
        <v>227.22</v>
      </c>
      <c r="I785">
        <f t="shared" si="12"/>
        <v>2015</v>
      </c>
    </row>
    <row r="786" spans="1:9" x14ac:dyDescent="0.25">
      <c r="A786">
        <v>11032</v>
      </c>
      <c r="B786" t="s">
        <v>27</v>
      </c>
      <c r="C786">
        <v>2</v>
      </c>
      <c r="D786" s="1">
        <v>42111</v>
      </c>
      <c r="E786" s="1">
        <v>42139</v>
      </c>
      <c r="F786" s="1">
        <v>42117</v>
      </c>
      <c r="G786">
        <v>3</v>
      </c>
      <c r="H786">
        <v>606.19000000000005</v>
      </c>
      <c r="I786">
        <f t="shared" si="12"/>
        <v>2015</v>
      </c>
    </row>
    <row r="787" spans="1:9" x14ac:dyDescent="0.25">
      <c r="A787">
        <v>11033</v>
      </c>
      <c r="B787" t="s">
        <v>14</v>
      </c>
      <c r="C787">
        <v>7</v>
      </c>
      <c r="D787" s="1">
        <v>42111</v>
      </c>
      <c r="E787" s="1">
        <v>42139</v>
      </c>
      <c r="F787" s="1">
        <v>42117</v>
      </c>
      <c r="G787">
        <v>3</v>
      </c>
      <c r="H787">
        <v>84.74</v>
      </c>
      <c r="I787">
        <f t="shared" si="12"/>
        <v>2015</v>
      </c>
    </row>
    <row r="788" spans="1:9" x14ac:dyDescent="0.25">
      <c r="A788">
        <v>11034</v>
      </c>
      <c r="B788" t="s">
        <v>45</v>
      </c>
      <c r="C788">
        <v>8</v>
      </c>
      <c r="D788" s="1">
        <v>42114</v>
      </c>
      <c r="E788" s="1">
        <v>42156</v>
      </c>
      <c r="F788" s="1">
        <v>42121</v>
      </c>
      <c r="G788">
        <v>1</v>
      </c>
      <c r="H788">
        <v>40.32</v>
      </c>
      <c r="I788">
        <f t="shared" si="12"/>
        <v>2015</v>
      </c>
    </row>
    <row r="789" spans="1:9" x14ac:dyDescent="0.25">
      <c r="A789">
        <v>11035</v>
      </c>
      <c r="B789" t="s">
        <v>12</v>
      </c>
      <c r="C789">
        <v>2</v>
      </c>
      <c r="D789" s="1">
        <v>42114</v>
      </c>
      <c r="E789" s="1">
        <v>42142</v>
      </c>
      <c r="F789" s="1">
        <v>42118</v>
      </c>
      <c r="G789">
        <v>2</v>
      </c>
      <c r="H789">
        <v>0.17</v>
      </c>
      <c r="I789">
        <f t="shared" si="12"/>
        <v>2015</v>
      </c>
    </row>
    <row r="790" spans="1:9" x14ac:dyDescent="0.25">
      <c r="A790">
        <v>11036</v>
      </c>
      <c r="B790" t="s">
        <v>65</v>
      </c>
      <c r="C790">
        <v>8</v>
      </c>
      <c r="D790" s="1">
        <v>42114</v>
      </c>
      <c r="E790" s="1">
        <v>42142</v>
      </c>
      <c r="F790" s="1">
        <v>42116</v>
      </c>
      <c r="G790">
        <v>3</v>
      </c>
      <c r="H790">
        <v>149.47</v>
      </c>
      <c r="I790">
        <f t="shared" si="12"/>
        <v>2015</v>
      </c>
    </row>
    <row r="791" spans="1:9" x14ac:dyDescent="0.25">
      <c r="A791">
        <v>11037</v>
      </c>
      <c r="B791" t="s">
        <v>44</v>
      </c>
      <c r="C791">
        <v>7</v>
      </c>
      <c r="D791" s="1">
        <v>42115</v>
      </c>
      <c r="E791" s="1">
        <v>42143</v>
      </c>
      <c r="F791" s="1">
        <v>42121</v>
      </c>
      <c r="G791">
        <v>1</v>
      </c>
      <c r="H791">
        <v>3.2</v>
      </c>
      <c r="I791">
        <f t="shared" si="12"/>
        <v>2015</v>
      </c>
    </row>
    <row r="792" spans="1:9" x14ac:dyDescent="0.25">
      <c r="A792">
        <v>11038</v>
      </c>
      <c r="B792" t="s">
        <v>12</v>
      </c>
      <c r="C792">
        <v>1</v>
      </c>
      <c r="D792" s="1">
        <v>42115</v>
      </c>
      <c r="E792" s="1">
        <v>42143</v>
      </c>
      <c r="F792" s="1">
        <v>42124</v>
      </c>
      <c r="G792">
        <v>2</v>
      </c>
      <c r="H792">
        <v>29.59</v>
      </c>
      <c r="I792">
        <f t="shared" si="12"/>
        <v>2015</v>
      </c>
    </row>
    <row r="793" spans="1:9" x14ac:dyDescent="0.25">
      <c r="A793">
        <v>11039</v>
      </c>
      <c r="B793" t="s">
        <v>75</v>
      </c>
      <c r="C793">
        <v>1</v>
      </c>
      <c r="D793" s="1">
        <v>42115</v>
      </c>
      <c r="E793" s="1">
        <v>42143</v>
      </c>
      <c r="G793">
        <v>2</v>
      </c>
      <c r="H793">
        <v>65</v>
      </c>
      <c r="I793">
        <f t="shared" si="12"/>
        <v>2015</v>
      </c>
    </row>
    <row r="794" spans="1:9" x14ac:dyDescent="0.25">
      <c r="A794">
        <v>11040</v>
      </c>
      <c r="B794" t="s">
        <v>87</v>
      </c>
      <c r="C794">
        <v>4</v>
      </c>
      <c r="D794" s="1">
        <v>42116</v>
      </c>
      <c r="E794" s="1">
        <v>42144</v>
      </c>
      <c r="G794">
        <v>3</v>
      </c>
      <c r="H794">
        <v>18.84</v>
      </c>
      <c r="I794">
        <f t="shared" si="12"/>
        <v>2015</v>
      </c>
    </row>
    <row r="795" spans="1:9" x14ac:dyDescent="0.25">
      <c r="A795">
        <v>11041</v>
      </c>
      <c r="B795" t="s">
        <v>13</v>
      </c>
      <c r="C795">
        <v>3</v>
      </c>
      <c r="D795" s="1">
        <v>42116</v>
      </c>
      <c r="E795" s="1">
        <v>42144</v>
      </c>
      <c r="F795" s="1">
        <v>42122</v>
      </c>
      <c r="G795">
        <v>2</v>
      </c>
      <c r="H795">
        <v>48.22</v>
      </c>
      <c r="I795">
        <f t="shared" si="12"/>
        <v>2015</v>
      </c>
    </row>
    <row r="796" spans="1:9" x14ac:dyDescent="0.25">
      <c r="A796">
        <v>11042</v>
      </c>
      <c r="B796" t="s">
        <v>40</v>
      </c>
      <c r="C796">
        <v>2</v>
      </c>
      <c r="D796" s="1">
        <v>42116</v>
      </c>
      <c r="E796" s="1">
        <v>42130</v>
      </c>
      <c r="F796" s="1">
        <v>42125</v>
      </c>
      <c r="G796">
        <v>1</v>
      </c>
      <c r="H796">
        <v>29.99</v>
      </c>
      <c r="I796">
        <f t="shared" si="12"/>
        <v>2015</v>
      </c>
    </row>
    <row r="797" spans="1:9" x14ac:dyDescent="0.25">
      <c r="A797">
        <v>11043</v>
      </c>
      <c r="B797" t="s">
        <v>95</v>
      </c>
      <c r="C797">
        <v>5</v>
      </c>
      <c r="D797" s="1">
        <v>42116</v>
      </c>
      <c r="E797" s="1">
        <v>42144</v>
      </c>
      <c r="F797" s="1">
        <v>42123</v>
      </c>
      <c r="G797">
        <v>2</v>
      </c>
      <c r="H797">
        <v>8.8000000000000007</v>
      </c>
      <c r="I797">
        <f t="shared" si="12"/>
        <v>2015</v>
      </c>
    </row>
    <row r="798" spans="1:9" x14ac:dyDescent="0.25">
      <c r="A798">
        <v>11044</v>
      </c>
      <c r="B798" t="s">
        <v>71</v>
      </c>
      <c r="C798">
        <v>4</v>
      </c>
      <c r="D798" s="1">
        <v>42117</v>
      </c>
      <c r="E798" s="1">
        <v>42145</v>
      </c>
      <c r="F798" s="1">
        <v>42125</v>
      </c>
      <c r="G798">
        <v>1</v>
      </c>
      <c r="H798">
        <v>8.7200000000000006</v>
      </c>
      <c r="I798">
        <f t="shared" si="12"/>
        <v>2015</v>
      </c>
    </row>
    <row r="799" spans="1:9" x14ac:dyDescent="0.25">
      <c r="A799">
        <v>11045</v>
      </c>
      <c r="B799" t="s">
        <v>74</v>
      </c>
      <c r="C799">
        <v>6</v>
      </c>
      <c r="D799" s="1">
        <v>42117</v>
      </c>
      <c r="E799" s="1">
        <v>42145</v>
      </c>
      <c r="G799">
        <v>2</v>
      </c>
      <c r="H799">
        <v>70.58</v>
      </c>
      <c r="I799">
        <f t="shared" si="12"/>
        <v>2015</v>
      </c>
    </row>
    <row r="800" spans="1:9" x14ac:dyDescent="0.25">
      <c r="A800">
        <v>11046</v>
      </c>
      <c r="B800" t="s">
        <v>43</v>
      </c>
      <c r="C800">
        <v>8</v>
      </c>
      <c r="D800" s="1">
        <v>42117</v>
      </c>
      <c r="E800" s="1">
        <v>42145</v>
      </c>
      <c r="F800" s="1">
        <v>42118</v>
      </c>
      <c r="G800">
        <v>2</v>
      </c>
      <c r="H800">
        <v>71.64</v>
      </c>
      <c r="I800">
        <f t="shared" si="12"/>
        <v>2015</v>
      </c>
    </row>
    <row r="801" spans="1:9" x14ac:dyDescent="0.25">
      <c r="A801">
        <v>11047</v>
      </c>
      <c r="B801" t="s">
        <v>66</v>
      </c>
      <c r="C801">
        <v>7</v>
      </c>
      <c r="D801" s="1">
        <v>42118</v>
      </c>
      <c r="E801" s="1">
        <v>42146</v>
      </c>
      <c r="F801" s="1">
        <v>42125</v>
      </c>
      <c r="G801">
        <v>3</v>
      </c>
      <c r="H801">
        <v>46.62</v>
      </c>
      <c r="I801">
        <f t="shared" si="12"/>
        <v>2015</v>
      </c>
    </row>
    <row r="802" spans="1:9" x14ac:dyDescent="0.25">
      <c r="A802">
        <v>11048</v>
      </c>
      <c r="B802" t="s">
        <v>74</v>
      </c>
      <c r="C802">
        <v>7</v>
      </c>
      <c r="D802" s="1">
        <v>42118</v>
      </c>
      <c r="E802" s="1">
        <v>42146</v>
      </c>
      <c r="F802" s="1">
        <v>42124</v>
      </c>
      <c r="G802">
        <v>3</v>
      </c>
      <c r="H802">
        <v>24.12</v>
      </c>
      <c r="I802">
        <f t="shared" si="12"/>
        <v>2015</v>
      </c>
    </row>
    <row r="803" spans="1:9" x14ac:dyDescent="0.25">
      <c r="A803">
        <v>11049</v>
      </c>
      <c r="B803" t="s">
        <v>79</v>
      </c>
      <c r="C803">
        <v>3</v>
      </c>
      <c r="D803" s="1">
        <v>42118</v>
      </c>
      <c r="E803" s="1">
        <v>42146</v>
      </c>
      <c r="F803" s="1">
        <v>42128</v>
      </c>
      <c r="G803">
        <v>1</v>
      </c>
      <c r="H803">
        <v>8.34</v>
      </c>
      <c r="I803">
        <f t="shared" si="12"/>
        <v>2015</v>
      </c>
    </row>
    <row r="804" spans="1:9" x14ac:dyDescent="0.25">
      <c r="A804">
        <v>11050</v>
      </c>
      <c r="B804" t="s">
        <v>22</v>
      </c>
      <c r="C804">
        <v>8</v>
      </c>
      <c r="D804" s="1">
        <v>42121</v>
      </c>
      <c r="E804" s="1">
        <v>42149</v>
      </c>
      <c r="F804" s="1">
        <v>42129</v>
      </c>
      <c r="G804">
        <v>2</v>
      </c>
      <c r="H804">
        <v>59.41</v>
      </c>
      <c r="I804">
        <f t="shared" si="12"/>
        <v>2015</v>
      </c>
    </row>
    <row r="805" spans="1:9" x14ac:dyDescent="0.25">
      <c r="A805">
        <v>11051</v>
      </c>
      <c r="B805" t="s">
        <v>61</v>
      </c>
      <c r="C805">
        <v>7</v>
      </c>
      <c r="D805" s="1">
        <v>42121</v>
      </c>
      <c r="E805" s="1">
        <v>42149</v>
      </c>
      <c r="G805">
        <v>3</v>
      </c>
      <c r="H805">
        <v>2.79</v>
      </c>
      <c r="I805">
        <f t="shared" si="12"/>
        <v>2015</v>
      </c>
    </row>
    <row r="806" spans="1:9" x14ac:dyDescent="0.25">
      <c r="A806">
        <v>11052</v>
      </c>
      <c r="B806" t="s">
        <v>10</v>
      </c>
      <c r="C806">
        <v>3</v>
      </c>
      <c r="D806" s="1">
        <v>42121</v>
      </c>
      <c r="E806" s="1">
        <v>42149</v>
      </c>
      <c r="F806" s="1">
        <v>42125</v>
      </c>
      <c r="G806">
        <v>1</v>
      </c>
      <c r="H806">
        <v>67.260000000000005</v>
      </c>
      <c r="I806">
        <f t="shared" si="12"/>
        <v>2015</v>
      </c>
    </row>
    <row r="807" spans="1:9" x14ac:dyDescent="0.25">
      <c r="A807">
        <v>11053</v>
      </c>
      <c r="B807" t="s">
        <v>62</v>
      </c>
      <c r="C807">
        <v>2</v>
      </c>
      <c r="D807" s="1">
        <v>42121</v>
      </c>
      <c r="E807" s="1">
        <v>42149</v>
      </c>
      <c r="F807" s="1">
        <v>42123</v>
      </c>
      <c r="G807">
        <v>2</v>
      </c>
      <c r="H807">
        <v>53.05</v>
      </c>
      <c r="I807">
        <f t="shared" si="12"/>
        <v>2015</v>
      </c>
    </row>
    <row r="808" spans="1:9" x14ac:dyDescent="0.25">
      <c r="A808">
        <v>11054</v>
      </c>
      <c r="B808" t="s">
        <v>86</v>
      </c>
      <c r="C808">
        <v>8</v>
      </c>
      <c r="D808" s="1">
        <v>42122</v>
      </c>
      <c r="E808" s="1">
        <v>42150</v>
      </c>
      <c r="G808">
        <v>1</v>
      </c>
      <c r="H808">
        <v>0.33</v>
      </c>
      <c r="I808">
        <f t="shared" si="12"/>
        <v>2015</v>
      </c>
    </row>
    <row r="809" spans="1:9" x14ac:dyDescent="0.25">
      <c r="A809">
        <v>11055</v>
      </c>
      <c r="B809" t="s">
        <v>16</v>
      </c>
      <c r="C809">
        <v>7</v>
      </c>
      <c r="D809" s="1">
        <v>42122</v>
      </c>
      <c r="E809" s="1">
        <v>42150</v>
      </c>
      <c r="F809" s="1">
        <v>42129</v>
      </c>
      <c r="G809">
        <v>2</v>
      </c>
      <c r="H809">
        <v>120.92</v>
      </c>
      <c r="I809">
        <f t="shared" si="12"/>
        <v>2015</v>
      </c>
    </row>
    <row r="810" spans="1:9" x14ac:dyDescent="0.25">
      <c r="A810">
        <v>11056</v>
      </c>
      <c r="B810" t="s">
        <v>66</v>
      </c>
      <c r="C810">
        <v>8</v>
      </c>
      <c r="D810" s="1">
        <v>42122</v>
      </c>
      <c r="E810" s="1">
        <v>42136</v>
      </c>
      <c r="F810" s="1">
        <v>42125</v>
      </c>
      <c r="G810">
        <v>2</v>
      </c>
      <c r="H810">
        <v>278.95999999999998</v>
      </c>
      <c r="I810">
        <f t="shared" si="12"/>
        <v>2015</v>
      </c>
    </row>
    <row r="811" spans="1:9" x14ac:dyDescent="0.25">
      <c r="A811">
        <v>11057</v>
      </c>
      <c r="B811" t="s">
        <v>85</v>
      </c>
      <c r="C811">
        <v>3</v>
      </c>
      <c r="D811" s="1">
        <v>42123</v>
      </c>
      <c r="E811" s="1">
        <v>42151</v>
      </c>
      <c r="F811" s="1">
        <v>42125</v>
      </c>
      <c r="G811">
        <v>3</v>
      </c>
      <c r="H811">
        <v>4.13</v>
      </c>
      <c r="I811">
        <f t="shared" si="12"/>
        <v>2015</v>
      </c>
    </row>
    <row r="812" spans="1:9" x14ac:dyDescent="0.25">
      <c r="A812">
        <v>11058</v>
      </c>
      <c r="B812" t="s">
        <v>84</v>
      </c>
      <c r="C812">
        <v>9</v>
      </c>
      <c r="D812" s="1">
        <v>42123</v>
      </c>
      <c r="E812" s="1">
        <v>42151</v>
      </c>
      <c r="G812">
        <v>3</v>
      </c>
      <c r="H812">
        <v>31.14</v>
      </c>
      <c r="I812">
        <f t="shared" si="12"/>
        <v>2015</v>
      </c>
    </row>
    <row r="813" spans="1:9" x14ac:dyDescent="0.25">
      <c r="A813">
        <v>11059</v>
      </c>
      <c r="B813" t="s">
        <v>37</v>
      </c>
      <c r="C813">
        <v>2</v>
      </c>
      <c r="D813" s="1">
        <v>42123</v>
      </c>
      <c r="E813" s="1">
        <v>42165</v>
      </c>
      <c r="G813">
        <v>2</v>
      </c>
      <c r="H813">
        <v>85.8</v>
      </c>
      <c r="I813">
        <f t="shared" si="12"/>
        <v>2015</v>
      </c>
    </row>
    <row r="814" spans="1:9" x14ac:dyDescent="0.25">
      <c r="A814">
        <v>11060</v>
      </c>
      <c r="B814" t="s">
        <v>78</v>
      </c>
      <c r="C814">
        <v>2</v>
      </c>
      <c r="D814" s="1">
        <v>42124</v>
      </c>
      <c r="E814" s="1">
        <v>42152</v>
      </c>
      <c r="F814" s="1">
        <v>42128</v>
      </c>
      <c r="G814">
        <v>2</v>
      </c>
      <c r="H814">
        <v>10.98</v>
      </c>
      <c r="I814">
        <f t="shared" si="12"/>
        <v>2015</v>
      </c>
    </row>
    <row r="815" spans="1:9" x14ac:dyDescent="0.25">
      <c r="A815">
        <v>11061</v>
      </c>
      <c r="B815" t="s">
        <v>87</v>
      </c>
      <c r="C815">
        <v>4</v>
      </c>
      <c r="D815" s="1">
        <v>42124</v>
      </c>
      <c r="E815" s="1">
        <v>42166</v>
      </c>
      <c r="G815">
        <v>3</v>
      </c>
      <c r="H815">
        <v>14.01</v>
      </c>
      <c r="I815">
        <f t="shared" si="12"/>
        <v>2015</v>
      </c>
    </row>
    <row r="816" spans="1:9" x14ac:dyDescent="0.25">
      <c r="A816">
        <v>11062</v>
      </c>
      <c r="B816" t="s">
        <v>38</v>
      </c>
      <c r="C816">
        <v>4</v>
      </c>
      <c r="D816" s="1">
        <v>42124</v>
      </c>
      <c r="E816" s="1">
        <v>42152</v>
      </c>
      <c r="G816">
        <v>2</v>
      </c>
      <c r="H816">
        <v>29.93</v>
      </c>
      <c r="I816">
        <f t="shared" si="12"/>
        <v>2015</v>
      </c>
    </row>
    <row r="817" spans="1:72" x14ac:dyDescent="0.25">
      <c r="A817">
        <v>11063</v>
      </c>
      <c r="B817" t="s">
        <v>42</v>
      </c>
      <c r="C817">
        <v>3</v>
      </c>
      <c r="D817" s="1">
        <v>42124</v>
      </c>
      <c r="E817" s="1">
        <v>42152</v>
      </c>
      <c r="F817" s="1">
        <v>42130</v>
      </c>
      <c r="G817">
        <v>2</v>
      </c>
      <c r="H817">
        <v>81.73</v>
      </c>
      <c r="I817">
        <f t="shared" si="12"/>
        <v>2015</v>
      </c>
    </row>
    <row r="818" spans="1:72" x14ac:dyDescent="0.25">
      <c r="A818">
        <v>11064</v>
      </c>
      <c r="B818" t="s">
        <v>53</v>
      </c>
      <c r="C818">
        <v>1</v>
      </c>
      <c r="D818" s="1">
        <v>42125</v>
      </c>
      <c r="E818" s="1">
        <v>42153</v>
      </c>
      <c r="F818" s="1">
        <v>42128</v>
      </c>
      <c r="G818">
        <v>1</v>
      </c>
      <c r="H818">
        <v>30.09</v>
      </c>
      <c r="I818">
        <f t="shared" si="12"/>
        <v>2015</v>
      </c>
    </row>
    <row r="819" spans="1:72" x14ac:dyDescent="0.25">
      <c r="A819">
        <v>11065</v>
      </c>
      <c r="B819" t="s">
        <v>36</v>
      </c>
      <c r="C819">
        <v>8</v>
      </c>
      <c r="D819" s="1">
        <v>42125</v>
      </c>
      <c r="E819" s="1">
        <v>42153</v>
      </c>
      <c r="G819">
        <v>1</v>
      </c>
      <c r="H819">
        <v>12.91</v>
      </c>
      <c r="I819">
        <f t="shared" si="12"/>
        <v>2015</v>
      </c>
    </row>
    <row r="820" spans="1:72" x14ac:dyDescent="0.25">
      <c r="A820">
        <v>11066</v>
      </c>
      <c r="B820" t="s">
        <v>27</v>
      </c>
      <c r="C820">
        <v>7</v>
      </c>
      <c r="D820" s="1">
        <v>42125</v>
      </c>
      <c r="E820" s="1">
        <v>42153</v>
      </c>
      <c r="F820" s="1">
        <v>42128</v>
      </c>
      <c r="G820">
        <v>2</v>
      </c>
      <c r="H820">
        <v>44.72</v>
      </c>
      <c r="I820">
        <f t="shared" si="12"/>
        <v>2015</v>
      </c>
    </row>
    <row r="821" spans="1:72" x14ac:dyDescent="0.25">
      <c r="A821">
        <v>11067</v>
      </c>
      <c r="B821" t="s">
        <v>65</v>
      </c>
      <c r="C821">
        <v>1</v>
      </c>
      <c r="D821" s="1">
        <v>42128</v>
      </c>
      <c r="E821" s="1">
        <v>42142</v>
      </c>
      <c r="F821" s="1">
        <v>42130</v>
      </c>
      <c r="G821">
        <v>2</v>
      </c>
      <c r="H821">
        <v>7.98</v>
      </c>
      <c r="I821">
        <f t="shared" si="12"/>
        <v>2015</v>
      </c>
    </row>
    <row r="822" spans="1:72" x14ac:dyDescent="0.25">
      <c r="A822">
        <v>11068</v>
      </c>
      <c r="B822" t="s">
        <v>70</v>
      </c>
      <c r="C822">
        <v>8</v>
      </c>
      <c r="D822" s="1">
        <v>42128</v>
      </c>
      <c r="E822" s="1">
        <v>42156</v>
      </c>
      <c r="G822">
        <v>2</v>
      </c>
      <c r="H822">
        <v>81.75</v>
      </c>
      <c r="I822">
        <f t="shared" si="12"/>
        <v>2015</v>
      </c>
    </row>
    <row r="823" spans="1:72" x14ac:dyDescent="0.25">
      <c r="A823">
        <v>11069</v>
      </c>
      <c r="B823" t="s">
        <v>31</v>
      </c>
      <c r="C823">
        <v>1</v>
      </c>
      <c r="D823" s="1">
        <v>42128</v>
      </c>
      <c r="E823" s="1">
        <v>42156</v>
      </c>
      <c r="F823" s="1">
        <v>42130</v>
      </c>
      <c r="G823">
        <v>2</v>
      </c>
      <c r="H823">
        <v>15.67</v>
      </c>
      <c r="I823">
        <f t="shared" si="12"/>
        <v>2015</v>
      </c>
    </row>
    <row r="824" spans="1:72" x14ac:dyDescent="0.25">
      <c r="A824">
        <v>11070</v>
      </c>
      <c r="B824" t="s">
        <v>34</v>
      </c>
      <c r="C824">
        <v>2</v>
      </c>
      <c r="D824" s="1">
        <v>42129</v>
      </c>
      <c r="E824" s="1">
        <v>42157</v>
      </c>
      <c r="G824">
        <v>1</v>
      </c>
      <c r="H824">
        <v>136</v>
      </c>
      <c r="I824">
        <f t="shared" si="12"/>
        <v>2015</v>
      </c>
    </row>
    <row r="825" spans="1:72" x14ac:dyDescent="0.25">
      <c r="A825">
        <v>11071</v>
      </c>
      <c r="B825" t="s">
        <v>36</v>
      </c>
      <c r="C825">
        <v>1</v>
      </c>
      <c r="D825" s="1">
        <v>42129</v>
      </c>
      <c r="E825" s="1">
        <v>42157</v>
      </c>
      <c r="G825">
        <v>1</v>
      </c>
      <c r="H825">
        <v>0.93</v>
      </c>
      <c r="I825">
        <f t="shared" si="12"/>
        <v>2015</v>
      </c>
    </row>
    <row r="826" spans="1:72" x14ac:dyDescent="0.25">
      <c r="A826">
        <v>11072</v>
      </c>
      <c r="B826" t="s">
        <v>17</v>
      </c>
      <c r="C826">
        <v>4</v>
      </c>
      <c r="D826" s="1">
        <v>42129</v>
      </c>
      <c r="E826" s="1">
        <v>42157</v>
      </c>
      <c r="G826">
        <v>2</v>
      </c>
      <c r="H826">
        <v>258.64</v>
      </c>
      <c r="I826">
        <f t="shared" si="12"/>
        <v>2015</v>
      </c>
    </row>
    <row r="827" spans="1:72" x14ac:dyDescent="0.25">
      <c r="A827">
        <v>11073</v>
      </c>
      <c r="B827" t="s">
        <v>51</v>
      </c>
      <c r="C827">
        <v>2</v>
      </c>
      <c r="D827" s="1">
        <v>42129</v>
      </c>
      <c r="E827" s="1">
        <v>42157</v>
      </c>
      <c r="G827">
        <v>2</v>
      </c>
      <c r="H827">
        <v>24.95</v>
      </c>
      <c r="I827">
        <f t="shared" si="12"/>
        <v>2015</v>
      </c>
    </row>
    <row r="828" spans="1:72" x14ac:dyDescent="0.25">
      <c r="A828">
        <v>11074</v>
      </c>
      <c r="B828" t="s">
        <v>59</v>
      </c>
      <c r="C828">
        <v>7</v>
      </c>
      <c r="D828" s="1">
        <v>42130</v>
      </c>
      <c r="E828" s="1">
        <v>42158</v>
      </c>
      <c r="G828">
        <v>2</v>
      </c>
      <c r="H828">
        <v>18.440000000000001</v>
      </c>
      <c r="I828">
        <f t="shared" si="12"/>
        <v>2015</v>
      </c>
    </row>
    <row r="829" spans="1:72" x14ac:dyDescent="0.25">
      <c r="A829">
        <v>11075</v>
      </c>
      <c r="B829" t="s">
        <v>14</v>
      </c>
      <c r="C829">
        <v>8</v>
      </c>
      <c r="D829" s="1">
        <v>42130</v>
      </c>
      <c r="E829" s="1">
        <v>42158</v>
      </c>
      <c r="G829">
        <v>2</v>
      </c>
      <c r="H829">
        <v>6.19</v>
      </c>
      <c r="I829">
        <f t="shared" si="12"/>
        <v>2015</v>
      </c>
    </row>
    <row r="830" spans="1:72" x14ac:dyDescent="0.25">
      <c r="A830">
        <v>11076</v>
      </c>
      <c r="B830" t="s">
        <v>56</v>
      </c>
      <c r="C830">
        <v>4</v>
      </c>
      <c r="D830" s="1">
        <v>42130</v>
      </c>
      <c r="E830" s="1">
        <v>42158</v>
      </c>
      <c r="G830">
        <v>2</v>
      </c>
      <c r="H830">
        <v>38.28</v>
      </c>
      <c r="I830">
        <f t="shared" si="12"/>
        <v>2015</v>
      </c>
    </row>
    <row r="831" spans="1:72" x14ac:dyDescent="0.25">
      <c r="A831">
        <v>11077</v>
      </c>
      <c r="B831" t="s">
        <v>21</v>
      </c>
      <c r="C831">
        <v>1</v>
      </c>
      <c r="D831" s="1">
        <v>42130</v>
      </c>
      <c r="E831" s="1">
        <v>42158</v>
      </c>
      <c r="G831">
        <v>2</v>
      </c>
      <c r="H831">
        <v>8.5299999999999994</v>
      </c>
      <c r="I831">
        <f t="shared" si="12"/>
        <v>2015</v>
      </c>
      <c r="BS831" s="7"/>
      <c r="BT831"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57"/>
  <sheetViews>
    <sheetView topLeftCell="A2" workbookViewId="0">
      <selection activeCell="J2" sqref="J2"/>
    </sheetView>
  </sheetViews>
  <sheetFormatPr defaultRowHeight="15" x14ac:dyDescent="0.25"/>
  <cols>
    <col min="1" max="1" width="9.85546875" customWidth="1"/>
    <col min="2" max="2" width="11.85546875" customWidth="1"/>
    <col min="3" max="3" width="11.140625" customWidth="1"/>
    <col min="4" max="4" width="10.5703125" customWidth="1"/>
    <col min="5" max="5" width="10.7109375" customWidth="1"/>
    <col min="6" max="6" width="11" customWidth="1"/>
    <col min="9" max="9" width="15.5703125" customWidth="1"/>
    <col min="10" max="10" width="15.140625" customWidth="1"/>
    <col min="11" max="11" width="17.140625" customWidth="1"/>
  </cols>
  <sheetData>
    <row r="1" spans="1:11" x14ac:dyDescent="0.25">
      <c r="A1" t="s">
        <v>0</v>
      </c>
      <c r="B1" t="s">
        <v>97</v>
      </c>
      <c r="C1" t="s">
        <v>98</v>
      </c>
      <c r="D1" t="s">
        <v>99</v>
      </c>
      <c r="E1" t="s">
        <v>100</v>
      </c>
      <c r="F1" t="s">
        <v>580</v>
      </c>
      <c r="G1" t="s">
        <v>585</v>
      </c>
      <c r="H1" t="s">
        <v>586</v>
      </c>
      <c r="I1" t="s">
        <v>589</v>
      </c>
      <c r="J1" t="s">
        <v>592</v>
      </c>
      <c r="K1" t="s">
        <v>593</v>
      </c>
    </row>
    <row r="2" spans="1:11" x14ac:dyDescent="0.25">
      <c r="A2">
        <v>10248</v>
      </c>
      <c r="B2">
        <v>11</v>
      </c>
      <c r="C2">
        <v>14</v>
      </c>
      <c r="D2">
        <v>12</v>
      </c>
      <c r="E2">
        <v>0</v>
      </c>
      <c r="F2">
        <f>C2*D2*(1-E2)</f>
        <v>168</v>
      </c>
      <c r="G2">
        <f>YEAR(VLOOKUP(A2,orders!A:D,4,0))</f>
        <v>2013</v>
      </c>
      <c r="H2">
        <f>MONTH(INDEX(orders!D:D,MATCH(A2, orders!A:A,0)))</f>
        <v>7</v>
      </c>
      <c r="I2" t="str">
        <f>VLOOKUP(VLOOKUP(B2,products!A:F,6,0),categories!A:B,2,0)</f>
        <v>Dairy Products</v>
      </c>
      <c r="J2" t="str">
        <f>VLOOKUP(VLOOKUP(A2,orders!A:B,2,0),customers!A:F,6,0)</f>
        <v>France</v>
      </c>
      <c r="K2" t="str">
        <f>VLOOKUP(VLOOKUP(A2,orders!A:C,3,0),employees!A:B,2,0)</f>
        <v>Steven Buchanan</v>
      </c>
    </row>
    <row r="3" spans="1:11" x14ac:dyDescent="0.25">
      <c r="A3">
        <v>10248</v>
      </c>
      <c r="B3">
        <v>42</v>
      </c>
      <c r="C3">
        <v>9.8000000000000007</v>
      </c>
      <c r="D3">
        <v>10</v>
      </c>
      <c r="E3">
        <v>0</v>
      </c>
      <c r="F3">
        <f t="shared" ref="F3:F66" si="0">C3*D3*(1-E3)</f>
        <v>98</v>
      </c>
      <c r="G3">
        <f>YEAR(VLOOKUP(A3,orders!A:D,4,0))</f>
        <v>2013</v>
      </c>
      <c r="H3">
        <f>MONTH(INDEX(orders!D:D,MATCH(A3, orders!A:A,0)))</f>
        <v>7</v>
      </c>
      <c r="I3" t="str">
        <f>VLOOKUP(VLOOKUP(B3,products!A:F,6,0),categories!A:B,2,0)</f>
        <v>Grains &amp; Cereals</v>
      </c>
      <c r="J3" t="str">
        <f>VLOOKUP(VLOOKUP(A3,orders!A:B,2,0),customers!A:F,6,0)</f>
        <v>France</v>
      </c>
      <c r="K3" t="str">
        <f>VLOOKUP(VLOOKUP(A3,orders!A:C,3,0),employees!A:B,2,0)</f>
        <v>Steven Buchanan</v>
      </c>
    </row>
    <row r="4" spans="1:11" x14ac:dyDescent="0.25">
      <c r="A4">
        <v>10248</v>
      </c>
      <c r="B4">
        <v>72</v>
      </c>
      <c r="C4">
        <v>34.799999999999997</v>
      </c>
      <c r="D4">
        <v>5</v>
      </c>
      <c r="E4">
        <v>0</v>
      </c>
      <c r="F4">
        <f t="shared" si="0"/>
        <v>174</v>
      </c>
      <c r="G4">
        <f>YEAR(VLOOKUP(A4,orders!A:D,4,0))</f>
        <v>2013</v>
      </c>
      <c r="H4">
        <f>MONTH(INDEX(orders!D:D,MATCH(A4, orders!A:A,0)))</f>
        <v>7</v>
      </c>
      <c r="I4" t="str">
        <f>VLOOKUP(VLOOKUP(B4,products!A:F,6,0),categories!A:B,2,0)</f>
        <v>Dairy Products</v>
      </c>
      <c r="J4" t="str">
        <f>VLOOKUP(VLOOKUP(A4,orders!A:B,2,0),customers!A:F,6,0)</f>
        <v>France</v>
      </c>
      <c r="K4" t="str">
        <f>VLOOKUP(VLOOKUP(A4,orders!A:C,3,0),employees!A:B,2,0)</f>
        <v>Steven Buchanan</v>
      </c>
    </row>
    <row r="5" spans="1:11" x14ac:dyDescent="0.25">
      <c r="A5">
        <v>10249</v>
      </c>
      <c r="B5">
        <v>14</v>
      </c>
      <c r="C5">
        <v>18.600000000000001</v>
      </c>
      <c r="D5">
        <v>9</v>
      </c>
      <c r="E5">
        <v>0</v>
      </c>
      <c r="F5">
        <f t="shared" si="0"/>
        <v>167.4</v>
      </c>
      <c r="G5">
        <f>YEAR(VLOOKUP(A5,orders!A:D,4,0))</f>
        <v>2013</v>
      </c>
      <c r="H5">
        <f>MONTH(INDEX(orders!D:D,MATCH(A5, orders!A:A,0)))</f>
        <v>7</v>
      </c>
      <c r="I5" t="str">
        <f>VLOOKUP(VLOOKUP(B5,products!A:F,6,0),categories!A:B,2,0)</f>
        <v>Produce</v>
      </c>
      <c r="J5" t="str">
        <f>VLOOKUP(VLOOKUP(A5,orders!A:B,2,0),customers!A:F,6,0)</f>
        <v>Germany</v>
      </c>
      <c r="K5" t="str">
        <f>VLOOKUP(VLOOKUP(A5,orders!A:C,3,0),employees!A:B,2,0)</f>
        <v>Michael Suyama</v>
      </c>
    </row>
    <row r="6" spans="1:11" x14ac:dyDescent="0.25">
      <c r="A6">
        <v>10249</v>
      </c>
      <c r="B6">
        <v>51</v>
      </c>
      <c r="C6">
        <v>42.4</v>
      </c>
      <c r="D6">
        <v>40</v>
      </c>
      <c r="E6">
        <v>0</v>
      </c>
      <c r="F6">
        <f t="shared" si="0"/>
        <v>1696</v>
      </c>
      <c r="G6">
        <f>YEAR(VLOOKUP(A6,orders!A:D,4,0))</f>
        <v>2013</v>
      </c>
      <c r="H6">
        <f>MONTH(INDEX(orders!D:D,MATCH(A6, orders!A:A,0)))</f>
        <v>7</v>
      </c>
      <c r="I6" t="str">
        <f>VLOOKUP(VLOOKUP(B6,products!A:F,6,0),categories!A:B,2,0)</f>
        <v>Produce</v>
      </c>
      <c r="J6" t="str">
        <f>VLOOKUP(VLOOKUP(A6,orders!A:B,2,0),customers!A:F,6,0)</f>
        <v>Germany</v>
      </c>
      <c r="K6" t="str">
        <f>VLOOKUP(VLOOKUP(A6,orders!A:C,3,0),employees!A:B,2,0)</f>
        <v>Michael Suyama</v>
      </c>
    </row>
    <row r="7" spans="1:11" x14ac:dyDescent="0.25">
      <c r="A7">
        <v>10250</v>
      </c>
      <c r="B7">
        <v>41</v>
      </c>
      <c r="C7">
        <v>7.7</v>
      </c>
      <c r="D7">
        <v>10</v>
      </c>
      <c r="E7">
        <v>0</v>
      </c>
      <c r="F7">
        <f t="shared" si="0"/>
        <v>77</v>
      </c>
      <c r="G7">
        <f>YEAR(VLOOKUP(A7,orders!A:D,4,0))</f>
        <v>2013</v>
      </c>
      <c r="H7">
        <f>MONTH(INDEX(orders!D:D,MATCH(A7, orders!A:A,0)))</f>
        <v>7</v>
      </c>
      <c r="I7" t="str">
        <f>VLOOKUP(VLOOKUP(B7,products!A:F,6,0),categories!A:B,2,0)</f>
        <v>Seafood</v>
      </c>
      <c r="J7" t="str">
        <f>VLOOKUP(VLOOKUP(A7,orders!A:B,2,0),customers!A:F,6,0)</f>
        <v>Brazil</v>
      </c>
      <c r="K7" t="str">
        <f>VLOOKUP(VLOOKUP(A7,orders!A:C,3,0),employees!A:B,2,0)</f>
        <v>Margaret Peacock</v>
      </c>
    </row>
    <row r="8" spans="1:11" x14ac:dyDescent="0.25">
      <c r="A8">
        <v>10250</v>
      </c>
      <c r="B8">
        <v>51</v>
      </c>
      <c r="C8">
        <v>42.4</v>
      </c>
      <c r="D8">
        <v>35</v>
      </c>
      <c r="E8">
        <v>0.15</v>
      </c>
      <c r="F8">
        <f t="shared" si="0"/>
        <v>1261.3999999999999</v>
      </c>
      <c r="G8">
        <f>YEAR(VLOOKUP(A8,orders!A:D,4,0))</f>
        <v>2013</v>
      </c>
      <c r="H8">
        <f>MONTH(INDEX(orders!D:D,MATCH(A8, orders!A:A,0)))</f>
        <v>7</v>
      </c>
      <c r="I8" t="str">
        <f>VLOOKUP(VLOOKUP(B8,products!A:F,6,0),categories!A:B,2,0)</f>
        <v>Produce</v>
      </c>
      <c r="J8" t="str">
        <f>VLOOKUP(VLOOKUP(A8,orders!A:B,2,0),customers!A:F,6,0)</f>
        <v>Brazil</v>
      </c>
      <c r="K8" t="str">
        <f>VLOOKUP(VLOOKUP(A8,orders!A:C,3,0),employees!A:B,2,0)</f>
        <v>Margaret Peacock</v>
      </c>
    </row>
    <row r="9" spans="1:11" x14ac:dyDescent="0.25">
      <c r="A9">
        <v>10250</v>
      </c>
      <c r="B9">
        <v>65</v>
      </c>
      <c r="C9">
        <v>16.8</v>
      </c>
      <c r="D9">
        <v>15</v>
      </c>
      <c r="E9">
        <v>0.15</v>
      </c>
      <c r="F9">
        <f t="shared" si="0"/>
        <v>214.2</v>
      </c>
      <c r="G9">
        <f>YEAR(VLOOKUP(A9,orders!A:D,4,0))</f>
        <v>2013</v>
      </c>
      <c r="H9">
        <f>MONTH(INDEX(orders!D:D,MATCH(A9, orders!A:A,0)))</f>
        <v>7</v>
      </c>
      <c r="I9" t="str">
        <f>VLOOKUP(VLOOKUP(B9,products!A:F,6,0),categories!A:B,2,0)</f>
        <v>Condiments</v>
      </c>
      <c r="J9" t="str">
        <f>VLOOKUP(VLOOKUP(A9,orders!A:B,2,0),customers!A:F,6,0)</f>
        <v>Brazil</v>
      </c>
      <c r="K9" t="str">
        <f>VLOOKUP(VLOOKUP(A9,orders!A:C,3,0),employees!A:B,2,0)</f>
        <v>Margaret Peacock</v>
      </c>
    </row>
    <row r="10" spans="1:11" x14ac:dyDescent="0.25">
      <c r="A10">
        <v>10251</v>
      </c>
      <c r="B10">
        <v>22</v>
      </c>
      <c r="C10">
        <v>16.8</v>
      </c>
      <c r="D10">
        <v>6</v>
      </c>
      <c r="E10">
        <v>0.05</v>
      </c>
      <c r="F10">
        <f t="shared" si="0"/>
        <v>95.76</v>
      </c>
      <c r="G10">
        <f>YEAR(VLOOKUP(A10,orders!A:D,4,0))</f>
        <v>2013</v>
      </c>
      <c r="H10">
        <f>MONTH(INDEX(orders!D:D,MATCH(A10, orders!A:A,0)))</f>
        <v>7</v>
      </c>
      <c r="I10" t="str">
        <f>VLOOKUP(VLOOKUP(B10,products!A:F,6,0),categories!A:B,2,0)</f>
        <v>Grains &amp; Cereals</v>
      </c>
      <c r="J10" t="str">
        <f>VLOOKUP(VLOOKUP(A10,orders!A:B,2,0),customers!A:F,6,0)</f>
        <v>France</v>
      </c>
      <c r="K10" t="str">
        <f>VLOOKUP(VLOOKUP(A10,orders!A:C,3,0),employees!A:B,2,0)</f>
        <v>Janet Leverling</v>
      </c>
    </row>
    <row r="11" spans="1:11" x14ac:dyDescent="0.25">
      <c r="A11">
        <v>10251</v>
      </c>
      <c r="B11">
        <v>57</v>
      </c>
      <c r="C11">
        <v>15.6</v>
      </c>
      <c r="D11">
        <v>15</v>
      </c>
      <c r="E11">
        <v>0.05</v>
      </c>
      <c r="F11">
        <f t="shared" si="0"/>
        <v>222.29999999999998</v>
      </c>
      <c r="G11">
        <f>YEAR(VLOOKUP(A11,orders!A:D,4,0))</f>
        <v>2013</v>
      </c>
      <c r="H11">
        <f>MONTH(INDEX(orders!D:D,MATCH(A11, orders!A:A,0)))</f>
        <v>7</v>
      </c>
      <c r="I11" t="str">
        <f>VLOOKUP(VLOOKUP(B11,products!A:F,6,0),categories!A:B,2,0)</f>
        <v>Grains &amp; Cereals</v>
      </c>
      <c r="J11" t="str">
        <f>VLOOKUP(VLOOKUP(A11,orders!A:B,2,0),customers!A:F,6,0)</f>
        <v>France</v>
      </c>
      <c r="K11" t="str">
        <f>VLOOKUP(VLOOKUP(A11,orders!A:C,3,0),employees!A:B,2,0)</f>
        <v>Janet Leverling</v>
      </c>
    </row>
    <row r="12" spans="1:11" x14ac:dyDescent="0.25">
      <c r="A12">
        <v>10251</v>
      </c>
      <c r="B12">
        <v>65</v>
      </c>
      <c r="C12">
        <v>16.8</v>
      </c>
      <c r="D12">
        <v>20</v>
      </c>
      <c r="E12">
        <v>0</v>
      </c>
      <c r="F12">
        <f t="shared" si="0"/>
        <v>336</v>
      </c>
      <c r="G12">
        <f>YEAR(VLOOKUP(A12,orders!A:D,4,0))</f>
        <v>2013</v>
      </c>
      <c r="H12">
        <f>MONTH(INDEX(orders!D:D,MATCH(A12, orders!A:A,0)))</f>
        <v>7</v>
      </c>
      <c r="I12" t="str">
        <f>VLOOKUP(VLOOKUP(B12,products!A:F,6,0),categories!A:B,2,0)</f>
        <v>Condiments</v>
      </c>
      <c r="J12" t="str">
        <f>VLOOKUP(VLOOKUP(A12,orders!A:B,2,0),customers!A:F,6,0)</f>
        <v>France</v>
      </c>
      <c r="K12" t="str">
        <f>VLOOKUP(VLOOKUP(A12,orders!A:C,3,0),employees!A:B,2,0)</f>
        <v>Janet Leverling</v>
      </c>
    </row>
    <row r="13" spans="1:11" x14ac:dyDescent="0.25">
      <c r="A13">
        <v>10252</v>
      </c>
      <c r="B13">
        <v>20</v>
      </c>
      <c r="C13">
        <v>64.8</v>
      </c>
      <c r="D13">
        <v>40</v>
      </c>
      <c r="E13">
        <v>0.05</v>
      </c>
      <c r="F13">
        <f t="shared" si="0"/>
        <v>2462.4</v>
      </c>
      <c r="G13">
        <f>YEAR(VLOOKUP(A13,orders!A:D,4,0))</f>
        <v>2013</v>
      </c>
      <c r="H13">
        <f>MONTH(INDEX(orders!D:D,MATCH(A13, orders!A:A,0)))</f>
        <v>7</v>
      </c>
      <c r="I13" t="str">
        <f>VLOOKUP(VLOOKUP(B13,products!A:F,6,0),categories!A:B,2,0)</f>
        <v>Confections</v>
      </c>
      <c r="J13" t="str">
        <f>VLOOKUP(VLOOKUP(A13,orders!A:B,2,0),customers!A:F,6,0)</f>
        <v>Belgium</v>
      </c>
      <c r="K13" t="str">
        <f>VLOOKUP(VLOOKUP(A13,orders!A:C,3,0),employees!A:B,2,0)</f>
        <v>Margaret Peacock</v>
      </c>
    </row>
    <row r="14" spans="1:11" x14ac:dyDescent="0.25">
      <c r="A14">
        <v>10252</v>
      </c>
      <c r="B14">
        <v>33</v>
      </c>
      <c r="C14">
        <v>2</v>
      </c>
      <c r="D14">
        <v>25</v>
      </c>
      <c r="E14">
        <v>0.05</v>
      </c>
      <c r="F14">
        <f t="shared" si="0"/>
        <v>47.5</v>
      </c>
      <c r="G14">
        <f>YEAR(VLOOKUP(A14,orders!A:D,4,0))</f>
        <v>2013</v>
      </c>
      <c r="H14">
        <f>MONTH(INDEX(orders!D:D,MATCH(A14, orders!A:A,0)))</f>
        <v>7</v>
      </c>
      <c r="I14" t="str">
        <f>VLOOKUP(VLOOKUP(B14,products!A:F,6,0),categories!A:B,2,0)</f>
        <v>Dairy Products</v>
      </c>
      <c r="J14" t="str">
        <f>VLOOKUP(VLOOKUP(A14,orders!A:B,2,0),customers!A:F,6,0)</f>
        <v>Belgium</v>
      </c>
      <c r="K14" t="str">
        <f>VLOOKUP(VLOOKUP(A14,orders!A:C,3,0),employees!A:B,2,0)</f>
        <v>Margaret Peacock</v>
      </c>
    </row>
    <row r="15" spans="1:11" x14ac:dyDescent="0.25">
      <c r="A15">
        <v>10252</v>
      </c>
      <c r="B15">
        <v>60</v>
      </c>
      <c r="C15">
        <v>27.2</v>
      </c>
      <c r="D15">
        <v>40</v>
      </c>
      <c r="E15">
        <v>0</v>
      </c>
      <c r="F15">
        <f t="shared" si="0"/>
        <v>1088</v>
      </c>
      <c r="G15">
        <f>YEAR(VLOOKUP(A15,orders!A:D,4,0))</f>
        <v>2013</v>
      </c>
      <c r="H15">
        <f>MONTH(INDEX(orders!D:D,MATCH(A15, orders!A:A,0)))</f>
        <v>7</v>
      </c>
      <c r="I15" t="str">
        <f>VLOOKUP(VLOOKUP(B15,products!A:F,6,0),categories!A:B,2,0)</f>
        <v>Dairy Products</v>
      </c>
      <c r="J15" t="str">
        <f>VLOOKUP(VLOOKUP(A15,orders!A:B,2,0),customers!A:F,6,0)</f>
        <v>Belgium</v>
      </c>
      <c r="K15" t="str">
        <f>VLOOKUP(VLOOKUP(A15,orders!A:C,3,0),employees!A:B,2,0)</f>
        <v>Margaret Peacock</v>
      </c>
    </row>
    <row r="16" spans="1:11" x14ac:dyDescent="0.25">
      <c r="A16">
        <v>10253</v>
      </c>
      <c r="B16">
        <v>31</v>
      </c>
      <c r="C16">
        <v>10</v>
      </c>
      <c r="D16">
        <v>20</v>
      </c>
      <c r="E16">
        <v>0</v>
      </c>
      <c r="F16">
        <f t="shared" si="0"/>
        <v>200</v>
      </c>
      <c r="G16">
        <f>YEAR(VLOOKUP(A16,orders!A:D,4,0))</f>
        <v>2013</v>
      </c>
      <c r="H16">
        <f>MONTH(INDEX(orders!D:D,MATCH(A16, orders!A:A,0)))</f>
        <v>7</v>
      </c>
      <c r="I16" t="str">
        <f>VLOOKUP(VLOOKUP(B16,products!A:F,6,0),categories!A:B,2,0)</f>
        <v>Dairy Products</v>
      </c>
      <c r="J16" t="str">
        <f>VLOOKUP(VLOOKUP(A16,orders!A:B,2,0),customers!A:F,6,0)</f>
        <v>Brazil</v>
      </c>
      <c r="K16" t="str">
        <f>VLOOKUP(VLOOKUP(A16,orders!A:C,3,0),employees!A:B,2,0)</f>
        <v>Janet Leverling</v>
      </c>
    </row>
    <row r="17" spans="1:11" x14ac:dyDescent="0.25">
      <c r="A17">
        <v>10253</v>
      </c>
      <c r="B17">
        <v>39</v>
      </c>
      <c r="C17">
        <v>14.4</v>
      </c>
      <c r="D17">
        <v>42</v>
      </c>
      <c r="E17">
        <v>0</v>
      </c>
      <c r="F17">
        <f t="shared" si="0"/>
        <v>604.80000000000007</v>
      </c>
      <c r="G17">
        <f>YEAR(VLOOKUP(A17,orders!A:D,4,0))</f>
        <v>2013</v>
      </c>
      <c r="H17">
        <f>MONTH(INDEX(orders!D:D,MATCH(A17, orders!A:A,0)))</f>
        <v>7</v>
      </c>
      <c r="I17" t="str">
        <f>VLOOKUP(VLOOKUP(B17,products!A:F,6,0),categories!A:B,2,0)</f>
        <v>Beverages</v>
      </c>
      <c r="J17" t="str">
        <f>VLOOKUP(VLOOKUP(A17,orders!A:B,2,0),customers!A:F,6,0)</f>
        <v>Brazil</v>
      </c>
      <c r="K17" t="str">
        <f>VLOOKUP(VLOOKUP(A17,orders!A:C,3,0),employees!A:B,2,0)</f>
        <v>Janet Leverling</v>
      </c>
    </row>
    <row r="18" spans="1:11" x14ac:dyDescent="0.25">
      <c r="A18">
        <v>10253</v>
      </c>
      <c r="B18">
        <v>49</v>
      </c>
      <c r="C18">
        <v>16</v>
      </c>
      <c r="D18">
        <v>40</v>
      </c>
      <c r="E18">
        <v>0</v>
      </c>
      <c r="F18">
        <f t="shared" si="0"/>
        <v>640</v>
      </c>
      <c r="G18">
        <f>YEAR(VLOOKUP(A18,orders!A:D,4,0))</f>
        <v>2013</v>
      </c>
      <c r="H18">
        <f>MONTH(INDEX(orders!D:D,MATCH(A18, orders!A:A,0)))</f>
        <v>7</v>
      </c>
      <c r="I18" t="str">
        <f>VLOOKUP(VLOOKUP(B18,products!A:F,6,0),categories!A:B,2,0)</f>
        <v>Confections</v>
      </c>
      <c r="J18" t="str">
        <f>VLOOKUP(VLOOKUP(A18,orders!A:B,2,0),customers!A:F,6,0)</f>
        <v>Brazil</v>
      </c>
      <c r="K18" t="str">
        <f>VLOOKUP(VLOOKUP(A18,orders!A:C,3,0),employees!A:B,2,0)</f>
        <v>Janet Leverling</v>
      </c>
    </row>
    <row r="19" spans="1:11" x14ac:dyDescent="0.25">
      <c r="A19">
        <v>10254</v>
      </c>
      <c r="B19">
        <v>24</v>
      </c>
      <c r="C19">
        <v>3.6</v>
      </c>
      <c r="D19">
        <v>15</v>
      </c>
      <c r="E19">
        <v>0.15</v>
      </c>
      <c r="F19">
        <f t="shared" si="0"/>
        <v>45.9</v>
      </c>
      <c r="G19">
        <f>YEAR(VLOOKUP(A19,orders!A:D,4,0))</f>
        <v>2013</v>
      </c>
      <c r="H19">
        <f>MONTH(INDEX(orders!D:D,MATCH(A19, orders!A:A,0)))</f>
        <v>7</v>
      </c>
      <c r="I19" t="str">
        <f>VLOOKUP(VLOOKUP(B19,products!A:F,6,0),categories!A:B,2,0)</f>
        <v>Beverages</v>
      </c>
      <c r="J19" t="str">
        <f>VLOOKUP(VLOOKUP(A19,orders!A:B,2,0),customers!A:F,6,0)</f>
        <v>Switzerland</v>
      </c>
      <c r="K19" t="str">
        <f>VLOOKUP(VLOOKUP(A19,orders!A:C,3,0),employees!A:B,2,0)</f>
        <v>Steven Buchanan</v>
      </c>
    </row>
    <row r="20" spans="1:11" x14ac:dyDescent="0.25">
      <c r="A20">
        <v>10254</v>
      </c>
      <c r="B20">
        <v>55</v>
      </c>
      <c r="C20">
        <v>19.2</v>
      </c>
      <c r="D20">
        <v>21</v>
      </c>
      <c r="E20">
        <v>0.15</v>
      </c>
      <c r="F20">
        <f t="shared" si="0"/>
        <v>342.71999999999997</v>
      </c>
      <c r="G20">
        <f>YEAR(VLOOKUP(A20,orders!A:D,4,0))</f>
        <v>2013</v>
      </c>
      <c r="H20">
        <f>MONTH(INDEX(orders!D:D,MATCH(A20, orders!A:A,0)))</f>
        <v>7</v>
      </c>
      <c r="I20" t="str">
        <f>VLOOKUP(VLOOKUP(B20,products!A:F,6,0),categories!A:B,2,0)</f>
        <v>Meat &amp; Poultry</v>
      </c>
      <c r="J20" t="str">
        <f>VLOOKUP(VLOOKUP(A20,orders!A:B,2,0),customers!A:F,6,0)</f>
        <v>Switzerland</v>
      </c>
      <c r="K20" t="str">
        <f>VLOOKUP(VLOOKUP(A20,orders!A:C,3,0),employees!A:B,2,0)</f>
        <v>Steven Buchanan</v>
      </c>
    </row>
    <row r="21" spans="1:11" x14ac:dyDescent="0.25">
      <c r="A21">
        <v>10254</v>
      </c>
      <c r="B21">
        <v>74</v>
      </c>
      <c r="C21">
        <v>8</v>
      </c>
      <c r="D21">
        <v>21</v>
      </c>
      <c r="E21">
        <v>0</v>
      </c>
      <c r="F21">
        <f t="shared" si="0"/>
        <v>168</v>
      </c>
      <c r="G21">
        <f>YEAR(VLOOKUP(A21,orders!A:D,4,0))</f>
        <v>2013</v>
      </c>
      <c r="H21">
        <f>MONTH(INDEX(orders!D:D,MATCH(A21, orders!A:A,0)))</f>
        <v>7</v>
      </c>
      <c r="I21" t="str">
        <f>VLOOKUP(VLOOKUP(B21,products!A:F,6,0),categories!A:B,2,0)</f>
        <v>Produce</v>
      </c>
      <c r="J21" t="str">
        <f>VLOOKUP(VLOOKUP(A21,orders!A:B,2,0),customers!A:F,6,0)</f>
        <v>Switzerland</v>
      </c>
      <c r="K21" t="str">
        <f>VLOOKUP(VLOOKUP(A21,orders!A:C,3,0),employees!A:B,2,0)</f>
        <v>Steven Buchanan</v>
      </c>
    </row>
    <row r="22" spans="1:11" x14ac:dyDescent="0.25">
      <c r="A22">
        <v>10255</v>
      </c>
      <c r="B22">
        <v>2</v>
      </c>
      <c r="C22">
        <v>15.2</v>
      </c>
      <c r="D22">
        <v>20</v>
      </c>
      <c r="E22">
        <v>0</v>
      </c>
      <c r="F22">
        <f t="shared" si="0"/>
        <v>304</v>
      </c>
      <c r="G22">
        <f>YEAR(VLOOKUP(A22,orders!A:D,4,0))</f>
        <v>2013</v>
      </c>
      <c r="H22">
        <f>MONTH(INDEX(orders!D:D,MATCH(A22, orders!A:A,0)))</f>
        <v>7</v>
      </c>
      <c r="I22" t="str">
        <f>VLOOKUP(VLOOKUP(B22,products!A:F,6,0),categories!A:B,2,0)</f>
        <v>Beverages</v>
      </c>
      <c r="J22" t="str">
        <f>VLOOKUP(VLOOKUP(A22,orders!A:B,2,0),customers!A:F,6,0)</f>
        <v>Switzerland</v>
      </c>
      <c r="K22" t="str">
        <f>VLOOKUP(VLOOKUP(A22,orders!A:C,3,0),employees!A:B,2,0)</f>
        <v>Anne Dodsworth</v>
      </c>
    </row>
    <row r="23" spans="1:11" x14ac:dyDescent="0.25">
      <c r="A23">
        <v>10255</v>
      </c>
      <c r="B23">
        <v>16</v>
      </c>
      <c r="C23">
        <v>13.9</v>
      </c>
      <c r="D23">
        <v>35</v>
      </c>
      <c r="E23">
        <v>0</v>
      </c>
      <c r="F23">
        <f t="shared" si="0"/>
        <v>486.5</v>
      </c>
      <c r="G23">
        <f>YEAR(VLOOKUP(A23,orders!A:D,4,0))</f>
        <v>2013</v>
      </c>
      <c r="H23">
        <f>MONTH(INDEX(orders!D:D,MATCH(A23, orders!A:A,0)))</f>
        <v>7</v>
      </c>
      <c r="I23" t="str">
        <f>VLOOKUP(VLOOKUP(B23,products!A:F,6,0),categories!A:B,2,0)</f>
        <v>Confections</v>
      </c>
      <c r="J23" t="str">
        <f>VLOOKUP(VLOOKUP(A23,orders!A:B,2,0),customers!A:F,6,0)</f>
        <v>Switzerland</v>
      </c>
      <c r="K23" t="str">
        <f>VLOOKUP(VLOOKUP(A23,orders!A:C,3,0),employees!A:B,2,0)</f>
        <v>Anne Dodsworth</v>
      </c>
    </row>
    <row r="24" spans="1:11" x14ac:dyDescent="0.25">
      <c r="A24">
        <v>10255</v>
      </c>
      <c r="B24">
        <v>36</v>
      </c>
      <c r="C24">
        <v>15.2</v>
      </c>
      <c r="D24">
        <v>25</v>
      </c>
      <c r="E24">
        <v>0</v>
      </c>
      <c r="F24">
        <f t="shared" si="0"/>
        <v>380</v>
      </c>
      <c r="G24">
        <f>YEAR(VLOOKUP(A24,orders!A:D,4,0))</f>
        <v>2013</v>
      </c>
      <c r="H24">
        <f>MONTH(INDEX(orders!D:D,MATCH(A24, orders!A:A,0)))</f>
        <v>7</v>
      </c>
      <c r="I24" t="str">
        <f>VLOOKUP(VLOOKUP(B24,products!A:F,6,0),categories!A:B,2,0)</f>
        <v>Seafood</v>
      </c>
      <c r="J24" t="str">
        <f>VLOOKUP(VLOOKUP(A24,orders!A:B,2,0),customers!A:F,6,0)</f>
        <v>Switzerland</v>
      </c>
      <c r="K24" t="str">
        <f>VLOOKUP(VLOOKUP(A24,orders!A:C,3,0),employees!A:B,2,0)</f>
        <v>Anne Dodsworth</v>
      </c>
    </row>
    <row r="25" spans="1:11" x14ac:dyDescent="0.25">
      <c r="A25">
        <v>10255</v>
      </c>
      <c r="B25">
        <v>59</v>
      </c>
      <c r="C25">
        <v>44</v>
      </c>
      <c r="D25">
        <v>30</v>
      </c>
      <c r="E25">
        <v>0</v>
      </c>
      <c r="F25">
        <f t="shared" si="0"/>
        <v>1320</v>
      </c>
      <c r="G25">
        <f>YEAR(VLOOKUP(A25,orders!A:D,4,0))</f>
        <v>2013</v>
      </c>
      <c r="H25">
        <f>MONTH(INDEX(orders!D:D,MATCH(A25, orders!A:A,0)))</f>
        <v>7</v>
      </c>
      <c r="I25" t="str">
        <f>VLOOKUP(VLOOKUP(B25,products!A:F,6,0),categories!A:B,2,0)</f>
        <v>Dairy Products</v>
      </c>
      <c r="J25" t="str">
        <f>VLOOKUP(VLOOKUP(A25,orders!A:B,2,0),customers!A:F,6,0)</f>
        <v>Switzerland</v>
      </c>
      <c r="K25" t="str">
        <f>VLOOKUP(VLOOKUP(A25,orders!A:C,3,0),employees!A:B,2,0)</f>
        <v>Anne Dodsworth</v>
      </c>
    </row>
    <row r="26" spans="1:11" x14ac:dyDescent="0.25">
      <c r="A26">
        <v>10256</v>
      </c>
      <c r="B26">
        <v>53</v>
      </c>
      <c r="C26">
        <v>26.2</v>
      </c>
      <c r="D26">
        <v>15</v>
      </c>
      <c r="E26">
        <v>0</v>
      </c>
      <c r="F26">
        <f t="shared" si="0"/>
        <v>393</v>
      </c>
      <c r="G26">
        <f>YEAR(VLOOKUP(A26,orders!A:D,4,0))</f>
        <v>2013</v>
      </c>
      <c r="H26">
        <f>MONTH(INDEX(orders!D:D,MATCH(A26, orders!A:A,0)))</f>
        <v>7</v>
      </c>
      <c r="I26" t="str">
        <f>VLOOKUP(VLOOKUP(B26,products!A:F,6,0),categories!A:B,2,0)</f>
        <v>Meat &amp; Poultry</v>
      </c>
      <c r="J26" t="str">
        <f>VLOOKUP(VLOOKUP(A26,orders!A:B,2,0),customers!A:F,6,0)</f>
        <v>Brazil</v>
      </c>
      <c r="K26" t="str">
        <f>VLOOKUP(VLOOKUP(A26,orders!A:C,3,0),employees!A:B,2,0)</f>
        <v>Janet Leverling</v>
      </c>
    </row>
    <row r="27" spans="1:11" x14ac:dyDescent="0.25">
      <c r="A27">
        <v>10256</v>
      </c>
      <c r="B27">
        <v>77</v>
      </c>
      <c r="C27">
        <v>10.4</v>
      </c>
      <c r="D27">
        <v>12</v>
      </c>
      <c r="E27">
        <v>0</v>
      </c>
      <c r="F27">
        <f t="shared" si="0"/>
        <v>124.80000000000001</v>
      </c>
      <c r="G27">
        <f>YEAR(VLOOKUP(A27,orders!A:D,4,0))</f>
        <v>2013</v>
      </c>
      <c r="H27">
        <f>MONTH(INDEX(orders!D:D,MATCH(A27, orders!A:A,0)))</f>
        <v>7</v>
      </c>
      <c r="I27" t="str">
        <f>VLOOKUP(VLOOKUP(B27,products!A:F,6,0),categories!A:B,2,0)</f>
        <v>Condiments</v>
      </c>
      <c r="J27" t="str">
        <f>VLOOKUP(VLOOKUP(A27,orders!A:B,2,0),customers!A:F,6,0)</f>
        <v>Brazil</v>
      </c>
      <c r="K27" t="str">
        <f>VLOOKUP(VLOOKUP(A27,orders!A:C,3,0),employees!A:B,2,0)</f>
        <v>Janet Leverling</v>
      </c>
    </row>
    <row r="28" spans="1:11" x14ac:dyDescent="0.25">
      <c r="A28">
        <v>10257</v>
      </c>
      <c r="B28">
        <v>27</v>
      </c>
      <c r="C28">
        <v>35.1</v>
      </c>
      <c r="D28">
        <v>25</v>
      </c>
      <c r="E28">
        <v>0</v>
      </c>
      <c r="F28">
        <f t="shared" si="0"/>
        <v>877.5</v>
      </c>
      <c r="G28">
        <f>YEAR(VLOOKUP(A28,orders!A:D,4,0))</f>
        <v>2013</v>
      </c>
      <c r="H28">
        <f>MONTH(INDEX(orders!D:D,MATCH(A28, orders!A:A,0)))</f>
        <v>7</v>
      </c>
      <c r="I28" t="str">
        <f>VLOOKUP(VLOOKUP(B28,products!A:F,6,0),categories!A:B,2,0)</f>
        <v>Confections</v>
      </c>
      <c r="J28" t="str">
        <f>VLOOKUP(VLOOKUP(A28,orders!A:B,2,0),customers!A:F,6,0)</f>
        <v>Venezuela</v>
      </c>
      <c r="K28" t="str">
        <f>VLOOKUP(VLOOKUP(A28,orders!A:C,3,0),employees!A:B,2,0)</f>
        <v>Margaret Peacock</v>
      </c>
    </row>
    <row r="29" spans="1:11" x14ac:dyDescent="0.25">
      <c r="A29">
        <v>10257</v>
      </c>
      <c r="B29">
        <v>39</v>
      </c>
      <c r="C29">
        <v>14.4</v>
      </c>
      <c r="D29">
        <v>6</v>
      </c>
      <c r="E29">
        <v>0</v>
      </c>
      <c r="F29">
        <f t="shared" si="0"/>
        <v>86.4</v>
      </c>
      <c r="G29">
        <f>YEAR(VLOOKUP(A29,orders!A:D,4,0))</f>
        <v>2013</v>
      </c>
      <c r="H29">
        <f>MONTH(INDEX(orders!D:D,MATCH(A29, orders!A:A,0)))</f>
        <v>7</v>
      </c>
      <c r="I29" t="str">
        <f>VLOOKUP(VLOOKUP(B29,products!A:F,6,0),categories!A:B,2,0)</f>
        <v>Beverages</v>
      </c>
      <c r="J29" t="str">
        <f>VLOOKUP(VLOOKUP(A29,orders!A:B,2,0),customers!A:F,6,0)</f>
        <v>Venezuela</v>
      </c>
      <c r="K29" t="str">
        <f>VLOOKUP(VLOOKUP(A29,orders!A:C,3,0),employees!A:B,2,0)</f>
        <v>Margaret Peacock</v>
      </c>
    </row>
    <row r="30" spans="1:11" x14ac:dyDescent="0.25">
      <c r="A30">
        <v>10257</v>
      </c>
      <c r="B30">
        <v>77</v>
      </c>
      <c r="C30">
        <v>10.4</v>
      </c>
      <c r="D30">
        <v>15</v>
      </c>
      <c r="E30">
        <v>0</v>
      </c>
      <c r="F30">
        <f t="shared" si="0"/>
        <v>156</v>
      </c>
      <c r="G30">
        <f>YEAR(VLOOKUP(A30,orders!A:D,4,0))</f>
        <v>2013</v>
      </c>
      <c r="H30">
        <f>MONTH(INDEX(orders!D:D,MATCH(A30, orders!A:A,0)))</f>
        <v>7</v>
      </c>
      <c r="I30" t="str">
        <f>VLOOKUP(VLOOKUP(B30,products!A:F,6,0),categories!A:B,2,0)</f>
        <v>Condiments</v>
      </c>
      <c r="J30" t="str">
        <f>VLOOKUP(VLOOKUP(A30,orders!A:B,2,0),customers!A:F,6,0)</f>
        <v>Venezuela</v>
      </c>
      <c r="K30" t="str">
        <f>VLOOKUP(VLOOKUP(A30,orders!A:C,3,0),employees!A:B,2,0)</f>
        <v>Margaret Peacock</v>
      </c>
    </row>
    <row r="31" spans="1:11" x14ac:dyDescent="0.25">
      <c r="A31">
        <v>10258</v>
      </c>
      <c r="B31">
        <v>2</v>
      </c>
      <c r="C31">
        <v>15.2</v>
      </c>
      <c r="D31">
        <v>50</v>
      </c>
      <c r="E31">
        <v>0.2</v>
      </c>
      <c r="F31">
        <f t="shared" si="0"/>
        <v>608</v>
      </c>
      <c r="G31">
        <f>YEAR(VLOOKUP(A31,orders!A:D,4,0))</f>
        <v>2013</v>
      </c>
      <c r="H31">
        <f>MONTH(INDEX(orders!D:D,MATCH(A31, orders!A:A,0)))</f>
        <v>7</v>
      </c>
      <c r="I31" t="str">
        <f>VLOOKUP(VLOOKUP(B31,products!A:F,6,0),categories!A:B,2,0)</f>
        <v>Beverages</v>
      </c>
      <c r="J31" t="str">
        <f>VLOOKUP(VLOOKUP(A31,orders!A:B,2,0),customers!A:F,6,0)</f>
        <v>Austria</v>
      </c>
      <c r="K31" t="str">
        <f>VLOOKUP(VLOOKUP(A31,orders!A:C,3,0),employees!A:B,2,0)</f>
        <v>Nancy Davolio</v>
      </c>
    </row>
    <row r="32" spans="1:11" x14ac:dyDescent="0.25">
      <c r="A32">
        <v>10258</v>
      </c>
      <c r="B32">
        <v>5</v>
      </c>
      <c r="C32">
        <v>17</v>
      </c>
      <c r="D32">
        <v>65</v>
      </c>
      <c r="E32">
        <v>0.2</v>
      </c>
      <c r="F32">
        <f t="shared" si="0"/>
        <v>884</v>
      </c>
      <c r="G32">
        <f>YEAR(VLOOKUP(A32,orders!A:D,4,0))</f>
        <v>2013</v>
      </c>
      <c r="H32">
        <f>MONTH(INDEX(orders!D:D,MATCH(A32, orders!A:A,0)))</f>
        <v>7</v>
      </c>
      <c r="I32" t="str">
        <f>VLOOKUP(VLOOKUP(B32,products!A:F,6,0),categories!A:B,2,0)</f>
        <v>Condiments</v>
      </c>
      <c r="J32" t="str">
        <f>VLOOKUP(VLOOKUP(A32,orders!A:B,2,0),customers!A:F,6,0)</f>
        <v>Austria</v>
      </c>
      <c r="K32" t="str">
        <f>VLOOKUP(VLOOKUP(A32,orders!A:C,3,0),employees!A:B,2,0)</f>
        <v>Nancy Davolio</v>
      </c>
    </row>
    <row r="33" spans="1:11" x14ac:dyDescent="0.25">
      <c r="A33">
        <v>10258</v>
      </c>
      <c r="B33">
        <v>32</v>
      </c>
      <c r="C33">
        <v>25.6</v>
      </c>
      <c r="D33">
        <v>6</v>
      </c>
      <c r="E33">
        <v>0.2</v>
      </c>
      <c r="F33">
        <f t="shared" si="0"/>
        <v>122.88000000000002</v>
      </c>
      <c r="G33">
        <f>YEAR(VLOOKUP(A33,orders!A:D,4,0))</f>
        <v>2013</v>
      </c>
      <c r="H33">
        <f>MONTH(INDEX(orders!D:D,MATCH(A33, orders!A:A,0)))</f>
        <v>7</v>
      </c>
      <c r="I33" t="str">
        <f>VLOOKUP(VLOOKUP(B33,products!A:F,6,0),categories!A:B,2,0)</f>
        <v>Dairy Products</v>
      </c>
      <c r="J33" t="str">
        <f>VLOOKUP(VLOOKUP(A33,orders!A:B,2,0),customers!A:F,6,0)</f>
        <v>Austria</v>
      </c>
      <c r="K33" t="str">
        <f>VLOOKUP(VLOOKUP(A33,orders!A:C,3,0),employees!A:B,2,0)</f>
        <v>Nancy Davolio</v>
      </c>
    </row>
    <row r="34" spans="1:11" x14ac:dyDescent="0.25">
      <c r="A34">
        <v>10259</v>
      </c>
      <c r="B34">
        <v>21</v>
      </c>
      <c r="C34">
        <v>8</v>
      </c>
      <c r="D34">
        <v>10</v>
      </c>
      <c r="E34">
        <v>0</v>
      </c>
      <c r="F34">
        <f t="shared" si="0"/>
        <v>80</v>
      </c>
      <c r="G34">
        <f>YEAR(VLOOKUP(A34,orders!A:D,4,0))</f>
        <v>2013</v>
      </c>
      <c r="H34">
        <f>MONTH(INDEX(orders!D:D,MATCH(A34, orders!A:A,0)))</f>
        <v>7</v>
      </c>
      <c r="I34" t="str">
        <f>VLOOKUP(VLOOKUP(B34,products!A:F,6,0),categories!A:B,2,0)</f>
        <v>Confections</v>
      </c>
      <c r="J34" t="str">
        <f>VLOOKUP(VLOOKUP(A34,orders!A:B,2,0),customers!A:F,6,0)</f>
        <v>Mexico</v>
      </c>
      <c r="K34" t="str">
        <f>VLOOKUP(VLOOKUP(A34,orders!A:C,3,0),employees!A:B,2,0)</f>
        <v>Margaret Peacock</v>
      </c>
    </row>
    <row r="35" spans="1:11" x14ac:dyDescent="0.25">
      <c r="A35">
        <v>10259</v>
      </c>
      <c r="B35">
        <v>37</v>
      </c>
      <c r="C35">
        <v>20.8</v>
      </c>
      <c r="D35">
        <v>1</v>
      </c>
      <c r="E35">
        <v>0</v>
      </c>
      <c r="F35">
        <f t="shared" si="0"/>
        <v>20.8</v>
      </c>
      <c r="G35">
        <f>YEAR(VLOOKUP(A35,orders!A:D,4,0))</f>
        <v>2013</v>
      </c>
      <c r="H35">
        <f>MONTH(INDEX(orders!D:D,MATCH(A35, orders!A:A,0)))</f>
        <v>7</v>
      </c>
      <c r="I35" t="str">
        <f>VLOOKUP(VLOOKUP(B35,products!A:F,6,0),categories!A:B,2,0)</f>
        <v>Seafood</v>
      </c>
      <c r="J35" t="str">
        <f>VLOOKUP(VLOOKUP(A35,orders!A:B,2,0),customers!A:F,6,0)</f>
        <v>Mexico</v>
      </c>
      <c r="K35" t="str">
        <f>VLOOKUP(VLOOKUP(A35,orders!A:C,3,0),employees!A:B,2,0)</f>
        <v>Margaret Peacock</v>
      </c>
    </row>
    <row r="36" spans="1:11" x14ac:dyDescent="0.25">
      <c r="A36">
        <v>10260</v>
      </c>
      <c r="B36">
        <v>41</v>
      </c>
      <c r="C36">
        <v>7.7</v>
      </c>
      <c r="D36">
        <v>16</v>
      </c>
      <c r="E36">
        <v>0.25</v>
      </c>
      <c r="F36">
        <f t="shared" si="0"/>
        <v>92.4</v>
      </c>
      <c r="G36">
        <f>YEAR(VLOOKUP(A36,orders!A:D,4,0))</f>
        <v>2013</v>
      </c>
      <c r="H36">
        <f>MONTH(INDEX(orders!D:D,MATCH(A36, orders!A:A,0)))</f>
        <v>7</v>
      </c>
      <c r="I36" t="str">
        <f>VLOOKUP(VLOOKUP(B36,products!A:F,6,0),categories!A:B,2,0)</f>
        <v>Seafood</v>
      </c>
      <c r="J36" t="str">
        <f>VLOOKUP(VLOOKUP(A36,orders!A:B,2,0),customers!A:F,6,0)</f>
        <v>Germany</v>
      </c>
      <c r="K36" t="str">
        <f>VLOOKUP(VLOOKUP(A36,orders!A:C,3,0),employees!A:B,2,0)</f>
        <v>Margaret Peacock</v>
      </c>
    </row>
    <row r="37" spans="1:11" x14ac:dyDescent="0.25">
      <c r="A37">
        <v>10260</v>
      </c>
      <c r="B37">
        <v>57</v>
      </c>
      <c r="C37">
        <v>15.6</v>
      </c>
      <c r="D37">
        <v>50</v>
      </c>
      <c r="E37">
        <v>0</v>
      </c>
      <c r="F37">
        <f t="shared" si="0"/>
        <v>780</v>
      </c>
      <c r="G37">
        <f>YEAR(VLOOKUP(A37,orders!A:D,4,0))</f>
        <v>2013</v>
      </c>
      <c r="H37">
        <f>MONTH(INDEX(orders!D:D,MATCH(A37, orders!A:A,0)))</f>
        <v>7</v>
      </c>
      <c r="I37" t="str">
        <f>VLOOKUP(VLOOKUP(B37,products!A:F,6,0),categories!A:B,2,0)</f>
        <v>Grains &amp; Cereals</v>
      </c>
      <c r="J37" t="str">
        <f>VLOOKUP(VLOOKUP(A37,orders!A:B,2,0),customers!A:F,6,0)</f>
        <v>Germany</v>
      </c>
      <c r="K37" t="str">
        <f>VLOOKUP(VLOOKUP(A37,orders!A:C,3,0),employees!A:B,2,0)</f>
        <v>Margaret Peacock</v>
      </c>
    </row>
    <row r="38" spans="1:11" x14ac:dyDescent="0.25">
      <c r="A38">
        <v>10260</v>
      </c>
      <c r="B38">
        <v>62</v>
      </c>
      <c r="C38">
        <v>39.4</v>
      </c>
      <c r="D38">
        <v>15</v>
      </c>
      <c r="E38">
        <v>0.25</v>
      </c>
      <c r="F38">
        <f t="shared" si="0"/>
        <v>443.25</v>
      </c>
      <c r="G38">
        <f>YEAR(VLOOKUP(A38,orders!A:D,4,0))</f>
        <v>2013</v>
      </c>
      <c r="H38">
        <f>MONTH(INDEX(orders!D:D,MATCH(A38, orders!A:A,0)))</f>
        <v>7</v>
      </c>
      <c r="I38" t="str">
        <f>VLOOKUP(VLOOKUP(B38,products!A:F,6,0),categories!A:B,2,0)</f>
        <v>Confections</v>
      </c>
      <c r="J38" t="str">
        <f>VLOOKUP(VLOOKUP(A38,orders!A:B,2,0),customers!A:F,6,0)</f>
        <v>Germany</v>
      </c>
      <c r="K38" t="str">
        <f>VLOOKUP(VLOOKUP(A38,orders!A:C,3,0),employees!A:B,2,0)</f>
        <v>Margaret Peacock</v>
      </c>
    </row>
    <row r="39" spans="1:11" x14ac:dyDescent="0.25">
      <c r="A39">
        <v>10260</v>
      </c>
      <c r="B39">
        <v>70</v>
      </c>
      <c r="C39">
        <v>12</v>
      </c>
      <c r="D39">
        <v>21</v>
      </c>
      <c r="E39">
        <v>0.25</v>
      </c>
      <c r="F39">
        <f t="shared" si="0"/>
        <v>189</v>
      </c>
      <c r="G39">
        <f>YEAR(VLOOKUP(A39,orders!A:D,4,0))</f>
        <v>2013</v>
      </c>
      <c r="H39">
        <f>MONTH(INDEX(orders!D:D,MATCH(A39, orders!A:A,0)))</f>
        <v>7</v>
      </c>
      <c r="I39" t="str">
        <f>VLOOKUP(VLOOKUP(B39,products!A:F,6,0),categories!A:B,2,0)</f>
        <v>Beverages</v>
      </c>
      <c r="J39" t="str">
        <f>VLOOKUP(VLOOKUP(A39,orders!A:B,2,0),customers!A:F,6,0)</f>
        <v>Germany</v>
      </c>
      <c r="K39" t="str">
        <f>VLOOKUP(VLOOKUP(A39,orders!A:C,3,0),employees!A:B,2,0)</f>
        <v>Margaret Peacock</v>
      </c>
    </row>
    <row r="40" spans="1:11" x14ac:dyDescent="0.25">
      <c r="A40">
        <v>10261</v>
      </c>
      <c r="B40">
        <v>21</v>
      </c>
      <c r="C40">
        <v>8</v>
      </c>
      <c r="D40">
        <v>20</v>
      </c>
      <c r="E40">
        <v>0</v>
      </c>
      <c r="F40">
        <f t="shared" si="0"/>
        <v>160</v>
      </c>
      <c r="G40">
        <f>YEAR(VLOOKUP(A40,orders!A:D,4,0))</f>
        <v>2013</v>
      </c>
      <c r="H40">
        <f>MONTH(INDEX(orders!D:D,MATCH(A40, orders!A:A,0)))</f>
        <v>7</v>
      </c>
      <c r="I40" t="str">
        <f>VLOOKUP(VLOOKUP(B40,products!A:F,6,0),categories!A:B,2,0)</f>
        <v>Confections</v>
      </c>
      <c r="J40" t="str">
        <f>VLOOKUP(VLOOKUP(A40,orders!A:B,2,0),customers!A:F,6,0)</f>
        <v>Brazil</v>
      </c>
      <c r="K40" t="str">
        <f>VLOOKUP(VLOOKUP(A40,orders!A:C,3,0),employees!A:B,2,0)</f>
        <v>Margaret Peacock</v>
      </c>
    </row>
    <row r="41" spans="1:11" x14ac:dyDescent="0.25">
      <c r="A41">
        <v>10261</v>
      </c>
      <c r="B41">
        <v>35</v>
      </c>
      <c r="C41">
        <v>14.4</v>
      </c>
      <c r="D41">
        <v>20</v>
      </c>
      <c r="E41">
        <v>0</v>
      </c>
      <c r="F41">
        <f t="shared" si="0"/>
        <v>288</v>
      </c>
      <c r="G41">
        <f>YEAR(VLOOKUP(A41,orders!A:D,4,0))</f>
        <v>2013</v>
      </c>
      <c r="H41">
        <f>MONTH(INDEX(orders!D:D,MATCH(A41, orders!A:A,0)))</f>
        <v>7</v>
      </c>
      <c r="I41" t="str">
        <f>VLOOKUP(VLOOKUP(B41,products!A:F,6,0),categories!A:B,2,0)</f>
        <v>Beverages</v>
      </c>
      <c r="J41" t="str">
        <f>VLOOKUP(VLOOKUP(A41,orders!A:B,2,0),customers!A:F,6,0)</f>
        <v>Brazil</v>
      </c>
      <c r="K41" t="str">
        <f>VLOOKUP(VLOOKUP(A41,orders!A:C,3,0),employees!A:B,2,0)</f>
        <v>Margaret Peacock</v>
      </c>
    </row>
    <row r="42" spans="1:11" x14ac:dyDescent="0.25">
      <c r="A42">
        <v>10262</v>
      </c>
      <c r="B42">
        <v>5</v>
      </c>
      <c r="C42">
        <v>17</v>
      </c>
      <c r="D42">
        <v>12</v>
      </c>
      <c r="E42">
        <v>0.2</v>
      </c>
      <c r="F42">
        <f t="shared" si="0"/>
        <v>163.20000000000002</v>
      </c>
      <c r="G42">
        <f>YEAR(VLOOKUP(A42,orders!A:D,4,0))</f>
        <v>2013</v>
      </c>
      <c r="H42">
        <f>MONTH(INDEX(orders!D:D,MATCH(A42, orders!A:A,0)))</f>
        <v>7</v>
      </c>
      <c r="I42" t="str">
        <f>VLOOKUP(VLOOKUP(B42,products!A:F,6,0),categories!A:B,2,0)</f>
        <v>Condiments</v>
      </c>
      <c r="J42" t="str">
        <f>VLOOKUP(VLOOKUP(A42,orders!A:B,2,0),customers!A:F,6,0)</f>
        <v>USA</v>
      </c>
      <c r="K42" t="str">
        <f>VLOOKUP(VLOOKUP(A42,orders!A:C,3,0),employees!A:B,2,0)</f>
        <v>Laura Callahan</v>
      </c>
    </row>
    <row r="43" spans="1:11" x14ac:dyDescent="0.25">
      <c r="A43">
        <v>10262</v>
      </c>
      <c r="B43">
        <v>7</v>
      </c>
      <c r="C43">
        <v>24</v>
      </c>
      <c r="D43">
        <v>15</v>
      </c>
      <c r="E43">
        <v>0</v>
      </c>
      <c r="F43">
        <f t="shared" si="0"/>
        <v>360</v>
      </c>
      <c r="G43">
        <f>YEAR(VLOOKUP(A43,orders!A:D,4,0))</f>
        <v>2013</v>
      </c>
      <c r="H43">
        <f>MONTH(INDEX(orders!D:D,MATCH(A43, orders!A:A,0)))</f>
        <v>7</v>
      </c>
      <c r="I43" t="str">
        <f>VLOOKUP(VLOOKUP(B43,products!A:F,6,0),categories!A:B,2,0)</f>
        <v>Produce</v>
      </c>
      <c r="J43" t="str">
        <f>VLOOKUP(VLOOKUP(A43,orders!A:B,2,0),customers!A:F,6,0)</f>
        <v>USA</v>
      </c>
      <c r="K43" t="str">
        <f>VLOOKUP(VLOOKUP(A43,orders!A:C,3,0),employees!A:B,2,0)</f>
        <v>Laura Callahan</v>
      </c>
    </row>
    <row r="44" spans="1:11" x14ac:dyDescent="0.25">
      <c r="A44">
        <v>10262</v>
      </c>
      <c r="B44">
        <v>56</v>
      </c>
      <c r="C44">
        <v>30.4</v>
      </c>
      <c r="D44">
        <v>2</v>
      </c>
      <c r="E44">
        <v>0</v>
      </c>
      <c r="F44">
        <f t="shared" si="0"/>
        <v>60.8</v>
      </c>
      <c r="G44">
        <f>YEAR(VLOOKUP(A44,orders!A:D,4,0))</f>
        <v>2013</v>
      </c>
      <c r="H44">
        <f>MONTH(INDEX(orders!D:D,MATCH(A44, orders!A:A,0)))</f>
        <v>7</v>
      </c>
      <c r="I44" t="str">
        <f>VLOOKUP(VLOOKUP(B44,products!A:F,6,0),categories!A:B,2,0)</f>
        <v>Grains &amp; Cereals</v>
      </c>
      <c r="J44" t="str">
        <f>VLOOKUP(VLOOKUP(A44,orders!A:B,2,0),customers!A:F,6,0)</f>
        <v>USA</v>
      </c>
      <c r="K44" t="str">
        <f>VLOOKUP(VLOOKUP(A44,orders!A:C,3,0),employees!A:B,2,0)</f>
        <v>Laura Callahan</v>
      </c>
    </row>
    <row r="45" spans="1:11" x14ac:dyDescent="0.25">
      <c r="A45">
        <v>10263</v>
      </c>
      <c r="B45">
        <v>16</v>
      </c>
      <c r="C45">
        <v>13.9</v>
      </c>
      <c r="D45">
        <v>60</v>
      </c>
      <c r="E45">
        <v>0.25</v>
      </c>
      <c r="F45">
        <f t="shared" si="0"/>
        <v>625.5</v>
      </c>
      <c r="G45">
        <f>YEAR(VLOOKUP(A45,orders!A:D,4,0))</f>
        <v>2013</v>
      </c>
      <c r="H45">
        <f>MONTH(INDEX(orders!D:D,MATCH(A45, orders!A:A,0)))</f>
        <v>7</v>
      </c>
      <c r="I45" t="str">
        <f>VLOOKUP(VLOOKUP(B45,products!A:F,6,0),categories!A:B,2,0)</f>
        <v>Confections</v>
      </c>
      <c r="J45" t="str">
        <f>VLOOKUP(VLOOKUP(A45,orders!A:B,2,0),customers!A:F,6,0)</f>
        <v>Austria</v>
      </c>
      <c r="K45" t="str">
        <f>VLOOKUP(VLOOKUP(A45,orders!A:C,3,0),employees!A:B,2,0)</f>
        <v>Anne Dodsworth</v>
      </c>
    </row>
    <row r="46" spans="1:11" x14ac:dyDescent="0.25">
      <c r="A46">
        <v>10263</v>
      </c>
      <c r="B46">
        <v>24</v>
      </c>
      <c r="C46">
        <v>3.6</v>
      </c>
      <c r="D46">
        <v>28</v>
      </c>
      <c r="E46">
        <v>0</v>
      </c>
      <c r="F46">
        <f t="shared" si="0"/>
        <v>100.8</v>
      </c>
      <c r="G46">
        <f>YEAR(VLOOKUP(A46,orders!A:D,4,0))</f>
        <v>2013</v>
      </c>
      <c r="H46">
        <f>MONTH(INDEX(orders!D:D,MATCH(A46, orders!A:A,0)))</f>
        <v>7</v>
      </c>
      <c r="I46" t="str">
        <f>VLOOKUP(VLOOKUP(B46,products!A:F,6,0),categories!A:B,2,0)</f>
        <v>Beverages</v>
      </c>
      <c r="J46" t="str">
        <f>VLOOKUP(VLOOKUP(A46,orders!A:B,2,0),customers!A:F,6,0)</f>
        <v>Austria</v>
      </c>
      <c r="K46" t="str">
        <f>VLOOKUP(VLOOKUP(A46,orders!A:C,3,0),employees!A:B,2,0)</f>
        <v>Anne Dodsworth</v>
      </c>
    </row>
    <row r="47" spans="1:11" x14ac:dyDescent="0.25">
      <c r="A47">
        <v>10263</v>
      </c>
      <c r="B47">
        <v>30</v>
      </c>
      <c r="C47">
        <v>20.7</v>
      </c>
      <c r="D47">
        <v>60</v>
      </c>
      <c r="E47">
        <v>0.25</v>
      </c>
      <c r="F47">
        <f t="shared" si="0"/>
        <v>931.5</v>
      </c>
      <c r="G47">
        <f>YEAR(VLOOKUP(A47,orders!A:D,4,0))</f>
        <v>2013</v>
      </c>
      <c r="H47">
        <f>MONTH(INDEX(orders!D:D,MATCH(A47, orders!A:A,0)))</f>
        <v>7</v>
      </c>
      <c r="I47" t="str">
        <f>VLOOKUP(VLOOKUP(B47,products!A:F,6,0),categories!A:B,2,0)</f>
        <v>Seafood</v>
      </c>
      <c r="J47" t="str">
        <f>VLOOKUP(VLOOKUP(A47,orders!A:B,2,0),customers!A:F,6,0)</f>
        <v>Austria</v>
      </c>
      <c r="K47" t="str">
        <f>VLOOKUP(VLOOKUP(A47,orders!A:C,3,0),employees!A:B,2,0)</f>
        <v>Anne Dodsworth</v>
      </c>
    </row>
    <row r="48" spans="1:11" x14ac:dyDescent="0.25">
      <c r="A48">
        <v>10263</v>
      </c>
      <c r="B48">
        <v>74</v>
      </c>
      <c r="C48">
        <v>8</v>
      </c>
      <c r="D48">
        <v>36</v>
      </c>
      <c r="E48">
        <v>0.25</v>
      </c>
      <c r="F48">
        <f t="shared" si="0"/>
        <v>216</v>
      </c>
      <c r="G48">
        <f>YEAR(VLOOKUP(A48,orders!A:D,4,0))</f>
        <v>2013</v>
      </c>
      <c r="H48">
        <f>MONTH(INDEX(orders!D:D,MATCH(A48, orders!A:A,0)))</f>
        <v>7</v>
      </c>
      <c r="I48" t="str">
        <f>VLOOKUP(VLOOKUP(B48,products!A:F,6,0),categories!A:B,2,0)</f>
        <v>Produce</v>
      </c>
      <c r="J48" t="str">
        <f>VLOOKUP(VLOOKUP(A48,orders!A:B,2,0),customers!A:F,6,0)</f>
        <v>Austria</v>
      </c>
      <c r="K48" t="str">
        <f>VLOOKUP(VLOOKUP(A48,orders!A:C,3,0),employees!A:B,2,0)</f>
        <v>Anne Dodsworth</v>
      </c>
    </row>
    <row r="49" spans="1:11" x14ac:dyDescent="0.25">
      <c r="A49">
        <v>10264</v>
      </c>
      <c r="B49">
        <v>2</v>
      </c>
      <c r="C49">
        <v>15.2</v>
      </c>
      <c r="D49">
        <v>35</v>
      </c>
      <c r="E49">
        <v>0</v>
      </c>
      <c r="F49">
        <f t="shared" si="0"/>
        <v>532</v>
      </c>
      <c r="G49">
        <f>YEAR(VLOOKUP(A49,orders!A:D,4,0))</f>
        <v>2013</v>
      </c>
      <c r="H49">
        <f>MONTH(INDEX(orders!D:D,MATCH(A49, orders!A:A,0)))</f>
        <v>7</v>
      </c>
      <c r="I49" t="str">
        <f>VLOOKUP(VLOOKUP(B49,products!A:F,6,0),categories!A:B,2,0)</f>
        <v>Beverages</v>
      </c>
      <c r="J49" t="str">
        <f>VLOOKUP(VLOOKUP(A49,orders!A:B,2,0),customers!A:F,6,0)</f>
        <v>Sweden</v>
      </c>
      <c r="K49" t="str">
        <f>VLOOKUP(VLOOKUP(A49,orders!A:C,3,0),employees!A:B,2,0)</f>
        <v>Michael Suyama</v>
      </c>
    </row>
    <row r="50" spans="1:11" x14ac:dyDescent="0.25">
      <c r="A50">
        <v>10264</v>
      </c>
      <c r="B50">
        <v>41</v>
      </c>
      <c r="C50">
        <v>7.7</v>
      </c>
      <c r="D50">
        <v>25</v>
      </c>
      <c r="E50">
        <v>0.15</v>
      </c>
      <c r="F50">
        <f t="shared" si="0"/>
        <v>163.625</v>
      </c>
      <c r="G50">
        <f>YEAR(VLOOKUP(A50,orders!A:D,4,0))</f>
        <v>2013</v>
      </c>
      <c r="H50">
        <f>MONTH(INDEX(orders!D:D,MATCH(A50, orders!A:A,0)))</f>
        <v>7</v>
      </c>
      <c r="I50" t="str">
        <f>VLOOKUP(VLOOKUP(B50,products!A:F,6,0),categories!A:B,2,0)</f>
        <v>Seafood</v>
      </c>
      <c r="J50" t="str">
        <f>VLOOKUP(VLOOKUP(A50,orders!A:B,2,0),customers!A:F,6,0)</f>
        <v>Sweden</v>
      </c>
      <c r="K50" t="str">
        <f>VLOOKUP(VLOOKUP(A50,orders!A:C,3,0),employees!A:B,2,0)</f>
        <v>Michael Suyama</v>
      </c>
    </row>
    <row r="51" spans="1:11" x14ac:dyDescent="0.25">
      <c r="A51">
        <v>10265</v>
      </c>
      <c r="B51">
        <v>17</v>
      </c>
      <c r="C51">
        <v>31.2</v>
      </c>
      <c r="D51">
        <v>30</v>
      </c>
      <c r="E51">
        <v>0</v>
      </c>
      <c r="F51">
        <f t="shared" si="0"/>
        <v>936</v>
      </c>
      <c r="G51">
        <f>YEAR(VLOOKUP(A51,orders!A:D,4,0))</f>
        <v>2013</v>
      </c>
      <c r="H51">
        <f>MONTH(INDEX(orders!D:D,MATCH(A51, orders!A:A,0)))</f>
        <v>7</v>
      </c>
      <c r="I51" t="str">
        <f>VLOOKUP(VLOOKUP(B51,products!A:F,6,0),categories!A:B,2,0)</f>
        <v>Meat &amp; Poultry</v>
      </c>
      <c r="J51" t="str">
        <f>VLOOKUP(VLOOKUP(A51,orders!A:B,2,0),customers!A:F,6,0)</f>
        <v>France</v>
      </c>
      <c r="K51" t="str">
        <f>VLOOKUP(VLOOKUP(A51,orders!A:C,3,0),employees!A:B,2,0)</f>
        <v>Andrew Fuller</v>
      </c>
    </row>
    <row r="52" spans="1:11" x14ac:dyDescent="0.25">
      <c r="A52">
        <v>10265</v>
      </c>
      <c r="B52">
        <v>70</v>
      </c>
      <c r="C52">
        <v>12</v>
      </c>
      <c r="D52">
        <v>20</v>
      </c>
      <c r="E52">
        <v>0</v>
      </c>
      <c r="F52">
        <f t="shared" si="0"/>
        <v>240</v>
      </c>
      <c r="G52">
        <f>YEAR(VLOOKUP(A52,orders!A:D,4,0))</f>
        <v>2013</v>
      </c>
      <c r="H52">
        <f>MONTH(INDEX(orders!D:D,MATCH(A52, orders!A:A,0)))</f>
        <v>7</v>
      </c>
      <c r="I52" t="str">
        <f>VLOOKUP(VLOOKUP(B52,products!A:F,6,0),categories!A:B,2,0)</f>
        <v>Beverages</v>
      </c>
      <c r="J52" t="str">
        <f>VLOOKUP(VLOOKUP(A52,orders!A:B,2,0),customers!A:F,6,0)</f>
        <v>France</v>
      </c>
      <c r="K52" t="str">
        <f>VLOOKUP(VLOOKUP(A52,orders!A:C,3,0),employees!A:B,2,0)</f>
        <v>Andrew Fuller</v>
      </c>
    </row>
    <row r="53" spans="1:11" x14ac:dyDescent="0.25">
      <c r="A53">
        <v>10266</v>
      </c>
      <c r="B53">
        <v>12</v>
      </c>
      <c r="C53">
        <v>30.4</v>
      </c>
      <c r="D53">
        <v>12</v>
      </c>
      <c r="E53">
        <v>0.05</v>
      </c>
      <c r="F53">
        <f t="shared" si="0"/>
        <v>346.55999999999995</v>
      </c>
      <c r="G53">
        <f>YEAR(VLOOKUP(A53,orders!A:D,4,0))</f>
        <v>2013</v>
      </c>
      <c r="H53">
        <f>MONTH(INDEX(orders!D:D,MATCH(A53, orders!A:A,0)))</f>
        <v>7</v>
      </c>
      <c r="I53" t="str">
        <f>VLOOKUP(VLOOKUP(B53,products!A:F,6,0),categories!A:B,2,0)</f>
        <v>Dairy Products</v>
      </c>
      <c r="J53" t="str">
        <f>VLOOKUP(VLOOKUP(A53,orders!A:B,2,0),customers!A:F,6,0)</f>
        <v>Finland</v>
      </c>
      <c r="K53" t="str">
        <f>VLOOKUP(VLOOKUP(A53,orders!A:C,3,0),employees!A:B,2,0)</f>
        <v>Janet Leverling</v>
      </c>
    </row>
    <row r="54" spans="1:11" x14ac:dyDescent="0.25">
      <c r="A54">
        <v>10267</v>
      </c>
      <c r="B54">
        <v>40</v>
      </c>
      <c r="C54">
        <v>14.7</v>
      </c>
      <c r="D54">
        <v>50</v>
      </c>
      <c r="E54">
        <v>0</v>
      </c>
      <c r="F54">
        <f t="shared" si="0"/>
        <v>735</v>
      </c>
      <c r="G54">
        <f>YEAR(VLOOKUP(A54,orders!A:D,4,0))</f>
        <v>2013</v>
      </c>
      <c r="H54">
        <f>MONTH(INDEX(orders!D:D,MATCH(A54, orders!A:A,0)))</f>
        <v>7</v>
      </c>
      <c r="I54" t="str">
        <f>VLOOKUP(VLOOKUP(B54,products!A:F,6,0),categories!A:B,2,0)</f>
        <v>Seafood</v>
      </c>
      <c r="J54" t="str">
        <f>VLOOKUP(VLOOKUP(A54,orders!A:B,2,0),customers!A:F,6,0)</f>
        <v>Germany</v>
      </c>
      <c r="K54" t="str">
        <f>VLOOKUP(VLOOKUP(A54,orders!A:C,3,0),employees!A:B,2,0)</f>
        <v>Margaret Peacock</v>
      </c>
    </row>
    <row r="55" spans="1:11" x14ac:dyDescent="0.25">
      <c r="A55">
        <v>10267</v>
      </c>
      <c r="B55">
        <v>59</v>
      </c>
      <c r="C55">
        <v>44</v>
      </c>
      <c r="D55">
        <v>70</v>
      </c>
      <c r="E55">
        <v>0.15</v>
      </c>
      <c r="F55">
        <f t="shared" si="0"/>
        <v>2618</v>
      </c>
      <c r="G55">
        <f>YEAR(VLOOKUP(A55,orders!A:D,4,0))</f>
        <v>2013</v>
      </c>
      <c r="H55">
        <f>MONTH(INDEX(orders!D:D,MATCH(A55, orders!A:A,0)))</f>
        <v>7</v>
      </c>
      <c r="I55" t="str">
        <f>VLOOKUP(VLOOKUP(B55,products!A:F,6,0),categories!A:B,2,0)</f>
        <v>Dairy Products</v>
      </c>
      <c r="J55" t="str">
        <f>VLOOKUP(VLOOKUP(A55,orders!A:B,2,0),customers!A:F,6,0)</f>
        <v>Germany</v>
      </c>
      <c r="K55" t="str">
        <f>VLOOKUP(VLOOKUP(A55,orders!A:C,3,0),employees!A:B,2,0)</f>
        <v>Margaret Peacock</v>
      </c>
    </row>
    <row r="56" spans="1:11" x14ac:dyDescent="0.25">
      <c r="A56">
        <v>10267</v>
      </c>
      <c r="B56">
        <v>76</v>
      </c>
      <c r="C56">
        <v>14.4</v>
      </c>
      <c r="D56">
        <v>15</v>
      </c>
      <c r="E56">
        <v>0.15</v>
      </c>
      <c r="F56">
        <f t="shared" si="0"/>
        <v>183.6</v>
      </c>
      <c r="G56">
        <f>YEAR(VLOOKUP(A56,orders!A:D,4,0))</f>
        <v>2013</v>
      </c>
      <c r="H56">
        <f>MONTH(INDEX(orders!D:D,MATCH(A56, orders!A:A,0)))</f>
        <v>7</v>
      </c>
      <c r="I56" t="str">
        <f>VLOOKUP(VLOOKUP(B56,products!A:F,6,0),categories!A:B,2,0)</f>
        <v>Beverages</v>
      </c>
      <c r="J56" t="str">
        <f>VLOOKUP(VLOOKUP(A56,orders!A:B,2,0),customers!A:F,6,0)</f>
        <v>Germany</v>
      </c>
      <c r="K56" t="str">
        <f>VLOOKUP(VLOOKUP(A56,orders!A:C,3,0),employees!A:B,2,0)</f>
        <v>Margaret Peacock</v>
      </c>
    </row>
    <row r="57" spans="1:11" x14ac:dyDescent="0.25">
      <c r="A57">
        <v>10268</v>
      </c>
      <c r="B57">
        <v>29</v>
      </c>
      <c r="C57">
        <v>99</v>
      </c>
      <c r="D57">
        <v>10</v>
      </c>
      <c r="E57">
        <v>0</v>
      </c>
      <c r="F57">
        <f t="shared" si="0"/>
        <v>990</v>
      </c>
      <c r="G57">
        <f>YEAR(VLOOKUP(A57,orders!A:D,4,0))</f>
        <v>2013</v>
      </c>
      <c r="H57">
        <f>MONTH(INDEX(orders!D:D,MATCH(A57, orders!A:A,0)))</f>
        <v>7</v>
      </c>
      <c r="I57" t="str">
        <f>VLOOKUP(VLOOKUP(B57,products!A:F,6,0),categories!A:B,2,0)</f>
        <v>Meat &amp; Poultry</v>
      </c>
      <c r="J57" t="str">
        <f>VLOOKUP(VLOOKUP(A57,orders!A:B,2,0),customers!A:F,6,0)</f>
        <v>Venezuela</v>
      </c>
      <c r="K57" t="str">
        <f>VLOOKUP(VLOOKUP(A57,orders!A:C,3,0),employees!A:B,2,0)</f>
        <v>Laura Callahan</v>
      </c>
    </row>
    <row r="58" spans="1:11" x14ac:dyDescent="0.25">
      <c r="A58">
        <v>10268</v>
      </c>
      <c r="B58">
        <v>72</v>
      </c>
      <c r="C58">
        <v>27.8</v>
      </c>
      <c r="D58">
        <v>4</v>
      </c>
      <c r="E58">
        <v>0</v>
      </c>
      <c r="F58">
        <f t="shared" si="0"/>
        <v>111.2</v>
      </c>
      <c r="G58">
        <f>YEAR(VLOOKUP(A58,orders!A:D,4,0))</f>
        <v>2013</v>
      </c>
      <c r="H58">
        <f>MONTH(INDEX(orders!D:D,MATCH(A58, orders!A:A,0)))</f>
        <v>7</v>
      </c>
      <c r="I58" t="str">
        <f>VLOOKUP(VLOOKUP(B58,products!A:F,6,0),categories!A:B,2,0)</f>
        <v>Dairy Products</v>
      </c>
      <c r="J58" t="str">
        <f>VLOOKUP(VLOOKUP(A58,orders!A:B,2,0),customers!A:F,6,0)</f>
        <v>Venezuela</v>
      </c>
      <c r="K58" t="str">
        <f>VLOOKUP(VLOOKUP(A58,orders!A:C,3,0),employees!A:B,2,0)</f>
        <v>Laura Callahan</v>
      </c>
    </row>
    <row r="59" spans="1:11" x14ac:dyDescent="0.25">
      <c r="A59">
        <v>10269</v>
      </c>
      <c r="B59">
        <v>33</v>
      </c>
      <c r="C59">
        <v>2</v>
      </c>
      <c r="D59">
        <v>60</v>
      </c>
      <c r="E59">
        <v>0.05</v>
      </c>
      <c r="F59">
        <f t="shared" si="0"/>
        <v>114</v>
      </c>
      <c r="G59">
        <f>YEAR(VLOOKUP(A59,orders!A:D,4,0))</f>
        <v>2013</v>
      </c>
      <c r="H59">
        <f>MONTH(INDEX(orders!D:D,MATCH(A59, orders!A:A,0)))</f>
        <v>7</v>
      </c>
      <c r="I59" t="str">
        <f>VLOOKUP(VLOOKUP(B59,products!A:F,6,0),categories!A:B,2,0)</f>
        <v>Dairy Products</v>
      </c>
      <c r="J59" t="str">
        <f>VLOOKUP(VLOOKUP(A59,orders!A:B,2,0),customers!A:F,6,0)</f>
        <v>USA</v>
      </c>
      <c r="K59" t="str">
        <f>VLOOKUP(VLOOKUP(A59,orders!A:C,3,0),employees!A:B,2,0)</f>
        <v>Steven Buchanan</v>
      </c>
    </row>
    <row r="60" spans="1:11" x14ac:dyDescent="0.25">
      <c r="A60">
        <v>10269</v>
      </c>
      <c r="B60">
        <v>72</v>
      </c>
      <c r="C60">
        <v>27.8</v>
      </c>
      <c r="D60">
        <v>20</v>
      </c>
      <c r="E60">
        <v>0.05</v>
      </c>
      <c r="F60">
        <f t="shared" si="0"/>
        <v>528.19999999999993</v>
      </c>
      <c r="G60">
        <f>YEAR(VLOOKUP(A60,orders!A:D,4,0))</f>
        <v>2013</v>
      </c>
      <c r="H60">
        <f>MONTH(INDEX(orders!D:D,MATCH(A60, orders!A:A,0)))</f>
        <v>7</v>
      </c>
      <c r="I60" t="str">
        <f>VLOOKUP(VLOOKUP(B60,products!A:F,6,0),categories!A:B,2,0)</f>
        <v>Dairy Products</v>
      </c>
      <c r="J60" t="str">
        <f>VLOOKUP(VLOOKUP(A60,orders!A:B,2,0),customers!A:F,6,0)</f>
        <v>USA</v>
      </c>
      <c r="K60" t="str">
        <f>VLOOKUP(VLOOKUP(A60,orders!A:C,3,0),employees!A:B,2,0)</f>
        <v>Steven Buchanan</v>
      </c>
    </row>
    <row r="61" spans="1:11" x14ac:dyDescent="0.25">
      <c r="A61">
        <v>10270</v>
      </c>
      <c r="B61">
        <v>36</v>
      </c>
      <c r="C61">
        <v>15.2</v>
      </c>
      <c r="D61">
        <v>30</v>
      </c>
      <c r="E61">
        <v>0</v>
      </c>
      <c r="F61">
        <f t="shared" si="0"/>
        <v>456</v>
      </c>
      <c r="G61">
        <f>YEAR(VLOOKUP(A61,orders!A:D,4,0))</f>
        <v>2013</v>
      </c>
      <c r="H61">
        <f>MONTH(INDEX(orders!D:D,MATCH(A61, orders!A:A,0)))</f>
        <v>8</v>
      </c>
      <c r="I61" t="str">
        <f>VLOOKUP(VLOOKUP(B61,products!A:F,6,0),categories!A:B,2,0)</f>
        <v>Seafood</v>
      </c>
      <c r="J61" t="str">
        <f>VLOOKUP(VLOOKUP(A61,orders!A:B,2,0),customers!A:F,6,0)</f>
        <v>Finland</v>
      </c>
      <c r="K61" t="str">
        <f>VLOOKUP(VLOOKUP(A61,orders!A:C,3,0),employees!A:B,2,0)</f>
        <v>Nancy Davolio</v>
      </c>
    </row>
    <row r="62" spans="1:11" x14ac:dyDescent="0.25">
      <c r="A62">
        <v>10270</v>
      </c>
      <c r="B62">
        <v>43</v>
      </c>
      <c r="C62">
        <v>36.799999999999997</v>
      </c>
      <c r="D62">
        <v>25</v>
      </c>
      <c r="E62">
        <v>0</v>
      </c>
      <c r="F62">
        <f t="shared" si="0"/>
        <v>919.99999999999989</v>
      </c>
      <c r="G62">
        <f>YEAR(VLOOKUP(A62,orders!A:D,4,0))</f>
        <v>2013</v>
      </c>
      <c r="H62">
        <f>MONTH(INDEX(orders!D:D,MATCH(A62, orders!A:A,0)))</f>
        <v>8</v>
      </c>
      <c r="I62" t="str">
        <f>VLOOKUP(VLOOKUP(B62,products!A:F,6,0),categories!A:B,2,0)</f>
        <v>Beverages</v>
      </c>
      <c r="J62" t="str">
        <f>VLOOKUP(VLOOKUP(A62,orders!A:B,2,0),customers!A:F,6,0)</f>
        <v>Finland</v>
      </c>
      <c r="K62" t="str">
        <f>VLOOKUP(VLOOKUP(A62,orders!A:C,3,0),employees!A:B,2,0)</f>
        <v>Nancy Davolio</v>
      </c>
    </row>
    <row r="63" spans="1:11" x14ac:dyDescent="0.25">
      <c r="A63">
        <v>10271</v>
      </c>
      <c r="B63">
        <v>33</v>
      </c>
      <c r="C63">
        <v>2</v>
      </c>
      <c r="D63">
        <v>24</v>
      </c>
      <c r="E63">
        <v>0</v>
      </c>
      <c r="F63">
        <f t="shared" si="0"/>
        <v>48</v>
      </c>
      <c r="G63">
        <f>YEAR(VLOOKUP(A63,orders!A:D,4,0))</f>
        <v>2013</v>
      </c>
      <c r="H63">
        <f>MONTH(INDEX(orders!D:D,MATCH(A63, orders!A:A,0)))</f>
        <v>8</v>
      </c>
      <c r="I63" t="str">
        <f>VLOOKUP(VLOOKUP(B63,products!A:F,6,0),categories!A:B,2,0)</f>
        <v>Dairy Products</v>
      </c>
      <c r="J63" t="str">
        <f>VLOOKUP(VLOOKUP(A63,orders!A:B,2,0),customers!A:F,6,0)</f>
        <v>USA</v>
      </c>
      <c r="K63" t="str">
        <f>VLOOKUP(VLOOKUP(A63,orders!A:C,3,0),employees!A:B,2,0)</f>
        <v>Michael Suyama</v>
      </c>
    </row>
    <row r="64" spans="1:11" x14ac:dyDescent="0.25">
      <c r="A64">
        <v>10272</v>
      </c>
      <c r="B64">
        <v>20</v>
      </c>
      <c r="C64">
        <v>64.8</v>
      </c>
      <c r="D64">
        <v>6</v>
      </c>
      <c r="E64">
        <v>0</v>
      </c>
      <c r="F64">
        <f t="shared" si="0"/>
        <v>388.79999999999995</v>
      </c>
      <c r="G64">
        <f>YEAR(VLOOKUP(A64,orders!A:D,4,0))</f>
        <v>2013</v>
      </c>
      <c r="H64">
        <f>MONTH(INDEX(orders!D:D,MATCH(A64, orders!A:A,0)))</f>
        <v>8</v>
      </c>
      <c r="I64" t="str">
        <f>VLOOKUP(VLOOKUP(B64,products!A:F,6,0),categories!A:B,2,0)</f>
        <v>Confections</v>
      </c>
      <c r="J64" t="str">
        <f>VLOOKUP(VLOOKUP(A64,orders!A:B,2,0),customers!A:F,6,0)</f>
        <v>USA</v>
      </c>
      <c r="K64" t="str">
        <f>VLOOKUP(VLOOKUP(A64,orders!A:C,3,0),employees!A:B,2,0)</f>
        <v>Michael Suyama</v>
      </c>
    </row>
    <row r="65" spans="1:11" x14ac:dyDescent="0.25">
      <c r="A65">
        <v>10272</v>
      </c>
      <c r="B65">
        <v>31</v>
      </c>
      <c r="C65">
        <v>10</v>
      </c>
      <c r="D65">
        <v>40</v>
      </c>
      <c r="E65">
        <v>0</v>
      </c>
      <c r="F65">
        <f t="shared" si="0"/>
        <v>400</v>
      </c>
      <c r="G65">
        <f>YEAR(VLOOKUP(A65,orders!A:D,4,0))</f>
        <v>2013</v>
      </c>
      <c r="H65">
        <f>MONTH(INDEX(orders!D:D,MATCH(A65, orders!A:A,0)))</f>
        <v>8</v>
      </c>
      <c r="I65" t="str">
        <f>VLOOKUP(VLOOKUP(B65,products!A:F,6,0),categories!A:B,2,0)</f>
        <v>Dairy Products</v>
      </c>
      <c r="J65" t="str">
        <f>VLOOKUP(VLOOKUP(A65,orders!A:B,2,0),customers!A:F,6,0)</f>
        <v>USA</v>
      </c>
      <c r="K65" t="str">
        <f>VLOOKUP(VLOOKUP(A65,orders!A:C,3,0),employees!A:B,2,0)</f>
        <v>Michael Suyama</v>
      </c>
    </row>
    <row r="66" spans="1:11" x14ac:dyDescent="0.25">
      <c r="A66">
        <v>10272</v>
      </c>
      <c r="B66">
        <v>72</v>
      </c>
      <c r="C66">
        <v>27.8</v>
      </c>
      <c r="D66">
        <v>24</v>
      </c>
      <c r="E66">
        <v>0</v>
      </c>
      <c r="F66">
        <f t="shared" si="0"/>
        <v>667.2</v>
      </c>
      <c r="G66">
        <f>YEAR(VLOOKUP(A66,orders!A:D,4,0))</f>
        <v>2013</v>
      </c>
      <c r="H66">
        <f>MONTH(INDEX(orders!D:D,MATCH(A66, orders!A:A,0)))</f>
        <v>8</v>
      </c>
      <c r="I66" t="str">
        <f>VLOOKUP(VLOOKUP(B66,products!A:F,6,0),categories!A:B,2,0)</f>
        <v>Dairy Products</v>
      </c>
      <c r="J66" t="str">
        <f>VLOOKUP(VLOOKUP(A66,orders!A:B,2,0),customers!A:F,6,0)</f>
        <v>USA</v>
      </c>
      <c r="K66" t="str">
        <f>VLOOKUP(VLOOKUP(A66,orders!A:C,3,0),employees!A:B,2,0)</f>
        <v>Michael Suyama</v>
      </c>
    </row>
    <row r="67" spans="1:11" x14ac:dyDescent="0.25">
      <c r="A67">
        <v>10273</v>
      </c>
      <c r="B67">
        <v>10</v>
      </c>
      <c r="C67">
        <v>24.8</v>
      </c>
      <c r="D67">
        <v>24</v>
      </c>
      <c r="E67">
        <v>0.05</v>
      </c>
      <c r="F67">
        <f t="shared" ref="F67:F130" si="1">C67*D67*(1-E67)</f>
        <v>565.44000000000005</v>
      </c>
      <c r="G67">
        <f>YEAR(VLOOKUP(A67,orders!A:D,4,0))</f>
        <v>2013</v>
      </c>
      <c r="H67">
        <f>MONTH(INDEX(orders!D:D,MATCH(A67, orders!A:A,0)))</f>
        <v>8</v>
      </c>
      <c r="I67" t="str">
        <f>VLOOKUP(VLOOKUP(B67,products!A:F,6,0),categories!A:B,2,0)</f>
        <v>Seafood</v>
      </c>
      <c r="J67" t="str">
        <f>VLOOKUP(VLOOKUP(A67,orders!A:B,2,0),customers!A:F,6,0)</f>
        <v>Germany</v>
      </c>
      <c r="K67" t="str">
        <f>VLOOKUP(VLOOKUP(A67,orders!A:C,3,0),employees!A:B,2,0)</f>
        <v>Janet Leverling</v>
      </c>
    </row>
    <row r="68" spans="1:11" x14ac:dyDescent="0.25">
      <c r="A68">
        <v>10273</v>
      </c>
      <c r="B68">
        <v>31</v>
      </c>
      <c r="C68">
        <v>10</v>
      </c>
      <c r="D68">
        <v>15</v>
      </c>
      <c r="E68">
        <v>0.05</v>
      </c>
      <c r="F68">
        <f t="shared" si="1"/>
        <v>142.5</v>
      </c>
      <c r="G68">
        <f>YEAR(VLOOKUP(A68,orders!A:D,4,0))</f>
        <v>2013</v>
      </c>
      <c r="H68">
        <f>MONTH(INDEX(orders!D:D,MATCH(A68, orders!A:A,0)))</f>
        <v>8</v>
      </c>
      <c r="I68" t="str">
        <f>VLOOKUP(VLOOKUP(B68,products!A:F,6,0),categories!A:B,2,0)</f>
        <v>Dairy Products</v>
      </c>
      <c r="J68" t="str">
        <f>VLOOKUP(VLOOKUP(A68,orders!A:B,2,0),customers!A:F,6,0)</f>
        <v>Germany</v>
      </c>
      <c r="K68" t="str">
        <f>VLOOKUP(VLOOKUP(A68,orders!A:C,3,0),employees!A:B,2,0)</f>
        <v>Janet Leverling</v>
      </c>
    </row>
    <row r="69" spans="1:11" x14ac:dyDescent="0.25">
      <c r="A69">
        <v>10273</v>
      </c>
      <c r="B69">
        <v>33</v>
      </c>
      <c r="C69">
        <v>2</v>
      </c>
      <c r="D69">
        <v>20</v>
      </c>
      <c r="E69">
        <v>0</v>
      </c>
      <c r="F69">
        <f t="shared" si="1"/>
        <v>40</v>
      </c>
      <c r="G69">
        <f>YEAR(VLOOKUP(A69,orders!A:D,4,0))</f>
        <v>2013</v>
      </c>
      <c r="H69">
        <f>MONTH(INDEX(orders!D:D,MATCH(A69, orders!A:A,0)))</f>
        <v>8</v>
      </c>
      <c r="I69" t="str">
        <f>VLOOKUP(VLOOKUP(B69,products!A:F,6,0),categories!A:B,2,0)</f>
        <v>Dairy Products</v>
      </c>
      <c r="J69" t="str">
        <f>VLOOKUP(VLOOKUP(A69,orders!A:B,2,0),customers!A:F,6,0)</f>
        <v>Germany</v>
      </c>
      <c r="K69" t="str">
        <f>VLOOKUP(VLOOKUP(A69,orders!A:C,3,0),employees!A:B,2,0)</f>
        <v>Janet Leverling</v>
      </c>
    </row>
    <row r="70" spans="1:11" x14ac:dyDescent="0.25">
      <c r="A70">
        <v>10273</v>
      </c>
      <c r="B70">
        <v>40</v>
      </c>
      <c r="C70">
        <v>14.7</v>
      </c>
      <c r="D70">
        <v>60</v>
      </c>
      <c r="E70">
        <v>0.05</v>
      </c>
      <c r="F70">
        <f t="shared" si="1"/>
        <v>837.9</v>
      </c>
      <c r="G70">
        <f>YEAR(VLOOKUP(A70,orders!A:D,4,0))</f>
        <v>2013</v>
      </c>
      <c r="H70">
        <f>MONTH(INDEX(orders!D:D,MATCH(A70, orders!A:A,0)))</f>
        <v>8</v>
      </c>
      <c r="I70" t="str">
        <f>VLOOKUP(VLOOKUP(B70,products!A:F,6,0),categories!A:B,2,0)</f>
        <v>Seafood</v>
      </c>
      <c r="J70" t="str">
        <f>VLOOKUP(VLOOKUP(A70,orders!A:B,2,0),customers!A:F,6,0)</f>
        <v>Germany</v>
      </c>
      <c r="K70" t="str">
        <f>VLOOKUP(VLOOKUP(A70,orders!A:C,3,0),employees!A:B,2,0)</f>
        <v>Janet Leverling</v>
      </c>
    </row>
    <row r="71" spans="1:11" x14ac:dyDescent="0.25">
      <c r="A71">
        <v>10273</v>
      </c>
      <c r="B71">
        <v>76</v>
      </c>
      <c r="C71">
        <v>14.4</v>
      </c>
      <c r="D71">
        <v>33</v>
      </c>
      <c r="E71">
        <v>0.05</v>
      </c>
      <c r="F71">
        <f t="shared" si="1"/>
        <v>451.43999999999994</v>
      </c>
      <c r="G71">
        <f>YEAR(VLOOKUP(A71,orders!A:D,4,0))</f>
        <v>2013</v>
      </c>
      <c r="H71">
        <f>MONTH(INDEX(orders!D:D,MATCH(A71, orders!A:A,0)))</f>
        <v>8</v>
      </c>
      <c r="I71" t="str">
        <f>VLOOKUP(VLOOKUP(B71,products!A:F,6,0),categories!A:B,2,0)</f>
        <v>Beverages</v>
      </c>
      <c r="J71" t="str">
        <f>VLOOKUP(VLOOKUP(A71,orders!A:B,2,0),customers!A:F,6,0)</f>
        <v>Germany</v>
      </c>
      <c r="K71" t="str">
        <f>VLOOKUP(VLOOKUP(A71,orders!A:C,3,0),employees!A:B,2,0)</f>
        <v>Janet Leverling</v>
      </c>
    </row>
    <row r="72" spans="1:11" x14ac:dyDescent="0.25">
      <c r="A72">
        <v>10274</v>
      </c>
      <c r="B72">
        <v>71</v>
      </c>
      <c r="C72">
        <v>17.2</v>
      </c>
      <c r="D72">
        <v>20</v>
      </c>
      <c r="E72">
        <v>0</v>
      </c>
      <c r="F72">
        <f t="shared" si="1"/>
        <v>344</v>
      </c>
      <c r="G72">
        <f>YEAR(VLOOKUP(A72,orders!A:D,4,0))</f>
        <v>2013</v>
      </c>
      <c r="H72">
        <f>MONTH(INDEX(orders!D:D,MATCH(A72, orders!A:A,0)))</f>
        <v>8</v>
      </c>
      <c r="I72" t="str">
        <f>VLOOKUP(VLOOKUP(B72,products!A:F,6,0),categories!A:B,2,0)</f>
        <v>Dairy Products</v>
      </c>
      <c r="J72" t="str">
        <f>VLOOKUP(VLOOKUP(A72,orders!A:B,2,0),customers!A:F,6,0)</f>
        <v>France</v>
      </c>
      <c r="K72" t="str">
        <f>VLOOKUP(VLOOKUP(A72,orders!A:C,3,0),employees!A:B,2,0)</f>
        <v>Michael Suyama</v>
      </c>
    </row>
    <row r="73" spans="1:11" x14ac:dyDescent="0.25">
      <c r="A73">
        <v>10274</v>
      </c>
      <c r="B73">
        <v>72</v>
      </c>
      <c r="C73">
        <v>27.8</v>
      </c>
      <c r="D73">
        <v>7</v>
      </c>
      <c r="E73">
        <v>0</v>
      </c>
      <c r="F73">
        <f t="shared" si="1"/>
        <v>194.6</v>
      </c>
      <c r="G73">
        <f>YEAR(VLOOKUP(A73,orders!A:D,4,0))</f>
        <v>2013</v>
      </c>
      <c r="H73">
        <f>MONTH(INDEX(orders!D:D,MATCH(A73, orders!A:A,0)))</f>
        <v>8</v>
      </c>
      <c r="I73" t="str">
        <f>VLOOKUP(VLOOKUP(B73,products!A:F,6,0),categories!A:B,2,0)</f>
        <v>Dairy Products</v>
      </c>
      <c r="J73" t="str">
        <f>VLOOKUP(VLOOKUP(A73,orders!A:B,2,0),customers!A:F,6,0)</f>
        <v>France</v>
      </c>
      <c r="K73" t="str">
        <f>VLOOKUP(VLOOKUP(A73,orders!A:C,3,0),employees!A:B,2,0)</f>
        <v>Michael Suyama</v>
      </c>
    </row>
    <row r="74" spans="1:11" x14ac:dyDescent="0.25">
      <c r="A74">
        <v>10275</v>
      </c>
      <c r="B74">
        <v>24</v>
      </c>
      <c r="C74">
        <v>3.6</v>
      </c>
      <c r="D74">
        <v>12</v>
      </c>
      <c r="E74">
        <v>0.05</v>
      </c>
      <c r="F74">
        <f t="shared" si="1"/>
        <v>41.04</v>
      </c>
      <c r="G74">
        <f>YEAR(VLOOKUP(A74,orders!A:D,4,0))</f>
        <v>2013</v>
      </c>
      <c r="H74">
        <f>MONTH(INDEX(orders!D:D,MATCH(A74, orders!A:A,0)))</f>
        <v>8</v>
      </c>
      <c r="I74" t="str">
        <f>VLOOKUP(VLOOKUP(B74,products!A:F,6,0),categories!A:B,2,0)</f>
        <v>Beverages</v>
      </c>
      <c r="J74" t="str">
        <f>VLOOKUP(VLOOKUP(A74,orders!A:B,2,0),customers!A:F,6,0)</f>
        <v>Italy</v>
      </c>
      <c r="K74" t="str">
        <f>VLOOKUP(VLOOKUP(A74,orders!A:C,3,0),employees!A:B,2,0)</f>
        <v>Nancy Davolio</v>
      </c>
    </row>
    <row r="75" spans="1:11" x14ac:dyDescent="0.25">
      <c r="A75">
        <v>10275</v>
      </c>
      <c r="B75">
        <v>59</v>
      </c>
      <c r="C75">
        <v>44</v>
      </c>
      <c r="D75">
        <v>6</v>
      </c>
      <c r="E75">
        <v>0.05</v>
      </c>
      <c r="F75">
        <f t="shared" si="1"/>
        <v>250.79999999999998</v>
      </c>
      <c r="G75">
        <f>YEAR(VLOOKUP(A75,orders!A:D,4,0))</f>
        <v>2013</v>
      </c>
      <c r="H75">
        <f>MONTH(INDEX(orders!D:D,MATCH(A75, orders!A:A,0)))</f>
        <v>8</v>
      </c>
      <c r="I75" t="str">
        <f>VLOOKUP(VLOOKUP(B75,products!A:F,6,0),categories!A:B,2,0)</f>
        <v>Dairy Products</v>
      </c>
      <c r="J75" t="str">
        <f>VLOOKUP(VLOOKUP(A75,orders!A:B,2,0),customers!A:F,6,0)</f>
        <v>Italy</v>
      </c>
      <c r="K75" t="str">
        <f>VLOOKUP(VLOOKUP(A75,orders!A:C,3,0),employees!A:B,2,0)</f>
        <v>Nancy Davolio</v>
      </c>
    </row>
    <row r="76" spans="1:11" x14ac:dyDescent="0.25">
      <c r="A76">
        <v>10276</v>
      </c>
      <c r="B76">
        <v>10</v>
      </c>
      <c r="C76">
        <v>24.8</v>
      </c>
      <c r="D76">
        <v>15</v>
      </c>
      <c r="E76">
        <v>0</v>
      </c>
      <c r="F76">
        <f t="shared" si="1"/>
        <v>372</v>
      </c>
      <c r="G76">
        <f>YEAR(VLOOKUP(A76,orders!A:D,4,0))</f>
        <v>2013</v>
      </c>
      <c r="H76">
        <f>MONTH(INDEX(orders!D:D,MATCH(A76, orders!A:A,0)))</f>
        <v>8</v>
      </c>
      <c r="I76" t="str">
        <f>VLOOKUP(VLOOKUP(B76,products!A:F,6,0),categories!A:B,2,0)</f>
        <v>Seafood</v>
      </c>
      <c r="J76" t="str">
        <f>VLOOKUP(VLOOKUP(A76,orders!A:B,2,0),customers!A:F,6,0)</f>
        <v>Mexico</v>
      </c>
      <c r="K76" t="str">
        <f>VLOOKUP(VLOOKUP(A76,orders!A:C,3,0),employees!A:B,2,0)</f>
        <v>Laura Callahan</v>
      </c>
    </row>
    <row r="77" spans="1:11" x14ac:dyDescent="0.25">
      <c r="A77">
        <v>10276</v>
      </c>
      <c r="B77">
        <v>13</v>
      </c>
      <c r="C77">
        <v>4.8</v>
      </c>
      <c r="D77">
        <v>10</v>
      </c>
      <c r="E77">
        <v>0</v>
      </c>
      <c r="F77">
        <f t="shared" si="1"/>
        <v>48</v>
      </c>
      <c r="G77">
        <f>YEAR(VLOOKUP(A77,orders!A:D,4,0))</f>
        <v>2013</v>
      </c>
      <c r="H77">
        <f>MONTH(INDEX(orders!D:D,MATCH(A77, orders!A:A,0)))</f>
        <v>8</v>
      </c>
      <c r="I77" t="str">
        <f>VLOOKUP(VLOOKUP(B77,products!A:F,6,0),categories!A:B,2,0)</f>
        <v>Seafood</v>
      </c>
      <c r="J77" t="str">
        <f>VLOOKUP(VLOOKUP(A77,orders!A:B,2,0),customers!A:F,6,0)</f>
        <v>Mexico</v>
      </c>
      <c r="K77" t="str">
        <f>VLOOKUP(VLOOKUP(A77,orders!A:C,3,0),employees!A:B,2,0)</f>
        <v>Laura Callahan</v>
      </c>
    </row>
    <row r="78" spans="1:11" x14ac:dyDescent="0.25">
      <c r="A78">
        <v>10277</v>
      </c>
      <c r="B78">
        <v>28</v>
      </c>
      <c r="C78">
        <v>36.4</v>
      </c>
      <c r="D78">
        <v>20</v>
      </c>
      <c r="E78">
        <v>0</v>
      </c>
      <c r="F78">
        <f t="shared" si="1"/>
        <v>728</v>
      </c>
      <c r="G78">
        <f>YEAR(VLOOKUP(A78,orders!A:D,4,0))</f>
        <v>2013</v>
      </c>
      <c r="H78">
        <f>MONTH(INDEX(orders!D:D,MATCH(A78, orders!A:A,0)))</f>
        <v>8</v>
      </c>
      <c r="I78" t="str">
        <f>VLOOKUP(VLOOKUP(B78,products!A:F,6,0),categories!A:B,2,0)</f>
        <v>Produce</v>
      </c>
      <c r="J78" t="str">
        <f>VLOOKUP(VLOOKUP(A78,orders!A:B,2,0),customers!A:F,6,0)</f>
        <v>Germany</v>
      </c>
      <c r="K78" t="str">
        <f>VLOOKUP(VLOOKUP(A78,orders!A:C,3,0),employees!A:B,2,0)</f>
        <v>Andrew Fuller</v>
      </c>
    </row>
    <row r="79" spans="1:11" x14ac:dyDescent="0.25">
      <c r="A79">
        <v>10277</v>
      </c>
      <c r="B79">
        <v>62</v>
      </c>
      <c r="C79">
        <v>39.4</v>
      </c>
      <c r="D79">
        <v>12</v>
      </c>
      <c r="E79">
        <v>0</v>
      </c>
      <c r="F79">
        <f t="shared" si="1"/>
        <v>472.79999999999995</v>
      </c>
      <c r="G79">
        <f>YEAR(VLOOKUP(A79,orders!A:D,4,0))</f>
        <v>2013</v>
      </c>
      <c r="H79">
        <f>MONTH(INDEX(orders!D:D,MATCH(A79, orders!A:A,0)))</f>
        <v>8</v>
      </c>
      <c r="I79" t="str">
        <f>VLOOKUP(VLOOKUP(B79,products!A:F,6,0),categories!A:B,2,0)</f>
        <v>Confections</v>
      </c>
      <c r="J79" t="str">
        <f>VLOOKUP(VLOOKUP(A79,orders!A:B,2,0),customers!A:F,6,0)</f>
        <v>Germany</v>
      </c>
      <c r="K79" t="str">
        <f>VLOOKUP(VLOOKUP(A79,orders!A:C,3,0),employees!A:B,2,0)</f>
        <v>Andrew Fuller</v>
      </c>
    </row>
    <row r="80" spans="1:11" x14ac:dyDescent="0.25">
      <c r="A80">
        <v>10278</v>
      </c>
      <c r="B80">
        <v>44</v>
      </c>
      <c r="C80">
        <v>15.5</v>
      </c>
      <c r="D80">
        <v>16</v>
      </c>
      <c r="E80">
        <v>0</v>
      </c>
      <c r="F80">
        <f t="shared" si="1"/>
        <v>248</v>
      </c>
      <c r="G80">
        <f>YEAR(VLOOKUP(A80,orders!A:D,4,0))</f>
        <v>2013</v>
      </c>
      <c r="H80">
        <f>MONTH(INDEX(orders!D:D,MATCH(A80, orders!A:A,0)))</f>
        <v>8</v>
      </c>
      <c r="I80" t="str">
        <f>VLOOKUP(VLOOKUP(B80,products!A:F,6,0),categories!A:B,2,0)</f>
        <v>Condiments</v>
      </c>
      <c r="J80" t="str">
        <f>VLOOKUP(VLOOKUP(A80,orders!A:B,2,0),customers!A:F,6,0)</f>
        <v>Sweden</v>
      </c>
      <c r="K80" t="str">
        <f>VLOOKUP(VLOOKUP(A80,orders!A:C,3,0),employees!A:B,2,0)</f>
        <v>Laura Callahan</v>
      </c>
    </row>
    <row r="81" spans="1:11" x14ac:dyDescent="0.25">
      <c r="A81">
        <v>10278</v>
      </c>
      <c r="B81">
        <v>59</v>
      </c>
      <c r="C81">
        <v>44</v>
      </c>
      <c r="D81">
        <v>15</v>
      </c>
      <c r="E81">
        <v>0</v>
      </c>
      <c r="F81">
        <f t="shared" si="1"/>
        <v>660</v>
      </c>
      <c r="G81">
        <f>YEAR(VLOOKUP(A81,orders!A:D,4,0))</f>
        <v>2013</v>
      </c>
      <c r="H81">
        <f>MONTH(INDEX(orders!D:D,MATCH(A81, orders!A:A,0)))</f>
        <v>8</v>
      </c>
      <c r="I81" t="str">
        <f>VLOOKUP(VLOOKUP(B81,products!A:F,6,0),categories!A:B,2,0)</f>
        <v>Dairy Products</v>
      </c>
      <c r="J81" t="str">
        <f>VLOOKUP(VLOOKUP(A81,orders!A:B,2,0),customers!A:F,6,0)</f>
        <v>Sweden</v>
      </c>
      <c r="K81" t="str">
        <f>VLOOKUP(VLOOKUP(A81,orders!A:C,3,0),employees!A:B,2,0)</f>
        <v>Laura Callahan</v>
      </c>
    </row>
    <row r="82" spans="1:11" x14ac:dyDescent="0.25">
      <c r="A82">
        <v>10278</v>
      </c>
      <c r="B82">
        <v>63</v>
      </c>
      <c r="C82">
        <v>35.1</v>
      </c>
      <c r="D82">
        <v>8</v>
      </c>
      <c r="E82">
        <v>0</v>
      </c>
      <c r="F82">
        <f t="shared" si="1"/>
        <v>280.8</v>
      </c>
      <c r="G82">
        <f>YEAR(VLOOKUP(A82,orders!A:D,4,0))</f>
        <v>2013</v>
      </c>
      <c r="H82">
        <f>MONTH(INDEX(orders!D:D,MATCH(A82, orders!A:A,0)))</f>
        <v>8</v>
      </c>
      <c r="I82" t="str">
        <f>VLOOKUP(VLOOKUP(B82,products!A:F,6,0),categories!A:B,2,0)</f>
        <v>Condiments</v>
      </c>
      <c r="J82" t="str">
        <f>VLOOKUP(VLOOKUP(A82,orders!A:B,2,0),customers!A:F,6,0)</f>
        <v>Sweden</v>
      </c>
      <c r="K82" t="str">
        <f>VLOOKUP(VLOOKUP(A82,orders!A:C,3,0),employees!A:B,2,0)</f>
        <v>Laura Callahan</v>
      </c>
    </row>
    <row r="83" spans="1:11" x14ac:dyDescent="0.25">
      <c r="A83">
        <v>10278</v>
      </c>
      <c r="B83">
        <v>73</v>
      </c>
      <c r="C83">
        <v>12</v>
      </c>
      <c r="D83">
        <v>25</v>
      </c>
      <c r="E83">
        <v>0</v>
      </c>
      <c r="F83">
        <f t="shared" si="1"/>
        <v>300</v>
      </c>
      <c r="G83">
        <f>YEAR(VLOOKUP(A83,orders!A:D,4,0))</f>
        <v>2013</v>
      </c>
      <c r="H83">
        <f>MONTH(INDEX(orders!D:D,MATCH(A83, orders!A:A,0)))</f>
        <v>8</v>
      </c>
      <c r="I83" t="str">
        <f>VLOOKUP(VLOOKUP(B83,products!A:F,6,0),categories!A:B,2,0)</f>
        <v>Seafood</v>
      </c>
      <c r="J83" t="str">
        <f>VLOOKUP(VLOOKUP(A83,orders!A:B,2,0),customers!A:F,6,0)</f>
        <v>Sweden</v>
      </c>
      <c r="K83" t="str">
        <f>VLOOKUP(VLOOKUP(A83,orders!A:C,3,0),employees!A:B,2,0)</f>
        <v>Laura Callahan</v>
      </c>
    </row>
    <row r="84" spans="1:11" x14ac:dyDescent="0.25">
      <c r="A84">
        <v>10279</v>
      </c>
      <c r="B84">
        <v>17</v>
      </c>
      <c r="C84">
        <v>31.2</v>
      </c>
      <c r="D84">
        <v>15</v>
      </c>
      <c r="E84">
        <v>0.25</v>
      </c>
      <c r="F84">
        <f t="shared" si="1"/>
        <v>351</v>
      </c>
      <c r="G84">
        <f>YEAR(VLOOKUP(A84,orders!A:D,4,0))</f>
        <v>2013</v>
      </c>
      <c r="H84">
        <f>MONTH(INDEX(orders!D:D,MATCH(A84, orders!A:A,0)))</f>
        <v>8</v>
      </c>
      <c r="I84" t="str">
        <f>VLOOKUP(VLOOKUP(B84,products!A:F,6,0),categories!A:B,2,0)</f>
        <v>Meat &amp; Poultry</v>
      </c>
      <c r="J84" t="str">
        <f>VLOOKUP(VLOOKUP(A84,orders!A:B,2,0),customers!A:F,6,0)</f>
        <v>Germany</v>
      </c>
      <c r="K84" t="str">
        <f>VLOOKUP(VLOOKUP(A84,orders!A:C,3,0),employees!A:B,2,0)</f>
        <v>Laura Callahan</v>
      </c>
    </row>
    <row r="85" spans="1:11" x14ac:dyDescent="0.25">
      <c r="A85">
        <v>10280</v>
      </c>
      <c r="B85">
        <v>24</v>
      </c>
      <c r="C85">
        <v>3.6</v>
      </c>
      <c r="D85">
        <v>12</v>
      </c>
      <c r="E85">
        <v>0</v>
      </c>
      <c r="F85">
        <f t="shared" si="1"/>
        <v>43.2</v>
      </c>
      <c r="G85">
        <f>YEAR(VLOOKUP(A85,orders!A:D,4,0))</f>
        <v>2013</v>
      </c>
      <c r="H85">
        <f>MONTH(INDEX(orders!D:D,MATCH(A85, orders!A:A,0)))</f>
        <v>8</v>
      </c>
      <c r="I85" t="str">
        <f>VLOOKUP(VLOOKUP(B85,products!A:F,6,0),categories!A:B,2,0)</f>
        <v>Beverages</v>
      </c>
      <c r="J85" t="str">
        <f>VLOOKUP(VLOOKUP(A85,orders!A:B,2,0),customers!A:F,6,0)</f>
        <v>Sweden</v>
      </c>
      <c r="K85" t="str">
        <f>VLOOKUP(VLOOKUP(A85,orders!A:C,3,0),employees!A:B,2,0)</f>
        <v>Andrew Fuller</v>
      </c>
    </row>
    <row r="86" spans="1:11" x14ac:dyDescent="0.25">
      <c r="A86">
        <v>10280</v>
      </c>
      <c r="B86">
        <v>55</v>
      </c>
      <c r="C86">
        <v>19.2</v>
      </c>
      <c r="D86">
        <v>20</v>
      </c>
      <c r="E86">
        <v>0</v>
      </c>
      <c r="F86">
        <f t="shared" si="1"/>
        <v>384</v>
      </c>
      <c r="G86">
        <f>YEAR(VLOOKUP(A86,orders!A:D,4,0))</f>
        <v>2013</v>
      </c>
      <c r="H86">
        <f>MONTH(INDEX(orders!D:D,MATCH(A86, orders!A:A,0)))</f>
        <v>8</v>
      </c>
      <c r="I86" t="str">
        <f>VLOOKUP(VLOOKUP(B86,products!A:F,6,0),categories!A:B,2,0)</f>
        <v>Meat &amp; Poultry</v>
      </c>
      <c r="J86" t="str">
        <f>VLOOKUP(VLOOKUP(A86,orders!A:B,2,0),customers!A:F,6,0)</f>
        <v>Sweden</v>
      </c>
      <c r="K86" t="str">
        <f>VLOOKUP(VLOOKUP(A86,orders!A:C,3,0),employees!A:B,2,0)</f>
        <v>Andrew Fuller</v>
      </c>
    </row>
    <row r="87" spans="1:11" x14ac:dyDescent="0.25">
      <c r="A87">
        <v>10280</v>
      </c>
      <c r="B87">
        <v>75</v>
      </c>
      <c r="C87">
        <v>6.2</v>
      </c>
      <c r="D87">
        <v>30</v>
      </c>
      <c r="E87">
        <v>0</v>
      </c>
      <c r="F87">
        <f t="shared" si="1"/>
        <v>186</v>
      </c>
      <c r="G87">
        <f>YEAR(VLOOKUP(A87,orders!A:D,4,0))</f>
        <v>2013</v>
      </c>
      <c r="H87">
        <f>MONTH(INDEX(orders!D:D,MATCH(A87, orders!A:A,0)))</f>
        <v>8</v>
      </c>
      <c r="I87" t="str">
        <f>VLOOKUP(VLOOKUP(B87,products!A:F,6,0),categories!A:B,2,0)</f>
        <v>Beverages</v>
      </c>
      <c r="J87" t="str">
        <f>VLOOKUP(VLOOKUP(A87,orders!A:B,2,0),customers!A:F,6,0)</f>
        <v>Sweden</v>
      </c>
      <c r="K87" t="str">
        <f>VLOOKUP(VLOOKUP(A87,orders!A:C,3,0),employees!A:B,2,0)</f>
        <v>Andrew Fuller</v>
      </c>
    </row>
    <row r="88" spans="1:11" x14ac:dyDescent="0.25">
      <c r="A88">
        <v>10281</v>
      </c>
      <c r="B88">
        <v>19</v>
      </c>
      <c r="C88">
        <v>7.3</v>
      </c>
      <c r="D88">
        <v>1</v>
      </c>
      <c r="E88">
        <v>0</v>
      </c>
      <c r="F88">
        <f t="shared" si="1"/>
        <v>7.3</v>
      </c>
      <c r="G88">
        <f>YEAR(VLOOKUP(A88,orders!A:D,4,0))</f>
        <v>2013</v>
      </c>
      <c r="H88">
        <f>MONTH(INDEX(orders!D:D,MATCH(A88, orders!A:A,0)))</f>
        <v>8</v>
      </c>
      <c r="I88" t="str">
        <f>VLOOKUP(VLOOKUP(B88,products!A:F,6,0),categories!A:B,2,0)</f>
        <v>Confections</v>
      </c>
      <c r="J88" t="str">
        <f>VLOOKUP(VLOOKUP(A88,orders!A:B,2,0),customers!A:F,6,0)</f>
        <v>Spain</v>
      </c>
      <c r="K88" t="str">
        <f>VLOOKUP(VLOOKUP(A88,orders!A:C,3,0),employees!A:B,2,0)</f>
        <v>Margaret Peacock</v>
      </c>
    </row>
    <row r="89" spans="1:11" x14ac:dyDescent="0.25">
      <c r="A89">
        <v>10281</v>
      </c>
      <c r="B89">
        <v>24</v>
      </c>
      <c r="C89">
        <v>3.6</v>
      </c>
      <c r="D89">
        <v>6</v>
      </c>
      <c r="E89">
        <v>0</v>
      </c>
      <c r="F89">
        <f t="shared" si="1"/>
        <v>21.6</v>
      </c>
      <c r="G89">
        <f>YEAR(VLOOKUP(A89,orders!A:D,4,0))</f>
        <v>2013</v>
      </c>
      <c r="H89">
        <f>MONTH(INDEX(orders!D:D,MATCH(A89, orders!A:A,0)))</f>
        <v>8</v>
      </c>
      <c r="I89" t="str">
        <f>VLOOKUP(VLOOKUP(B89,products!A:F,6,0),categories!A:B,2,0)</f>
        <v>Beverages</v>
      </c>
      <c r="J89" t="str">
        <f>VLOOKUP(VLOOKUP(A89,orders!A:B,2,0),customers!A:F,6,0)</f>
        <v>Spain</v>
      </c>
      <c r="K89" t="str">
        <f>VLOOKUP(VLOOKUP(A89,orders!A:C,3,0),employees!A:B,2,0)</f>
        <v>Margaret Peacock</v>
      </c>
    </row>
    <row r="90" spans="1:11" x14ac:dyDescent="0.25">
      <c r="A90">
        <v>10281</v>
      </c>
      <c r="B90">
        <v>35</v>
      </c>
      <c r="C90">
        <v>14.4</v>
      </c>
      <c r="D90">
        <v>4</v>
      </c>
      <c r="E90">
        <v>0</v>
      </c>
      <c r="F90">
        <f t="shared" si="1"/>
        <v>57.6</v>
      </c>
      <c r="G90">
        <f>YEAR(VLOOKUP(A90,orders!A:D,4,0))</f>
        <v>2013</v>
      </c>
      <c r="H90">
        <f>MONTH(INDEX(orders!D:D,MATCH(A90, orders!A:A,0)))</f>
        <v>8</v>
      </c>
      <c r="I90" t="str">
        <f>VLOOKUP(VLOOKUP(B90,products!A:F,6,0),categories!A:B,2,0)</f>
        <v>Beverages</v>
      </c>
      <c r="J90" t="str">
        <f>VLOOKUP(VLOOKUP(A90,orders!A:B,2,0),customers!A:F,6,0)</f>
        <v>Spain</v>
      </c>
      <c r="K90" t="str">
        <f>VLOOKUP(VLOOKUP(A90,orders!A:C,3,0),employees!A:B,2,0)</f>
        <v>Margaret Peacock</v>
      </c>
    </row>
    <row r="91" spans="1:11" x14ac:dyDescent="0.25">
      <c r="A91">
        <v>10282</v>
      </c>
      <c r="B91">
        <v>30</v>
      </c>
      <c r="C91">
        <v>20.7</v>
      </c>
      <c r="D91">
        <v>6</v>
      </c>
      <c r="E91">
        <v>0</v>
      </c>
      <c r="F91">
        <f t="shared" si="1"/>
        <v>124.19999999999999</v>
      </c>
      <c r="G91">
        <f>YEAR(VLOOKUP(A91,orders!A:D,4,0))</f>
        <v>2013</v>
      </c>
      <c r="H91">
        <f>MONTH(INDEX(orders!D:D,MATCH(A91, orders!A:A,0)))</f>
        <v>8</v>
      </c>
      <c r="I91" t="str">
        <f>VLOOKUP(VLOOKUP(B91,products!A:F,6,0),categories!A:B,2,0)</f>
        <v>Seafood</v>
      </c>
      <c r="J91" t="str">
        <f>VLOOKUP(VLOOKUP(A91,orders!A:B,2,0),customers!A:F,6,0)</f>
        <v>Spain</v>
      </c>
      <c r="K91" t="str">
        <f>VLOOKUP(VLOOKUP(A91,orders!A:C,3,0),employees!A:B,2,0)</f>
        <v>Margaret Peacock</v>
      </c>
    </row>
    <row r="92" spans="1:11" x14ac:dyDescent="0.25">
      <c r="A92">
        <v>10282</v>
      </c>
      <c r="B92">
        <v>57</v>
      </c>
      <c r="C92">
        <v>15.6</v>
      </c>
      <c r="D92">
        <v>2</v>
      </c>
      <c r="E92">
        <v>0</v>
      </c>
      <c r="F92">
        <f t="shared" si="1"/>
        <v>31.2</v>
      </c>
      <c r="G92">
        <f>YEAR(VLOOKUP(A92,orders!A:D,4,0))</f>
        <v>2013</v>
      </c>
      <c r="H92">
        <f>MONTH(INDEX(orders!D:D,MATCH(A92, orders!A:A,0)))</f>
        <v>8</v>
      </c>
      <c r="I92" t="str">
        <f>VLOOKUP(VLOOKUP(B92,products!A:F,6,0),categories!A:B,2,0)</f>
        <v>Grains &amp; Cereals</v>
      </c>
      <c r="J92" t="str">
        <f>VLOOKUP(VLOOKUP(A92,orders!A:B,2,0),customers!A:F,6,0)</f>
        <v>Spain</v>
      </c>
      <c r="K92" t="str">
        <f>VLOOKUP(VLOOKUP(A92,orders!A:C,3,0),employees!A:B,2,0)</f>
        <v>Margaret Peacock</v>
      </c>
    </row>
    <row r="93" spans="1:11" x14ac:dyDescent="0.25">
      <c r="A93">
        <v>10283</v>
      </c>
      <c r="B93">
        <v>15</v>
      </c>
      <c r="C93">
        <v>12.4</v>
      </c>
      <c r="D93">
        <v>20</v>
      </c>
      <c r="E93">
        <v>0</v>
      </c>
      <c r="F93">
        <f t="shared" si="1"/>
        <v>248</v>
      </c>
      <c r="G93">
        <f>YEAR(VLOOKUP(A93,orders!A:D,4,0))</f>
        <v>2013</v>
      </c>
      <c r="H93">
        <f>MONTH(INDEX(orders!D:D,MATCH(A93, orders!A:A,0)))</f>
        <v>8</v>
      </c>
      <c r="I93" t="str">
        <f>VLOOKUP(VLOOKUP(B93,products!A:F,6,0),categories!A:B,2,0)</f>
        <v>Condiments</v>
      </c>
      <c r="J93" t="str">
        <f>VLOOKUP(VLOOKUP(A93,orders!A:B,2,0),customers!A:F,6,0)</f>
        <v>Venezuela</v>
      </c>
      <c r="K93" t="str">
        <f>VLOOKUP(VLOOKUP(A93,orders!A:C,3,0),employees!A:B,2,0)</f>
        <v>Janet Leverling</v>
      </c>
    </row>
    <row r="94" spans="1:11" x14ac:dyDescent="0.25">
      <c r="A94">
        <v>10283</v>
      </c>
      <c r="B94">
        <v>19</v>
      </c>
      <c r="C94">
        <v>7.3</v>
      </c>
      <c r="D94">
        <v>18</v>
      </c>
      <c r="E94">
        <v>0</v>
      </c>
      <c r="F94">
        <f t="shared" si="1"/>
        <v>131.4</v>
      </c>
      <c r="G94">
        <f>YEAR(VLOOKUP(A94,orders!A:D,4,0))</f>
        <v>2013</v>
      </c>
      <c r="H94">
        <f>MONTH(INDEX(orders!D:D,MATCH(A94, orders!A:A,0)))</f>
        <v>8</v>
      </c>
      <c r="I94" t="str">
        <f>VLOOKUP(VLOOKUP(B94,products!A:F,6,0),categories!A:B,2,0)</f>
        <v>Confections</v>
      </c>
      <c r="J94" t="str">
        <f>VLOOKUP(VLOOKUP(A94,orders!A:B,2,0),customers!A:F,6,0)</f>
        <v>Venezuela</v>
      </c>
      <c r="K94" t="str">
        <f>VLOOKUP(VLOOKUP(A94,orders!A:C,3,0),employees!A:B,2,0)</f>
        <v>Janet Leverling</v>
      </c>
    </row>
    <row r="95" spans="1:11" x14ac:dyDescent="0.25">
      <c r="A95">
        <v>10283</v>
      </c>
      <c r="B95">
        <v>60</v>
      </c>
      <c r="C95">
        <v>27.2</v>
      </c>
      <c r="D95">
        <v>35</v>
      </c>
      <c r="E95">
        <v>0</v>
      </c>
      <c r="F95">
        <f t="shared" si="1"/>
        <v>952</v>
      </c>
      <c r="G95">
        <f>YEAR(VLOOKUP(A95,orders!A:D,4,0))</f>
        <v>2013</v>
      </c>
      <c r="H95">
        <f>MONTH(INDEX(orders!D:D,MATCH(A95, orders!A:A,0)))</f>
        <v>8</v>
      </c>
      <c r="I95" t="str">
        <f>VLOOKUP(VLOOKUP(B95,products!A:F,6,0),categories!A:B,2,0)</f>
        <v>Dairy Products</v>
      </c>
      <c r="J95" t="str">
        <f>VLOOKUP(VLOOKUP(A95,orders!A:B,2,0),customers!A:F,6,0)</f>
        <v>Venezuela</v>
      </c>
      <c r="K95" t="str">
        <f>VLOOKUP(VLOOKUP(A95,orders!A:C,3,0),employees!A:B,2,0)</f>
        <v>Janet Leverling</v>
      </c>
    </row>
    <row r="96" spans="1:11" x14ac:dyDescent="0.25">
      <c r="A96">
        <v>10283</v>
      </c>
      <c r="B96">
        <v>72</v>
      </c>
      <c r="C96">
        <v>27.8</v>
      </c>
      <c r="D96">
        <v>3</v>
      </c>
      <c r="E96">
        <v>0</v>
      </c>
      <c r="F96">
        <f t="shared" si="1"/>
        <v>83.4</v>
      </c>
      <c r="G96">
        <f>YEAR(VLOOKUP(A96,orders!A:D,4,0))</f>
        <v>2013</v>
      </c>
      <c r="H96">
        <f>MONTH(INDEX(orders!D:D,MATCH(A96, orders!A:A,0)))</f>
        <v>8</v>
      </c>
      <c r="I96" t="str">
        <f>VLOOKUP(VLOOKUP(B96,products!A:F,6,0),categories!A:B,2,0)</f>
        <v>Dairy Products</v>
      </c>
      <c r="J96" t="str">
        <f>VLOOKUP(VLOOKUP(A96,orders!A:B,2,0),customers!A:F,6,0)</f>
        <v>Venezuela</v>
      </c>
      <c r="K96" t="str">
        <f>VLOOKUP(VLOOKUP(A96,orders!A:C,3,0),employees!A:B,2,0)</f>
        <v>Janet Leverling</v>
      </c>
    </row>
    <row r="97" spans="1:11" x14ac:dyDescent="0.25">
      <c r="A97">
        <v>10284</v>
      </c>
      <c r="B97">
        <v>27</v>
      </c>
      <c r="C97">
        <v>35.1</v>
      </c>
      <c r="D97">
        <v>15</v>
      </c>
      <c r="E97">
        <v>0.25</v>
      </c>
      <c r="F97">
        <f t="shared" si="1"/>
        <v>394.875</v>
      </c>
      <c r="G97">
        <f>YEAR(VLOOKUP(A97,orders!A:D,4,0))</f>
        <v>2013</v>
      </c>
      <c r="H97">
        <f>MONTH(INDEX(orders!D:D,MATCH(A97, orders!A:A,0)))</f>
        <v>8</v>
      </c>
      <c r="I97" t="str">
        <f>VLOOKUP(VLOOKUP(B97,products!A:F,6,0),categories!A:B,2,0)</f>
        <v>Confections</v>
      </c>
      <c r="J97" t="str">
        <f>VLOOKUP(VLOOKUP(A97,orders!A:B,2,0),customers!A:F,6,0)</f>
        <v>Germany</v>
      </c>
      <c r="K97" t="str">
        <f>VLOOKUP(VLOOKUP(A97,orders!A:C,3,0),employees!A:B,2,0)</f>
        <v>Margaret Peacock</v>
      </c>
    </row>
    <row r="98" spans="1:11" x14ac:dyDescent="0.25">
      <c r="A98">
        <v>10284</v>
      </c>
      <c r="B98">
        <v>44</v>
      </c>
      <c r="C98">
        <v>15.5</v>
      </c>
      <c r="D98">
        <v>21</v>
      </c>
      <c r="E98">
        <v>0</v>
      </c>
      <c r="F98">
        <f t="shared" si="1"/>
        <v>325.5</v>
      </c>
      <c r="G98">
        <f>YEAR(VLOOKUP(A98,orders!A:D,4,0))</f>
        <v>2013</v>
      </c>
      <c r="H98">
        <f>MONTH(INDEX(orders!D:D,MATCH(A98, orders!A:A,0)))</f>
        <v>8</v>
      </c>
      <c r="I98" t="str">
        <f>VLOOKUP(VLOOKUP(B98,products!A:F,6,0),categories!A:B,2,0)</f>
        <v>Condiments</v>
      </c>
      <c r="J98" t="str">
        <f>VLOOKUP(VLOOKUP(A98,orders!A:B,2,0),customers!A:F,6,0)</f>
        <v>Germany</v>
      </c>
      <c r="K98" t="str">
        <f>VLOOKUP(VLOOKUP(A98,orders!A:C,3,0),employees!A:B,2,0)</f>
        <v>Margaret Peacock</v>
      </c>
    </row>
    <row r="99" spans="1:11" x14ac:dyDescent="0.25">
      <c r="A99">
        <v>10284</v>
      </c>
      <c r="B99">
        <v>60</v>
      </c>
      <c r="C99">
        <v>27.2</v>
      </c>
      <c r="D99">
        <v>20</v>
      </c>
      <c r="E99">
        <v>0.25</v>
      </c>
      <c r="F99">
        <f t="shared" si="1"/>
        <v>408</v>
      </c>
      <c r="G99">
        <f>YEAR(VLOOKUP(A99,orders!A:D,4,0))</f>
        <v>2013</v>
      </c>
      <c r="H99">
        <f>MONTH(INDEX(orders!D:D,MATCH(A99, orders!A:A,0)))</f>
        <v>8</v>
      </c>
      <c r="I99" t="str">
        <f>VLOOKUP(VLOOKUP(B99,products!A:F,6,0),categories!A:B,2,0)</f>
        <v>Dairy Products</v>
      </c>
      <c r="J99" t="str">
        <f>VLOOKUP(VLOOKUP(A99,orders!A:B,2,0),customers!A:F,6,0)</f>
        <v>Germany</v>
      </c>
      <c r="K99" t="str">
        <f>VLOOKUP(VLOOKUP(A99,orders!A:C,3,0),employees!A:B,2,0)</f>
        <v>Margaret Peacock</v>
      </c>
    </row>
    <row r="100" spans="1:11" x14ac:dyDescent="0.25">
      <c r="A100">
        <v>10284</v>
      </c>
      <c r="B100">
        <v>67</v>
      </c>
      <c r="C100">
        <v>11.2</v>
      </c>
      <c r="D100">
        <v>5</v>
      </c>
      <c r="E100">
        <v>0.25</v>
      </c>
      <c r="F100">
        <f t="shared" si="1"/>
        <v>42</v>
      </c>
      <c r="G100">
        <f>YEAR(VLOOKUP(A100,orders!A:D,4,0))</f>
        <v>2013</v>
      </c>
      <c r="H100">
        <f>MONTH(INDEX(orders!D:D,MATCH(A100, orders!A:A,0)))</f>
        <v>8</v>
      </c>
      <c r="I100" t="str">
        <f>VLOOKUP(VLOOKUP(B100,products!A:F,6,0),categories!A:B,2,0)</f>
        <v>Beverages</v>
      </c>
      <c r="J100" t="str">
        <f>VLOOKUP(VLOOKUP(A100,orders!A:B,2,0),customers!A:F,6,0)</f>
        <v>Germany</v>
      </c>
      <c r="K100" t="str">
        <f>VLOOKUP(VLOOKUP(A100,orders!A:C,3,0),employees!A:B,2,0)</f>
        <v>Margaret Peacock</v>
      </c>
    </row>
    <row r="101" spans="1:11" x14ac:dyDescent="0.25">
      <c r="A101">
        <v>10285</v>
      </c>
      <c r="B101">
        <v>1</v>
      </c>
      <c r="C101">
        <v>14.4</v>
      </c>
      <c r="D101">
        <v>45</v>
      </c>
      <c r="E101">
        <v>0.2</v>
      </c>
      <c r="F101">
        <f t="shared" si="1"/>
        <v>518.4</v>
      </c>
      <c r="G101">
        <f>YEAR(VLOOKUP(A101,orders!A:D,4,0))</f>
        <v>2013</v>
      </c>
      <c r="H101">
        <f>MONTH(INDEX(orders!D:D,MATCH(A101, orders!A:A,0)))</f>
        <v>8</v>
      </c>
      <c r="I101" t="str">
        <f>VLOOKUP(VLOOKUP(B101,products!A:F,6,0),categories!A:B,2,0)</f>
        <v>Beverages</v>
      </c>
      <c r="J101" t="str">
        <f>VLOOKUP(VLOOKUP(A101,orders!A:B,2,0),customers!A:F,6,0)</f>
        <v>Germany</v>
      </c>
      <c r="K101" t="str">
        <f>VLOOKUP(VLOOKUP(A101,orders!A:C,3,0),employees!A:B,2,0)</f>
        <v>Nancy Davolio</v>
      </c>
    </row>
    <row r="102" spans="1:11" x14ac:dyDescent="0.25">
      <c r="A102">
        <v>10285</v>
      </c>
      <c r="B102">
        <v>40</v>
      </c>
      <c r="C102">
        <v>14.7</v>
      </c>
      <c r="D102">
        <v>40</v>
      </c>
      <c r="E102">
        <v>0.2</v>
      </c>
      <c r="F102">
        <f t="shared" si="1"/>
        <v>470.40000000000003</v>
      </c>
      <c r="G102">
        <f>YEAR(VLOOKUP(A102,orders!A:D,4,0))</f>
        <v>2013</v>
      </c>
      <c r="H102">
        <f>MONTH(INDEX(orders!D:D,MATCH(A102, orders!A:A,0)))</f>
        <v>8</v>
      </c>
      <c r="I102" t="str">
        <f>VLOOKUP(VLOOKUP(B102,products!A:F,6,0),categories!A:B,2,0)</f>
        <v>Seafood</v>
      </c>
      <c r="J102" t="str">
        <f>VLOOKUP(VLOOKUP(A102,orders!A:B,2,0),customers!A:F,6,0)</f>
        <v>Germany</v>
      </c>
      <c r="K102" t="str">
        <f>VLOOKUP(VLOOKUP(A102,orders!A:C,3,0),employees!A:B,2,0)</f>
        <v>Nancy Davolio</v>
      </c>
    </row>
    <row r="103" spans="1:11" x14ac:dyDescent="0.25">
      <c r="A103">
        <v>10285</v>
      </c>
      <c r="B103">
        <v>53</v>
      </c>
      <c r="C103">
        <v>26.2</v>
      </c>
      <c r="D103">
        <v>36</v>
      </c>
      <c r="E103">
        <v>0.2</v>
      </c>
      <c r="F103">
        <f t="shared" si="1"/>
        <v>754.56</v>
      </c>
      <c r="G103">
        <f>YEAR(VLOOKUP(A103,orders!A:D,4,0))</f>
        <v>2013</v>
      </c>
      <c r="H103">
        <f>MONTH(INDEX(orders!D:D,MATCH(A103, orders!A:A,0)))</f>
        <v>8</v>
      </c>
      <c r="I103" t="str">
        <f>VLOOKUP(VLOOKUP(B103,products!A:F,6,0),categories!A:B,2,0)</f>
        <v>Meat &amp; Poultry</v>
      </c>
      <c r="J103" t="str">
        <f>VLOOKUP(VLOOKUP(A103,orders!A:B,2,0),customers!A:F,6,0)</f>
        <v>Germany</v>
      </c>
      <c r="K103" t="str">
        <f>VLOOKUP(VLOOKUP(A103,orders!A:C,3,0),employees!A:B,2,0)</f>
        <v>Nancy Davolio</v>
      </c>
    </row>
    <row r="104" spans="1:11" x14ac:dyDescent="0.25">
      <c r="A104">
        <v>10286</v>
      </c>
      <c r="B104">
        <v>35</v>
      </c>
      <c r="C104">
        <v>14.4</v>
      </c>
      <c r="D104">
        <v>100</v>
      </c>
      <c r="E104">
        <v>0</v>
      </c>
      <c r="F104">
        <f t="shared" si="1"/>
        <v>1440</v>
      </c>
      <c r="G104">
        <f>YEAR(VLOOKUP(A104,orders!A:D,4,0))</f>
        <v>2013</v>
      </c>
      <c r="H104">
        <f>MONTH(INDEX(orders!D:D,MATCH(A104, orders!A:A,0)))</f>
        <v>8</v>
      </c>
      <c r="I104" t="str">
        <f>VLOOKUP(VLOOKUP(B104,products!A:F,6,0),categories!A:B,2,0)</f>
        <v>Beverages</v>
      </c>
      <c r="J104" t="str">
        <f>VLOOKUP(VLOOKUP(A104,orders!A:B,2,0),customers!A:F,6,0)</f>
        <v>Germany</v>
      </c>
      <c r="K104" t="str">
        <f>VLOOKUP(VLOOKUP(A104,orders!A:C,3,0),employees!A:B,2,0)</f>
        <v>Laura Callahan</v>
      </c>
    </row>
    <row r="105" spans="1:11" x14ac:dyDescent="0.25">
      <c r="A105">
        <v>10286</v>
      </c>
      <c r="B105">
        <v>62</v>
      </c>
      <c r="C105">
        <v>39.4</v>
      </c>
      <c r="D105">
        <v>40</v>
      </c>
      <c r="E105">
        <v>0</v>
      </c>
      <c r="F105">
        <f t="shared" si="1"/>
        <v>1576</v>
      </c>
      <c r="G105">
        <f>YEAR(VLOOKUP(A105,orders!A:D,4,0))</f>
        <v>2013</v>
      </c>
      <c r="H105">
        <f>MONTH(INDEX(orders!D:D,MATCH(A105, orders!A:A,0)))</f>
        <v>8</v>
      </c>
      <c r="I105" t="str">
        <f>VLOOKUP(VLOOKUP(B105,products!A:F,6,0),categories!A:B,2,0)</f>
        <v>Confections</v>
      </c>
      <c r="J105" t="str">
        <f>VLOOKUP(VLOOKUP(A105,orders!A:B,2,0),customers!A:F,6,0)</f>
        <v>Germany</v>
      </c>
      <c r="K105" t="str">
        <f>VLOOKUP(VLOOKUP(A105,orders!A:C,3,0),employees!A:B,2,0)</f>
        <v>Laura Callahan</v>
      </c>
    </row>
    <row r="106" spans="1:11" x14ac:dyDescent="0.25">
      <c r="A106">
        <v>10287</v>
      </c>
      <c r="B106">
        <v>16</v>
      </c>
      <c r="C106">
        <v>13.9</v>
      </c>
      <c r="D106">
        <v>40</v>
      </c>
      <c r="E106">
        <v>0.15</v>
      </c>
      <c r="F106">
        <f t="shared" si="1"/>
        <v>472.59999999999997</v>
      </c>
      <c r="G106">
        <f>YEAR(VLOOKUP(A106,orders!A:D,4,0))</f>
        <v>2013</v>
      </c>
      <c r="H106">
        <f>MONTH(INDEX(orders!D:D,MATCH(A106, orders!A:A,0)))</f>
        <v>8</v>
      </c>
      <c r="I106" t="str">
        <f>VLOOKUP(VLOOKUP(B106,products!A:F,6,0),categories!A:B,2,0)</f>
        <v>Confections</v>
      </c>
      <c r="J106" t="str">
        <f>VLOOKUP(VLOOKUP(A106,orders!A:B,2,0),customers!A:F,6,0)</f>
        <v>Brazil</v>
      </c>
      <c r="K106" t="str">
        <f>VLOOKUP(VLOOKUP(A106,orders!A:C,3,0),employees!A:B,2,0)</f>
        <v>Laura Callahan</v>
      </c>
    </row>
    <row r="107" spans="1:11" x14ac:dyDescent="0.25">
      <c r="A107">
        <v>10287</v>
      </c>
      <c r="B107">
        <v>34</v>
      </c>
      <c r="C107">
        <v>11.2</v>
      </c>
      <c r="D107">
        <v>20</v>
      </c>
      <c r="E107">
        <v>0</v>
      </c>
      <c r="F107">
        <f t="shared" si="1"/>
        <v>224</v>
      </c>
      <c r="G107">
        <f>YEAR(VLOOKUP(A107,orders!A:D,4,0))</f>
        <v>2013</v>
      </c>
      <c r="H107">
        <f>MONTH(INDEX(orders!D:D,MATCH(A107, orders!A:A,0)))</f>
        <v>8</v>
      </c>
      <c r="I107" t="str">
        <f>VLOOKUP(VLOOKUP(B107,products!A:F,6,0),categories!A:B,2,0)</f>
        <v>Beverages</v>
      </c>
      <c r="J107" t="str">
        <f>VLOOKUP(VLOOKUP(A107,orders!A:B,2,0),customers!A:F,6,0)</f>
        <v>Brazil</v>
      </c>
      <c r="K107" t="str">
        <f>VLOOKUP(VLOOKUP(A107,orders!A:C,3,0),employees!A:B,2,0)</f>
        <v>Laura Callahan</v>
      </c>
    </row>
    <row r="108" spans="1:11" x14ac:dyDescent="0.25">
      <c r="A108">
        <v>10287</v>
      </c>
      <c r="B108">
        <v>46</v>
      </c>
      <c r="C108">
        <v>9.6</v>
      </c>
      <c r="D108">
        <v>15</v>
      </c>
      <c r="E108">
        <v>0.15</v>
      </c>
      <c r="F108">
        <f t="shared" si="1"/>
        <v>122.39999999999999</v>
      </c>
      <c r="G108">
        <f>YEAR(VLOOKUP(A108,orders!A:D,4,0))</f>
        <v>2013</v>
      </c>
      <c r="H108">
        <f>MONTH(INDEX(orders!D:D,MATCH(A108, orders!A:A,0)))</f>
        <v>8</v>
      </c>
      <c r="I108" t="str">
        <f>VLOOKUP(VLOOKUP(B108,products!A:F,6,0),categories!A:B,2,0)</f>
        <v>Seafood</v>
      </c>
      <c r="J108" t="str">
        <f>VLOOKUP(VLOOKUP(A108,orders!A:B,2,0),customers!A:F,6,0)</f>
        <v>Brazil</v>
      </c>
      <c r="K108" t="str">
        <f>VLOOKUP(VLOOKUP(A108,orders!A:C,3,0),employees!A:B,2,0)</f>
        <v>Laura Callahan</v>
      </c>
    </row>
    <row r="109" spans="1:11" x14ac:dyDescent="0.25">
      <c r="A109">
        <v>10288</v>
      </c>
      <c r="B109">
        <v>54</v>
      </c>
      <c r="C109">
        <v>5.9</v>
      </c>
      <c r="D109">
        <v>10</v>
      </c>
      <c r="E109">
        <v>0.1</v>
      </c>
      <c r="F109">
        <f t="shared" si="1"/>
        <v>53.1</v>
      </c>
      <c r="G109">
        <f>YEAR(VLOOKUP(A109,orders!A:D,4,0))</f>
        <v>2013</v>
      </c>
      <c r="H109">
        <f>MONTH(INDEX(orders!D:D,MATCH(A109, orders!A:A,0)))</f>
        <v>8</v>
      </c>
      <c r="I109" t="str">
        <f>VLOOKUP(VLOOKUP(B109,products!A:F,6,0),categories!A:B,2,0)</f>
        <v>Meat &amp; Poultry</v>
      </c>
      <c r="J109" t="str">
        <f>VLOOKUP(VLOOKUP(A109,orders!A:B,2,0),customers!A:F,6,0)</f>
        <v>Italy</v>
      </c>
      <c r="K109" t="str">
        <f>VLOOKUP(VLOOKUP(A109,orders!A:C,3,0),employees!A:B,2,0)</f>
        <v>Margaret Peacock</v>
      </c>
    </row>
    <row r="110" spans="1:11" x14ac:dyDescent="0.25">
      <c r="A110">
        <v>10288</v>
      </c>
      <c r="B110">
        <v>68</v>
      </c>
      <c r="C110">
        <v>10</v>
      </c>
      <c r="D110">
        <v>3</v>
      </c>
      <c r="E110">
        <v>0.1</v>
      </c>
      <c r="F110">
        <f t="shared" si="1"/>
        <v>27</v>
      </c>
      <c r="G110">
        <f>YEAR(VLOOKUP(A110,orders!A:D,4,0))</f>
        <v>2013</v>
      </c>
      <c r="H110">
        <f>MONTH(INDEX(orders!D:D,MATCH(A110, orders!A:A,0)))</f>
        <v>8</v>
      </c>
      <c r="I110" t="str">
        <f>VLOOKUP(VLOOKUP(B110,products!A:F,6,0),categories!A:B,2,0)</f>
        <v>Confections</v>
      </c>
      <c r="J110" t="str">
        <f>VLOOKUP(VLOOKUP(A110,orders!A:B,2,0),customers!A:F,6,0)</f>
        <v>Italy</v>
      </c>
      <c r="K110" t="str">
        <f>VLOOKUP(VLOOKUP(A110,orders!A:C,3,0),employees!A:B,2,0)</f>
        <v>Margaret Peacock</v>
      </c>
    </row>
    <row r="111" spans="1:11" x14ac:dyDescent="0.25">
      <c r="A111">
        <v>10289</v>
      </c>
      <c r="B111">
        <v>3</v>
      </c>
      <c r="C111">
        <v>8</v>
      </c>
      <c r="D111">
        <v>30</v>
      </c>
      <c r="E111">
        <v>0</v>
      </c>
      <c r="F111">
        <f t="shared" si="1"/>
        <v>240</v>
      </c>
      <c r="G111">
        <f>YEAR(VLOOKUP(A111,orders!A:D,4,0))</f>
        <v>2013</v>
      </c>
      <c r="H111">
        <f>MONTH(INDEX(orders!D:D,MATCH(A111, orders!A:A,0)))</f>
        <v>8</v>
      </c>
      <c r="I111" t="str">
        <f>VLOOKUP(VLOOKUP(B111,products!A:F,6,0),categories!A:B,2,0)</f>
        <v>Condiments</v>
      </c>
      <c r="J111" t="str">
        <f>VLOOKUP(VLOOKUP(A111,orders!A:B,2,0),customers!A:F,6,0)</f>
        <v>UK</v>
      </c>
      <c r="K111" t="str">
        <f>VLOOKUP(VLOOKUP(A111,orders!A:C,3,0),employees!A:B,2,0)</f>
        <v>Robert King</v>
      </c>
    </row>
    <row r="112" spans="1:11" x14ac:dyDescent="0.25">
      <c r="A112">
        <v>10289</v>
      </c>
      <c r="B112">
        <v>64</v>
      </c>
      <c r="C112">
        <v>26.6</v>
      </c>
      <c r="D112">
        <v>9</v>
      </c>
      <c r="E112">
        <v>0</v>
      </c>
      <c r="F112">
        <f t="shared" si="1"/>
        <v>239.4</v>
      </c>
      <c r="G112">
        <f>YEAR(VLOOKUP(A112,orders!A:D,4,0))</f>
        <v>2013</v>
      </c>
      <c r="H112">
        <f>MONTH(INDEX(orders!D:D,MATCH(A112, orders!A:A,0)))</f>
        <v>8</v>
      </c>
      <c r="I112" t="str">
        <f>VLOOKUP(VLOOKUP(B112,products!A:F,6,0),categories!A:B,2,0)</f>
        <v>Grains &amp; Cereals</v>
      </c>
      <c r="J112" t="str">
        <f>VLOOKUP(VLOOKUP(A112,orders!A:B,2,0),customers!A:F,6,0)</f>
        <v>UK</v>
      </c>
      <c r="K112" t="str">
        <f>VLOOKUP(VLOOKUP(A112,orders!A:C,3,0),employees!A:B,2,0)</f>
        <v>Robert King</v>
      </c>
    </row>
    <row r="113" spans="1:11" x14ac:dyDescent="0.25">
      <c r="A113">
        <v>10290</v>
      </c>
      <c r="B113">
        <v>5</v>
      </c>
      <c r="C113">
        <v>17</v>
      </c>
      <c r="D113">
        <v>20</v>
      </c>
      <c r="E113">
        <v>0</v>
      </c>
      <c r="F113">
        <f t="shared" si="1"/>
        <v>340</v>
      </c>
      <c r="G113">
        <f>YEAR(VLOOKUP(A113,orders!A:D,4,0))</f>
        <v>2013</v>
      </c>
      <c r="H113">
        <f>MONTH(INDEX(orders!D:D,MATCH(A113, orders!A:A,0)))</f>
        <v>8</v>
      </c>
      <c r="I113" t="str">
        <f>VLOOKUP(VLOOKUP(B113,products!A:F,6,0),categories!A:B,2,0)</f>
        <v>Condiments</v>
      </c>
      <c r="J113" t="str">
        <f>VLOOKUP(VLOOKUP(A113,orders!A:B,2,0),customers!A:F,6,0)</f>
        <v>Brazil</v>
      </c>
      <c r="K113" t="str">
        <f>VLOOKUP(VLOOKUP(A113,orders!A:C,3,0),employees!A:B,2,0)</f>
        <v>Laura Callahan</v>
      </c>
    </row>
    <row r="114" spans="1:11" x14ac:dyDescent="0.25">
      <c r="A114">
        <v>10290</v>
      </c>
      <c r="B114">
        <v>29</v>
      </c>
      <c r="C114">
        <v>99</v>
      </c>
      <c r="D114">
        <v>15</v>
      </c>
      <c r="E114">
        <v>0</v>
      </c>
      <c r="F114">
        <f t="shared" si="1"/>
        <v>1485</v>
      </c>
      <c r="G114">
        <f>YEAR(VLOOKUP(A114,orders!A:D,4,0))</f>
        <v>2013</v>
      </c>
      <c r="H114">
        <f>MONTH(INDEX(orders!D:D,MATCH(A114, orders!A:A,0)))</f>
        <v>8</v>
      </c>
      <c r="I114" t="str">
        <f>VLOOKUP(VLOOKUP(B114,products!A:F,6,0),categories!A:B,2,0)</f>
        <v>Meat &amp; Poultry</v>
      </c>
      <c r="J114" t="str">
        <f>VLOOKUP(VLOOKUP(A114,orders!A:B,2,0),customers!A:F,6,0)</f>
        <v>Brazil</v>
      </c>
      <c r="K114" t="str">
        <f>VLOOKUP(VLOOKUP(A114,orders!A:C,3,0),employees!A:B,2,0)</f>
        <v>Laura Callahan</v>
      </c>
    </row>
    <row r="115" spans="1:11" x14ac:dyDescent="0.25">
      <c r="A115">
        <v>10290</v>
      </c>
      <c r="B115">
        <v>49</v>
      </c>
      <c r="C115">
        <v>16</v>
      </c>
      <c r="D115">
        <v>15</v>
      </c>
      <c r="E115">
        <v>0</v>
      </c>
      <c r="F115">
        <f t="shared" si="1"/>
        <v>240</v>
      </c>
      <c r="G115">
        <f>YEAR(VLOOKUP(A115,orders!A:D,4,0))</f>
        <v>2013</v>
      </c>
      <c r="H115">
        <f>MONTH(INDEX(orders!D:D,MATCH(A115, orders!A:A,0)))</f>
        <v>8</v>
      </c>
      <c r="I115" t="str">
        <f>VLOOKUP(VLOOKUP(B115,products!A:F,6,0),categories!A:B,2,0)</f>
        <v>Confections</v>
      </c>
      <c r="J115" t="str">
        <f>VLOOKUP(VLOOKUP(A115,orders!A:B,2,0),customers!A:F,6,0)</f>
        <v>Brazil</v>
      </c>
      <c r="K115" t="str">
        <f>VLOOKUP(VLOOKUP(A115,orders!A:C,3,0),employees!A:B,2,0)</f>
        <v>Laura Callahan</v>
      </c>
    </row>
    <row r="116" spans="1:11" x14ac:dyDescent="0.25">
      <c r="A116">
        <v>10290</v>
      </c>
      <c r="B116">
        <v>77</v>
      </c>
      <c r="C116">
        <v>10.4</v>
      </c>
      <c r="D116">
        <v>10</v>
      </c>
      <c r="E116">
        <v>0</v>
      </c>
      <c r="F116">
        <f t="shared" si="1"/>
        <v>104</v>
      </c>
      <c r="G116">
        <f>YEAR(VLOOKUP(A116,orders!A:D,4,0))</f>
        <v>2013</v>
      </c>
      <c r="H116">
        <f>MONTH(INDEX(orders!D:D,MATCH(A116, orders!A:A,0)))</f>
        <v>8</v>
      </c>
      <c r="I116" t="str">
        <f>VLOOKUP(VLOOKUP(B116,products!A:F,6,0),categories!A:B,2,0)</f>
        <v>Condiments</v>
      </c>
      <c r="J116" t="str">
        <f>VLOOKUP(VLOOKUP(A116,orders!A:B,2,0),customers!A:F,6,0)</f>
        <v>Brazil</v>
      </c>
      <c r="K116" t="str">
        <f>VLOOKUP(VLOOKUP(A116,orders!A:C,3,0),employees!A:B,2,0)</f>
        <v>Laura Callahan</v>
      </c>
    </row>
    <row r="117" spans="1:11" x14ac:dyDescent="0.25">
      <c r="A117">
        <v>10291</v>
      </c>
      <c r="B117">
        <v>13</v>
      </c>
      <c r="C117">
        <v>4.8</v>
      </c>
      <c r="D117">
        <v>20</v>
      </c>
      <c r="E117">
        <v>0.1</v>
      </c>
      <c r="F117">
        <f t="shared" si="1"/>
        <v>86.4</v>
      </c>
      <c r="G117">
        <f>YEAR(VLOOKUP(A117,orders!A:D,4,0))</f>
        <v>2013</v>
      </c>
      <c r="H117">
        <f>MONTH(INDEX(orders!D:D,MATCH(A117, orders!A:A,0)))</f>
        <v>8</v>
      </c>
      <c r="I117" t="str">
        <f>VLOOKUP(VLOOKUP(B117,products!A:F,6,0),categories!A:B,2,0)</f>
        <v>Seafood</v>
      </c>
      <c r="J117" t="str">
        <f>VLOOKUP(VLOOKUP(A117,orders!A:B,2,0),customers!A:F,6,0)</f>
        <v>Brazil</v>
      </c>
      <c r="K117" t="str">
        <f>VLOOKUP(VLOOKUP(A117,orders!A:C,3,0),employees!A:B,2,0)</f>
        <v>Michael Suyama</v>
      </c>
    </row>
    <row r="118" spans="1:11" x14ac:dyDescent="0.25">
      <c r="A118">
        <v>10291</v>
      </c>
      <c r="B118">
        <v>44</v>
      </c>
      <c r="C118">
        <v>15.5</v>
      </c>
      <c r="D118">
        <v>24</v>
      </c>
      <c r="E118">
        <v>0.1</v>
      </c>
      <c r="F118">
        <f t="shared" si="1"/>
        <v>334.8</v>
      </c>
      <c r="G118">
        <f>YEAR(VLOOKUP(A118,orders!A:D,4,0))</f>
        <v>2013</v>
      </c>
      <c r="H118">
        <f>MONTH(INDEX(orders!D:D,MATCH(A118, orders!A:A,0)))</f>
        <v>8</v>
      </c>
      <c r="I118" t="str">
        <f>VLOOKUP(VLOOKUP(B118,products!A:F,6,0),categories!A:B,2,0)</f>
        <v>Condiments</v>
      </c>
      <c r="J118" t="str">
        <f>VLOOKUP(VLOOKUP(A118,orders!A:B,2,0),customers!A:F,6,0)</f>
        <v>Brazil</v>
      </c>
      <c r="K118" t="str">
        <f>VLOOKUP(VLOOKUP(A118,orders!A:C,3,0),employees!A:B,2,0)</f>
        <v>Michael Suyama</v>
      </c>
    </row>
    <row r="119" spans="1:11" x14ac:dyDescent="0.25">
      <c r="A119">
        <v>10291</v>
      </c>
      <c r="B119">
        <v>51</v>
      </c>
      <c r="C119">
        <v>42.4</v>
      </c>
      <c r="D119">
        <v>2</v>
      </c>
      <c r="E119">
        <v>0.1</v>
      </c>
      <c r="F119">
        <f t="shared" si="1"/>
        <v>76.319999999999993</v>
      </c>
      <c r="G119">
        <f>YEAR(VLOOKUP(A119,orders!A:D,4,0))</f>
        <v>2013</v>
      </c>
      <c r="H119">
        <f>MONTH(INDEX(orders!D:D,MATCH(A119, orders!A:A,0)))</f>
        <v>8</v>
      </c>
      <c r="I119" t="str">
        <f>VLOOKUP(VLOOKUP(B119,products!A:F,6,0),categories!A:B,2,0)</f>
        <v>Produce</v>
      </c>
      <c r="J119" t="str">
        <f>VLOOKUP(VLOOKUP(A119,orders!A:B,2,0),customers!A:F,6,0)</f>
        <v>Brazil</v>
      </c>
      <c r="K119" t="str">
        <f>VLOOKUP(VLOOKUP(A119,orders!A:C,3,0),employees!A:B,2,0)</f>
        <v>Michael Suyama</v>
      </c>
    </row>
    <row r="120" spans="1:11" x14ac:dyDescent="0.25">
      <c r="A120">
        <v>10292</v>
      </c>
      <c r="B120">
        <v>20</v>
      </c>
      <c r="C120">
        <v>64.8</v>
      </c>
      <c r="D120">
        <v>20</v>
      </c>
      <c r="E120">
        <v>0</v>
      </c>
      <c r="F120">
        <f t="shared" si="1"/>
        <v>1296</v>
      </c>
      <c r="G120">
        <f>YEAR(VLOOKUP(A120,orders!A:D,4,0))</f>
        <v>2013</v>
      </c>
      <c r="H120">
        <f>MONTH(INDEX(orders!D:D,MATCH(A120, orders!A:A,0)))</f>
        <v>8</v>
      </c>
      <c r="I120" t="str">
        <f>VLOOKUP(VLOOKUP(B120,products!A:F,6,0),categories!A:B,2,0)</f>
        <v>Confections</v>
      </c>
      <c r="J120" t="str">
        <f>VLOOKUP(VLOOKUP(A120,orders!A:B,2,0),customers!A:F,6,0)</f>
        <v>Brazil</v>
      </c>
      <c r="K120" t="str">
        <f>VLOOKUP(VLOOKUP(A120,orders!A:C,3,0),employees!A:B,2,0)</f>
        <v>Nancy Davolio</v>
      </c>
    </row>
    <row r="121" spans="1:11" x14ac:dyDescent="0.25">
      <c r="A121">
        <v>10293</v>
      </c>
      <c r="B121">
        <v>18</v>
      </c>
      <c r="C121">
        <v>50</v>
      </c>
      <c r="D121">
        <v>12</v>
      </c>
      <c r="E121">
        <v>0</v>
      </c>
      <c r="F121">
        <f t="shared" si="1"/>
        <v>600</v>
      </c>
      <c r="G121">
        <f>YEAR(VLOOKUP(A121,orders!A:D,4,0))</f>
        <v>2013</v>
      </c>
      <c r="H121">
        <f>MONTH(INDEX(orders!D:D,MATCH(A121, orders!A:A,0)))</f>
        <v>8</v>
      </c>
      <c r="I121" t="str">
        <f>VLOOKUP(VLOOKUP(B121,products!A:F,6,0),categories!A:B,2,0)</f>
        <v>Seafood</v>
      </c>
      <c r="J121" t="str">
        <f>VLOOKUP(VLOOKUP(A121,orders!A:B,2,0),customers!A:F,6,0)</f>
        <v>Mexico</v>
      </c>
      <c r="K121" t="str">
        <f>VLOOKUP(VLOOKUP(A121,orders!A:C,3,0),employees!A:B,2,0)</f>
        <v>Nancy Davolio</v>
      </c>
    </row>
    <row r="122" spans="1:11" x14ac:dyDescent="0.25">
      <c r="A122">
        <v>10293</v>
      </c>
      <c r="B122">
        <v>24</v>
      </c>
      <c r="C122">
        <v>3.6</v>
      </c>
      <c r="D122">
        <v>10</v>
      </c>
      <c r="E122">
        <v>0</v>
      </c>
      <c r="F122">
        <f t="shared" si="1"/>
        <v>36</v>
      </c>
      <c r="G122">
        <f>YEAR(VLOOKUP(A122,orders!A:D,4,0))</f>
        <v>2013</v>
      </c>
      <c r="H122">
        <f>MONTH(INDEX(orders!D:D,MATCH(A122, orders!A:A,0)))</f>
        <v>8</v>
      </c>
      <c r="I122" t="str">
        <f>VLOOKUP(VLOOKUP(B122,products!A:F,6,0),categories!A:B,2,0)</f>
        <v>Beverages</v>
      </c>
      <c r="J122" t="str">
        <f>VLOOKUP(VLOOKUP(A122,orders!A:B,2,0),customers!A:F,6,0)</f>
        <v>Mexico</v>
      </c>
      <c r="K122" t="str">
        <f>VLOOKUP(VLOOKUP(A122,orders!A:C,3,0),employees!A:B,2,0)</f>
        <v>Nancy Davolio</v>
      </c>
    </row>
    <row r="123" spans="1:11" x14ac:dyDescent="0.25">
      <c r="A123">
        <v>10293</v>
      </c>
      <c r="B123">
        <v>63</v>
      </c>
      <c r="C123">
        <v>35.1</v>
      </c>
      <c r="D123">
        <v>5</v>
      </c>
      <c r="E123">
        <v>0</v>
      </c>
      <c r="F123">
        <f t="shared" si="1"/>
        <v>175.5</v>
      </c>
      <c r="G123">
        <f>YEAR(VLOOKUP(A123,orders!A:D,4,0))</f>
        <v>2013</v>
      </c>
      <c r="H123">
        <f>MONTH(INDEX(orders!D:D,MATCH(A123, orders!A:A,0)))</f>
        <v>8</v>
      </c>
      <c r="I123" t="str">
        <f>VLOOKUP(VLOOKUP(B123,products!A:F,6,0),categories!A:B,2,0)</f>
        <v>Condiments</v>
      </c>
      <c r="J123" t="str">
        <f>VLOOKUP(VLOOKUP(A123,orders!A:B,2,0),customers!A:F,6,0)</f>
        <v>Mexico</v>
      </c>
      <c r="K123" t="str">
        <f>VLOOKUP(VLOOKUP(A123,orders!A:C,3,0),employees!A:B,2,0)</f>
        <v>Nancy Davolio</v>
      </c>
    </row>
    <row r="124" spans="1:11" x14ac:dyDescent="0.25">
      <c r="A124">
        <v>10293</v>
      </c>
      <c r="B124">
        <v>75</v>
      </c>
      <c r="C124">
        <v>6.2</v>
      </c>
      <c r="D124">
        <v>6</v>
      </c>
      <c r="E124">
        <v>0</v>
      </c>
      <c r="F124">
        <f t="shared" si="1"/>
        <v>37.200000000000003</v>
      </c>
      <c r="G124">
        <f>YEAR(VLOOKUP(A124,orders!A:D,4,0))</f>
        <v>2013</v>
      </c>
      <c r="H124">
        <f>MONTH(INDEX(orders!D:D,MATCH(A124, orders!A:A,0)))</f>
        <v>8</v>
      </c>
      <c r="I124" t="str">
        <f>VLOOKUP(VLOOKUP(B124,products!A:F,6,0),categories!A:B,2,0)</f>
        <v>Beverages</v>
      </c>
      <c r="J124" t="str">
        <f>VLOOKUP(VLOOKUP(A124,orders!A:B,2,0),customers!A:F,6,0)</f>
        <v>Mexico</v>
      </c>
      <c r="K124" t="str">
        <f>VLOOKUP(VLOOKUP(A124,orders!A:C,3,0),employees!A:B,2,0)</f>
        <v>Nancy Davolio</v>
      </c>
    </row>
    <row r="125" spans="1:11" x14ac:dyDescent="0.25">
      <c r="A125">
        <v>10294</v>
      </c>
      <c r="B125">
        <v>1</v>
      </c>
      <c r="C125">
        <v>14.4</v>
      </c>
      <c r="D125">
        <v>18</v>
      </c>
      <c r="E125">
        <v>0</v>
      </c>
      <c r="F125">
        <f t="shared" si="1"/>
        <v>259.2</v>
      </c>
      <c r="G125">
        <f>YEAR(VLOOKUP(A125,orders!A:D,4,0))</f>
        <v>2013</v>
      </c>
      <c r="H125">
        <f>MONTH(INDEX(orders!D:D,MATCH(A125, orders!A:A,0)))</f>
        <v>8</v>
      </c>
      <c r="I125" t="str">
        <f>VLOOKUP(VLOOKUP(B125,products!A:F,6,0),categories!A:B,2,0)</f>
        <v>Beverages</v>
      </c>
      <c r="J125" t="str">
        <f>VLOOKUP(VLOOKUP(A125,orders!A:B,2,0),customers!A:F,6,0)</f>
        <v>USA</v>
      </c>
      <c r="K125" t="str">
        <f>VLOOKUP(VLOOKUP(A125,orders!A:C,3,0),employees!A:B,2,0)</f>
        <v>Margaret Peacock</v>
      </c>
    </row>
    <row r="126" spans="1:11" x14ac:dyDescent="0.25">
      <c r="A126">
        <v>10294</v>
      </c>
      <c r="B126">
        <v>17</v>
      </c>
      <c r="C126">
        <v>31.2</v>
      </c>
      <c r="D126">
        <v>15</v>
      </c>
      <c r="E126">
        <v>0</v>
      </c>
      <c r="F126">
        <f t="shared" si="1"/>
        <v>468</v>
      </c>
      <c r="G126">
        <f>YEAR(VLOOKUP(A126,orders!A:D,4,0))</f>
        <v>2013</v>
      </c>
      <c r="H126">
        <f>MONTH(INDEX(orders!D:D,MATCH(A126, orders!A:A,0)))</f>
        <v>8</v>
      </c>
      <c r="I126" t="str">
        <f>VLOOKUP(VLOOKUP(B126,products!A:F,6,0),categories!A:B,2,0)</f>
        <v>Meat &amp; Poultry</v>
      </c>
      <c r="J126" t="str">
        <f>VLOOKUP(VLOOKUP(A126,orders!A:B,2,0),customers!A:F,6,0)</f>
        <v>USA</v>
      </c>
      <c r="K126" t="str">
        <f>VLOOKUP(VLOOKUP(A126,orders!A:C,3,0),employees!A:B,2,0)</f>
        <v>Margaret Peacock</v>
      </c>
    </row>
    <row r="127" spans="1:11" x14ac:dyDescent="0.25">
      <c r="A127">
        <v>10294</v>
      </c>
      <c r="B127">
        <v>43</v>
      </c>
      <c r="C127">
        <v>36.799999999999997</v>
      </c>
      <c r="D127">
        <v>15</v>
      </c>
      <c r="E127">
        <v>0</v>
      </c>
      <c r="F127">
        <f t="shared" si="1"/>
        <v>552</v>
      </c>
      <c r="G127">
        <f>YEAR(VLOOKUP(A127,orders!A:D,4,0))</f>
        <v>2013</v>
      </c>
      <c r="H127">
        <f>MONTH(INDEX(orders!D:D,MATCH(A127, orders!A:A,0)))</f>
        <v>8</v>
      </c>
      <c r="I127" t="str">
        <f>VLOOKUP(VLOOKUP(B127,products!A:F,6,0),categories!A:B,2,0)</f>
        <v>Beverages</v>
      </c>
      <c r="J127" t="str">
        <f>VLOOKUP(VLOOKUP(A127,orders!A:B,2,0),customers!A:F,6,0)</f>
        <v>USA</v>
      </c>
      <c r="K127" t="str">
        <f>VLOOKUP(VLOOKUP(A127,orders!A:C,3,0),employees!A:B,2,0)</f>
        <v>Margaret Peacock</v>
      </c>
    </row>
    <row r="128" spans="1:11" x14ac:dyDescent="0.25">
      <c r="A128">
        <v>10294</v>
      </c>
      <c r="B128">
        <v>60</v>
      </c>
      <c r="C128">
        <v>27.2</v>
      </c>
      <c r="D128">
        <v>21</v>
      </c>
      <c r="E128">
        <v>0</v>
      </c>
      <c r="F128">
        <f t="shared" si="1"/>
        <v>571.19999999999993</v>
      </c>
      <c r="G128">
        <f>YEAR(VLOOKUP(A128,orders!A:D,4,0))</f>
        <v>2013</v>
      </c>
      <c r="H128">
        <f>MONTH(INDEX(orders!D:D,MATCH(A128, orders!A:A,0)))</f>
        <v>8</v>
      </c>
      <c r="I128" t="str">
        <f>VLOOKUP(VLOOKUP(B128,products!A:F,6,0),categories!A:B,2,0)</f>
        <v>Dairy Products</v>
      </c>
      <c r="J128" t="str">
        <f>VLOOKUP(VLOOKUP(A128,orders!A:B,2,0),customers!A:F,6,0)</f>
        <v>USA</v>
      </c>
      <c r="K128" t="str">
        <f>VLOOKUP(VLOOKUP(A128,orders!A:C,3,0),employees!A:B,2,0)</f>
        <v>Margaret Peacock</v>
      </c>
    </row>
    <row r="129" spans="1:11" x14ac:dyDescent="0.25">
      <c r="A129">
        <v>10294</v>
      </c>
      <c r="B129">
        <v>75</v>
      </c>
      <c r="C129">
        <v>6.2</v>
      </c>
      <c r="D129">
        <v>6</v>
      </c>
      <c r="E129">
        <v>0</v>
      </c>
      <c r="F129">
        <f t="shared" si="1"/>
        <v>37.200000000000003</v>
      </c>
      <c r="G129">
        <f>YEAR(VLOOKUP(A129,orders!A:D,4,0))</f>
        <v>2013</v>
      </c>
      <c r="H129">
        <f>MONTH(INDEX(orders!D:D,MATCH(A129, orders!A:A,0)))</f>
        <v>8</v>
      </c>
      <c r="I129" t="str">
        <f>VLOOKUP(VLOOKUP(B129,products!A:F,6,0),categories!A:B,2,0)</f>
        <v>Beverages</v>
      </c>
      <c r="J129" t="str">
        <f>VLOOKUP(VLOOKUP(A129,orders!A:B,2,0),customers!A:F,6,0)</f>
        <v>USA</v>
      </c>
      <c r="K129" t="str">
        <f>VLOOKUP(VLOOKUP(A129,orders!A:C,3,0),employees!A:B,2,0)</f>
        <v>Margaret Peacock</v>
      </c>
    </row>
    <row r="130" spans="1:11" x14ac:dyDescent="0.25">
      <c r="A130">
        <v>10295</v>
      </c>
      <c r="B130">
        <v>56</v>
      </c>
      <c r="C130">
        <v>30.4</v>
      </c>
      <c r="D130">
        <v>4</v>
      </c>
      <c r="E130">
        <v>0</v>
      </c>
      <c r="F130">
        <f t="shared" si="1"/>
        <v>121.6</v>
      </c>
      <c r="G130">
        <f>YEAR(VLOOKUP(A130,orders!A:D,4,0))</f>
        <v>2013</v>
      </c>
      <c r="H130">
        <f>MONTH(INDEX(orders!D:D,MATCH(A130, orders!A:A,0)))</f>
        <v>9</v>
      </c>
      <c r="I130" t="str">
        <f>VLOOKUP(VLOOKUP(B130,products!A:F,6,0),categories!A:B,2,0)</f>
        <v>Grains &amp; Cereals</v>
      </c>
      <c r="J130" t="str">
        <f>VLOOKUP(VLOOKUP(A130,orders!A:B,2,0),customers!A:F,6,0)</f>
        <v>France</v>
      </c>
      <c r="K130" t="str">
        <f>VLOOKUP(VLOOKUP(A130,orders!A:C,3,0),employees!A:B,2,0)</f>
        <v>Andrew Fuller</v>
      </c>
    </row>
    <row r="131" spans="1:11" x14ac:dyDescent="0.25">
      <c r="A131">
        <v>10296</v>
      </c>
      <c r="B131">
        <v>11</v>
      </c>
      <c r="C131">
        <v>16.8</v>
      </c>
      <c r="D131">
        <v>12</v>
      </c>
      <c r="E131">
        <v>0</v>
      </c>
      <c r="F131">
        <f t="shared" ref="F131:F194" si="2">C131*D131*(1-E131)</f>
        <v>201.60000000000002</v>
      </c>
      <c r="G131">
        <f>YEAR(VLOOKUP(A131,orders!A:D,4,0))</f>
        <v>2013</v>
      </c>
      <c r="H131">
        <f>MONTH(INDEX(orders!D:D,MATCH(A131, orders!A:A,0)))</f>
        <v>9</v>
      </c>
      <c r="I131" t="str">
        <f>VLOOKUP(VLOOKUP(B131,products!A:F,6,0),categories!A:B,2,0)</f>
        <v>Dairy Products</v>
      </c>
      <c r="J131" t="str">
        <f>VLOOKUP(VLOOKUP(A131,orders!A:B,2,0),customers!A:F,6,0)</f>
        <v>Venezuela</v>
      </c>
      <c r="K131" t="str">
        <f>VLOOKUP(VLOOKUP(A131,orders!A:C,3,0),employees!A:B,2,0)</f>
        <v>Michael Suyama</v>
      </c>
    </row>
    <row r="132" spans="1:11" x14ac:dyDescent="0.25">
      <c r="A132">
        <v>10296</v>
      </c>
      <c r="B132">
        <v>16</v>
      </c>
      <c r="C132">
        <v>13.9</v>
      </c>
      <c r="D132">
        <v>30</v>
      </c>
      <c r="E132">
        <v>0</v>
      </c>
      <c r="F132">
        <f t="shared" si="2"/>
        <v>417</v>
      </c>
      <c r="G132">
        <f>YEAR(VLOOKUP(A132,orders!A:D,4,0))</f>
        <v>2013</v>
      </c>
      <c r="H132">
        <f>MONTH(INDEX(orders!D:D,MATCH(A132, orders!A:A,0)))</f>
        <v>9</v>
      </c>
      <c r="I132" t="str">
        <f>VLOOKUP(VLOOKUP(B132,products!A:F,6,0),categories!A:B,2,0)</f>
        <v>Confections</v>
      </c>
      <c r="J132" t="str">
        <f>VLOOKUP(VLOOKUP(A132,orders!A:B,2,0),customers!A:F,6,0)</f>
        <v>Venezuela</v>
      </c>
      <c r="K132" t="str">
        <f>VLOOKUP(VLOOKUP(A132,orders!A:C,3,0),employees!A:B,2,0)</f>
        <v>Michael Suyama</v>
      </c>
    </row>
    <row r="133" spans="1:11" x14ac:dyDescent="0.25">
      <c r="A133">
        <v>10296</v>
      </c>
      <c r="B133">
        <v>69</v>
      </c>
      <c r="C133">
        <v>28.8</v>
      </c>
      <c r="D133">
        <v>15</v>
      </c>
      <c r="E133">
        <v>0</v>
      </c>
      <c r="F133">
        <f t="shared" si="2"/>
        <v>432</v>
      </c>
      <c r="G133">
        <f>YEAR(VLOOKUP(A133,orders!A:D,4,0))</f>
        <v>2013</v>
      </c>
      <c r="H133">
        <f>MONTH(INDEX(orders!D:D,MATCH(A133, orders!A:A,0)))</f>
        <v>9</v>
      </c>
      <c r="I133" t="str">
        <f>VLOOKUP(VLOOKUP(B133,products!A:F,6,0),categories!A:B,2,0)</f>
        <v>Dairy Products</v>
      </c>
      <c r="J133" t="str">
        <f>VLOOKUP(VLOOKUP(A133,orders!A:B,2,0),customers!A:F,6,0)</f>
        <v>Venezuela</v>
      </c>
      <c r="K133" t="str">
        <f>VLOOKUP(VLOOKUP(A133,orders!A:C,3,0),employees!A:B,2,0)</f>
        <v>Michael Suyama</v>
      </c>
    </row>
    <row r="134" spans="1:11" x14ac:dyDescent="0.25">
      <c r="A134">
        <v>10297</v>
      </c>
      <c r="B134">
        <v>39</v>
      </c>
      <c r="C134">
        <v>14.4</v>
      </c>
      <c r="D134">
        <v>60</v>
      </c>
      <c r="E134">
        <v>0</v>
      </c>
      <c r="F134">
        <f t="shared" si="2"/>
        <v>864</v>
      </c>
      <c r="G134">
        <f>YEAR(VLOOKUP(A134,orders!A:D,4,0))</f>
        <v>2013</v>
      </c>
      <c r="H134">
        <f>MONTH(INDEX(orders!D:D,MATCH(A134, orders!A:A,0)))</f>
        <v>9</v>
      </c>
      <c r="I134" t="str">
        <f>VLOOKUP(VLOOKUP(B134,products!A:F,6,0),categories!A:B,2,0)</f>
        <v>Beverages</v>
      </c>
      <c r="J134" t="str">
        <f>VLOOKUP(VLOOKUP(A134,orders!A:B,2,0),customers!A:F,6,0)</f>
        <v>France</v>
      </c>
      <c r="K134" t="str">
        <f>VLOOKUP(VLOOKUP(A134,orders!A:C,3,0),employees!A:B,2,0)</f>
        <v>Steven Buchanan</v>
      </c>
    </row>
    <row r="135" spans="1:11" x14ac:dyDescent="0.25">
      <c r="A135">
        <v>10297</v>
      </c>
      <c r="B135">
        <v>72</v>
      </c>
      <c r="C135">
        <v>27.8</v>
      </c>
      <c r="D135">
        <v>20</v>
      </c>
      <c r="E135">
        <v>0</v>
      </c>
      <c r="F135">
        <f t="shared" si="2"/>
        <v>556</v>
      </c>
      <c r="G135">
        <f>YEAR(VLOOKUP(A135,orders!A:D,4,0))</f>
        <v>2013</v>
      </c>
      <c r="H135">
        <f>MONTH(INDEX(orders!D:D,MATCH(A135, orders!A:A,0)))</f>
        <v>9</v>
      </c>
      <c r="I135" t="str">
        <f>VLOOKUP(VLOOKUP(B135,products!A:F,6,0),categories!A:B,2,0)</f>
        <v>Dairy Products</v>
      </c>
      <c r="J135" t="str">
        <f>VLOOKUP(VLOOKUP(A135,orders!A:B,2,0),customers!A:F,6,0)</f>
        <v>France</v>
      </c>
      <c r="K135" t="str">
        <f>VLOOKUP(VLOOKUP(A135,orders!A:C,3,0),employees!A:B,2,0)</f>
        <v>Steven Buchanan</v>
      </c>
    </row>
    <row r="136" spans="1:11" x14ac:dyDescent="0.25">
      <c r="A136">
        <v>10298</v>
      </c>
      <c r="B136">
        <v>2</v>
      </c>
      <c r="C136">
        <v>15.2</v>
      </c>
      <c r="D136">
        <v>40</v>
      </c>
      <c r="E136">
        <v>0</v>
      </c>
      <c r="F136">
        <f t="shared" si="2"/>
        <v>608</v>
      </c>
      <c r="G136">
        <f>YEAR(VLOOKUP(A136,orders!A:D,4,0))</f>
        <v>2013</v>
      </c>
      <c r="H136">
        <f>MONTH(INDEX(orders!D:D,MATCH(A136, orders!A:A,0)))</f>
        <v>9</v>
      </c>
      <c r="I136" t="str">
        <f>VLOOKUP(VLOOKUP(B136,products!A:F,6,0),categories!A:B,2,0)</f>
        <v>Beverages</v>
      </c>
      <c r="J136" t="str">
        <f>VLOOKUP(VLOOKUP(A136,orders!A:B,2,0),customers!A:F,6,0)</f>
        <v>Ireland</v>
      </c>
      <c r="K136" t="str">
        <f>VLOOKUP(VLOOKUP(A136,orders!A:C,3,0),employees!A:B,2,0)</f>
        <v>Michael Suyama</v>
      </c>
    </row>
    <row r="137" spans="1:11" x14ac:dyDescent="0.25">
      <c r="A137">
        <v>10298</v>
      </c>
      <c r="B137">
        <v>36</v>
      </c>
      <c r="C137">
        <v>15.2</v>
      </c>
      <c r="D137">
        <v>40</v>
      </c>
      <c r="E137">
        <v>0.25</v>
      </c>
      <c r="F137">
        <f t="shared" si="2"/>
        <v>456</v>
      </c>
      <c r="G137">
        <f>YEAR(VLOOKUP(A137,orders!A:D,4,0))</f>
        <v>2013</v>
      </c>
      <c r="H137">
        <f>MONTH(INDEX(orders!D:D,MATCH(A137, orders!A:A,0)))</f>
        <v>9</v>
      </c>
      <c r="I137" t="str">
        <f>VLOOKUP(VLOOKUP(B137,products!A:F,6,0),categories!A:B,2,0)</f>
        <v>Seafood</v>
      </c>
      <c r="J137" t="str">
        <f>VLOOKUP(VLOOKUP(A137,orders!A:B,2,0),customers!A:F,6,0)</f>
        <v>Ireland</v>
      </c>
      <c r="K137" t="str">
        <f>VLOOKUP(VLOOKUP(A137,orders!A:C,3,0),employees!A:B,2,0)</f>
        <v>Michael Suyama</v>
      </c>
    </row>
    <row r="138" spans="1:11" x14ac:dyDescent="0.25">
      <c r="A138">
        <v>10298</v>
      </c>
      <c r="B138">
        <v>59</v>
      </c>
      <c r="C138">
        <v>44</v>
      </c>
      <c r="D138">
        <v>30</v>
      </c>
      <c r="E138">
        <v>0.25</v>
      </c>
      <c r="F138">
        <f t="shared" si="2"/>
        <v>990</v>
      </c>
      <c r="G138">
        <f>YEAR(VLOOKUP(A138,orders!A:D,4,0))</f>
        <v>2013</v>
      </c>
      <c r="H138">
        <f>MONTH(INDEX(orders!D:D,MATCH(A138, orders!A:A,0)))</f>
        <v>9</v>
      </c>
      <c r="I138" t="str">
        <f>VLOOKUP(VLOOKUP(B138,products!A:F,6,0),categories!A:B,2,0)</f>
        <v>Dairy Products</v>
      </c>
      <c r="J138" t="str">
        <f>VLOOKUP(VLOOKUP(A138,orders!A:B,2,0),customers!A:F,6,0)</f>
        <v>Ireland</v>
      </c>
      <c r="K138" t="str">
        <f>VLOOKUP(VLOOKUP(A138,orders!A:C,3,0),employees!A:B,2,0)</f>
        <v>Michael Suyama</v>
      </c>
    </row>
    <row r="139" spans="1:11" x14ac:dyDescent="0.25">
      <c r="A139">
        <v>10298</v>
      </c>
      <c r="B139">
        <v>62</v>
      </c>
      <c r="C139">
        <v>39.4</v>
      </c>
      <c r="D139">
        <v>15</v>
      </c>
      <c r="E139">
        <v>0</v>
      </c>
      <c r="F139">
        <f t="shared" si="2"/>
        <v>591</v>
      </c>
      <c r="G139">
        <f>YEAR(VLOOKUP(A139,orders!A:D,4,0))</f>
        <v>2013</v>
      </c>
      <c r="H139">
        <f>MONTH(INDEX(orders!D:D,MATCH(A139, orders!A:A,0)))</f>
        <v>9</v>
      </c>
      <c r="I139" t="str">
        <f>VLOOKUP(VLOOKUP(B139,products!A:F,6,0),categories!A:B,2,0)</f>
        <v>Confections</v>
      </c>
      <c r="J139" t="str">
        <f>VLOOKUP(VLOOKUP(A139,orders!A:B,2,0),customers!A:F,6,0)</f>
        <v>Ireland</v>
      </c>
      <c r="K139" t="str">
        <f>VLOOKUP(VLOOKUP(A139,orders!A:C,3,0),employees!A:B,2,0)</f>
        <v>Michael Suyama</v>
      </c>
    </row>
    <row r="140" spans="1:11" x14ac:dyDescent="0.25">
      <c r="A140">
        <v>10299</v>
      </c>
      <c r="B140">
        <v>19</v>
      </c>
      <c r="C140">
        <v>7.3</v>
      </c>
      <c r="D140">
        <v>15</v>
      </c>
      <c r="E140">
        <v>0</v>
      </c>
      <c r="F140">
        <f t="shared" si="2"/>
        <v>109.5</v>
      </c>
      <c r="G140">
        <f>YEAR(VLOOKUP(A140,orders!A:D,4,0))</f>
        <v>2013</v>
      </c>
      <c r="H140">
        <f>MONTH(INDEX(orders!D:D,MATCH(A140, orders!A:A,0)))</f>
        <v>9</v>
      </c>
      <c r="I140" t="str">
        <f>VLOOKUP(VLOOKUP(B140,products!A:F,6,0),categories!A:B,2,0)</f>
        <v>Confections</v>
      </c>
      <c r="J140" t="str">
        <f>VLOOKUP(VLOOKUP(A140,orders!A:B,2,0),customers!A:F,6,0)</f>
        <v>Brazil</v>
      </c>
      <c r="K140" t="str">
        <f>VLOOKUP(VLOOKUP(A140,orders!A:C,3,0),employees!A:B,2,0)</f>
        <v>Margaret Peacock</v>
      </c>
    </row>
    <row r="141" spans="1:11" x14ac:dyDescent="0.25">
      <c r="A141">
        <v>10299</v>
      </c>
      <c r="B141">
        <v>70</v>
      </c>
      <c r="C141">
        <v>12</v>
      </c>
      <c r="D141">
        <v>20</v>
      </c>
      <c r="E141">
        <v>0</v>
      </c>
      <c r="F141">
        <f t="shared" si="2"/>
        <v>240</v>
      </c>
      <c r="G141">
        <f>YEAR(VLOOKUP(A141,orders!A:D,4,0))</f>
        <v>2013</v>
      </c>
      <c r="H141">
        <f>MONTH(INDEX(orders!D:D,MATCH(A141, orders!A:A,0)))</f>
        <v>9</v>
      </c>
      <c r="I141" t="str">
        <f>VLOOKUP(VLOOKUP(B141,products!A:F,6,0),categories!A:B,2,0)</f>
        <v>Beverages</v>
      </c>
      <c r="J141" t="str">
        <f>VLOOKUP(VLOOKUP(A141,orders!A:B,2,0),customers!A:F,6,0)</f>
        <v>Brazil</v>
      </c>
      <c r="K141" t="str">
        <f>VLOOKUP(VLOOKUP(A141,orders!A:C,3,0),employees!A:B,2,0)</f>
        <v>Margaret Peacock</v>
      </c>
    </row>
    <row r="142" spans="1:11" x14ac:dyDescent="0.25">
      <c r="A142">
        <v>10300</v>
      </c>
      <c r="B142">
        <v>66</v>
      </c>
      <c r="C142">
        <v>13.6</v>
      </c>
      <c r="D142">
        <v>30</v>
      </c>
      <c r="E142">
        <v>0</v>
      </c>
      <c r="F142">
        <f t="shared" si="2"/>
        <v>408</v>
      </c>
      <c r="G142">
        <f>YEAR(VLOOKUP(A142,orders!A:D,4,0))</f>
        <v>2013</v>
      </c>
      <c r="H142">
        <f>MONTH(INDEX(orders!D:D,MATCH(A142, orders!A:A,0)))</f>
        <v>9</v>
      </c>
      <c r="I142" t="str">
        <f>VLOOKUP(VLOOKUP(B142,products!A:F,6,0),categories!A:B,2,0)</f>
        <v>Condiments</v>
      </c>
      <c r="J142" t="str">
        <f>VLOOKUP(VLOOKUP(A142,orders!A:B,2,0),customers!A:F,6,0)</f>
        <v>Italy</v>
      </c>
      <c r="K142" t="str">
        <f>VLOOKUP(VLOOKUP(A142,orders!A:C,3,0),employees!A:B,2,0)</f>
        <v>Andrew Fuller</v>
      </c>
    </row>
    <row r="143" spans="1:11" x14ac:dyDescent="0.25">
      <c r="A143">
        <v>10300</v>
      </c>
      <c r="B143">
        <v>68</v>
      </c>
      <c r="C143">
        <v>10</v>
      </c>
      <c r="D143">
        <v>20</v>
      </c>
      <c r="E143">
        <v>0</v>
      </c>
      <c r="F143">
        <f t="shared" si="2"/>
        <v>200</v>
      </c>
      <c r="G143">
        <f>YEAR(VLOOKUP(A143,orders!A:D,4,0))</f>
        <v>2013</v>
      </c>
      <c r="H143">
        <f>MONTH(INDEX(orders!D:D,MATCH(A143, orders!A:A,0)))</f>
        <v>9</v>
      </c>
      <c r="I143" t="str">
        <f>VLOOKUP(VLOOKUP(B143,products!A:F,6,0),categories!A:B,2,0)</f>
        <v>Confections</v>
      </c>
      <c r="J143" t="str">
        <f>VLOOKUP(VLOOKUP(A143,orders!A:B,2,0),customers!A:F,6,0)</f>
        <v>Italy</v>
      </c>
      <c r="K143" t="str">
        <f>VLOOKUP(VLOOKUP(A143,orders!A:C,3,0),employees!A:B,2,0)</f>
        <v>Andrew Fuller</v>
      </c>
    </row>
    <row r="144" spans="1:11" x14ac:dyDescent="0.25">
      <c r="A144">
        <v>10301</v>
      </c>
      <c r="B144">
        <v>40</v>
      </c>
      <c r="C144">
        <v>14.7</v>
      </c>
      <c r="D144">
        <v>10</v>
      </c>
      <c r="E144">
        <v>0</v>
      </c>
      <c r="F144">
        <f t="shared" si="2"/>
        <v>147</v>
      </c>
      <c r="G144">
        <f>YEAR(VLOOKUP(A144,orders!A:D,4,0))</f>
        <v>2013</v>
      </c>
      <c r="H144">
        <f>MONTH(INDEX(orders!D:D,MATCH(A144, orders!A:A,0)))</f>
        <v>9</v>
      </c>
      <c r="I144" t="str">
        <f>VLOOKUP(VLOOKUP(B144,products!A:F,6,0),categories!A:B,2,0)</f>
        <v>Seafood</v>
      </c>
      <c r="J144" t="str">
        <f>VLOOKUP(VLOOKUP(A144,orders!A:B,2,0),customers!A:F,6,0)</f>
        <v>Germany</v>
      </c>
      <c r="K144" t="str">
        <f>VLOOKUP(VLOOKUP(A144,orders!A:C,3,0),employees!A:B,2,0)</f>
        <v>Laura Callahan</v>
      </c>
    </row>
    <row r="145" spans="1:11" x14ac:dyDescent="0.25">
      <c r="A145">
        <v>10301</v>
      </c>
      <c r="B145">
        <v>56</v>
      </c>
      <c r="C145">
        <v>30.4</v>
      </c>
      <c r="D145">
        <v>20</v>
      </c>
      <c r="E145">
        <v>0</v>
      </c>
      <c r="F145">
        <f t="shared" si="2"/>
        <v>608</v>
      </c>
      <c r="G145">
        <f>YEAR(VLOOKUP(A145,orders!A:D,4,0))</f>
        <v>2013</v>
      </c>
      <c r="H145">
        <f>MONTH(INDEX(orders!D:D,MATCH(A145, orders!A:A,0)))</f>
        <v>9</v>
      </c>
      <c r="I145" t="str">
        <f>VLOOKUP(VLOOKUP(B145,products!A:F,6,0),categories!A:B,2,0)</f>
        <v>Grains &amp; Cereals</v>
      </c>
      <c r="J145" t="str">
        <f>VLOOKUP(VLOOKUP(A145,orders!A:B,2,0),customers!A:F,6,0)</f>
        <v>Germany</v>
      </c>
      <c r="K145" t="str">
        <f>VLOOKUP(VLOOKUP(A145,orders!A:C,3,0),employees!A:B,2,0)</f>
        <v>Laura Callahan</v>
      </c>
    </row>
    <row r="146" spans="1:11" x14ac:dyDescent="0.25">
      <c r="A146">
        <v>10302</v>
      </c>
      <c r="B146">
        <v>17</v>
      </c>
      <c r="C146">
        <v>31.2</v>
      </c>
      <c r="D146">
        <v>40</v>
      </c>
      <c r="E146">
        <v>0</v>
      </c>
      <c r="F146">
        <f t="shared" si="2"/>
        <v>1248</v>
      </c>
      <c r="G146">
        <f>YEAR(VLOOKUP(A146,orders!A:D,4,0))</f>
        <v>2013</v>
      </c>
      <c r="H146">
        <f>MONTH(INDEX(orders!D:D,MATCH(A146, orders!A:A,0)))</f>
        <v>9</v>
      </c>
      <c r="I146" t="str">
        <f>VLOOKUP(VLOOKUP(B146,products!A:F,6,0),categories!A:B,2,0)</f>
        <v>Meat &amp; Poultry</v>
      </c>
      <c r="J146" t="str">
        <f>VLOOKUP(VLOOKUP(A146,orders!A:B,2,0),customers!A:F,6,0)</f>
        <v>Belgium</v>
      </c>
      <c r="K146" t="str">
        <f>VLOOKUP(VLOOKUP(A146,orders!A:C,3,0),employees!A:B,2,0)</f>
        <v>Margaret Peacock</v>
      </c>
    </row>
    <row r="147" spans="1:11" x14ac:dyDescent="0.25">
      <c r="A147">
        <v>10302</v>
      </c>
      <c r="B147">
        <v>28</v>
      </c>
      <c r="C147">
        <v>36.4</v>
      </c>
      <c r="D147">
        <v>28</v>
      </c>
      <c r="E147">
        <v>0</v>
      </c>
      <c r="F147">
        <f t="shared" si="2"/>
        <v>1019.1999999999999</v>
      </c>
      <c r="G147">
        <f>YEAR(VLOOKUP(A147,orders!A:D,4,0))</f>
        <v>2013</v>
      </c>
      <c r="H147">
        <f>MONTH(INDEX(orders!D:D,MATCH(A147, orders!A:A,0)))</f>
        <v>9</v>
      </c>
      <c r="I147" t="str">
        <f>VLOOKUP(VLOOKUP(B147,products!A:F,6,0),categories!A:B,2,0)</f>
        <v>Produce</v>
      </c>
      <c r="J147" t="str">
        <f>VLOOKUP(VLOOKUP(A147,orders!A:B,2,0),customers!A:F,6,0)</f>
        <v>Belgium</v>
      </c>
      <c r="K147" t="str">
        <f>VLOOKUP(VLOOKUP(A147,orders!A:C,3,0),employees!A:B,2,0)</f>
        <v>Margaret Peacock</v>
      </c>
    </row>
    <row r="148" spans="1:11" x14ac:dyDescent="0.25">
      <c r="A148">
        <v>10302</v>
      </c>
      <c r="B148">
        <v>43</v>
      </c>
      <c r="C148">
        <v>36.799999999999997</v>
      </c>
      <c r="D148">
        <v>12</v>
      </c>
      <c r="E148">
        <v>0</v>
      </c>
      <c r="F148">
        <f t="shared" si="2"/>
        <v>441.59999999999997</v>
      </c>
      <c r="G148">
        <f>YEAR(VLOOKUP(A148,orders!A:D,4,0))</f>
        <v>2013</v>
      </c>
      <c r="H148">
        <f>MONTH(INDEX(orders!D:D,MATCH(A148, orders!A:A,0)))</f>
        <v>9</v>
      </c>
      <c r="I148" t="str">
        <f>VLOOKUP(VLOOKUP(B148,products!A:F,6,0),categories!A:B,2,0)</f>
        <v>Beverages</v>
      </c>
      <c r="J148" t="str">
        <f>VLOOKUP(VLOOKUP(A148,orders!A:B,2,0),customers!A:F,6,0)</f>
        <v>Belgium</v>
      </c>
      <c r="K148" t="str">
        <f>VLOOKUP(VLOOKUP(A148,orders!A:C,3,0),employees!A:B,2,0)</f>
        <v>Margaret Peacock</v>
      </c>
    </row>
    <row r="149" spans="1:11" x14ac:dyDescent="0.25">
      <c r="A149">
        <v>10303</v>
      </c>
      <c r="B149">
        <v>40</v>
      </c>
      <c r="C149">
        <v>14.7</v>
      </c>
      <c r="D149">
        <v>40</v>
      </c>
      <c r="E149">
        <v>0.1</v>
      </c>
      <c r="F149">
        <f t="shared" si="2"/>
        <v>529.20000000000005</v>
      </c>
      <c r="G149">
        <f>YEAR(VLOOKUP(A149,orders!A:D,4,0))</f>
        <v>2013</v>
      </c>
      <c r="H149">
        <f>MONTH(INDEX(orders!D:D,MATCH(A149, orders!A:A,0)))</f>
        <v>9</v>
      </c>
      <c r="I149" t="str">
        <f>VLOOKUP(VLOOKUP(B149,products!A:F,6,0),categories!A:B,2,0)</f>
        <v>Seafood</v>
      </c>
      <c r="J149" t="str">
        <f>VLOOKUP(VLOOKUP(A149,orders!A:B,2,0),customers!A:F,6,0)</f>
        <v>Spain</v>
      </c>
      <c r="K149" t="str">
        <f>VLOOKUP(VLOOKUP(A149,orders!A:C,3,0),employees!A:B,2,0)</f>
        <v>Robert King</v>
      </c>
    </row>
    <row r="150" spans="1:11" x14ac:dyDescent="0.25">
      <c r="A150">
        <v>10303</v>
      </c>
      <c r="B150">
        <v>65</v>
      </c>
      <c r="C150">
        <v>16.8</v>
      </c>
      <c r="D150">
        <v>30</v>
      </c>
      <c r="E150">
        <v>0.1</v>
      </c>
      <c r="F150">
        <f t="shared" si="2"/>
        <v>453.6</v>
      </c>
      <c r="G150">
        <f>YEAR(VLOOKUP(A150,orders!A:D,4,0))</f>
        <v>2013</v>
      </c>
      <c r="H150">
        <f>MONTH(INDEX(orders!D:D,MATCH(A150, orders!A:A,0)))</f>
        <v>9</v>
      </c>
      <c r="I150" t="str">
        <f>VLOOKUP(VLOOKUP(B150,products!A:F,6,0),categories!A:B,2,0)</f>
        <v>Condiments</v>
      </c>
      <c r="J150" t="str">
        <f>VLOOKUP(VLOOKUP(A150,orders!A:B,2,0),customers!A:F,6,0)</f>
        <v>Spain</v>
      </c>
      <c r="K150" t="str">
        <f>VLOOKUP(VLOOKUP(A150,orders!A:C,3,0),employees!A:B,2,0)</f>
        <v>Robert King</v>
      </c>
    </row>
    <row r="151" spans="1:11" x14ac:dyDescent="0.25">
      <c r="A151">
        <v>10303</v>
      </c>
      <c r="B151">
        <v>68</v>
      </c>
      <c r="C151">
        <v>10</v>
      </c>
      <c r="D151">
        <v>15</v>
      </c>
      <c r="E151">
        <v>0.1</v>
      </c>
      <c r="F151">
        <f t="shared" si="2"/>
        <v>135</v>
      </c>
      <c r="G151">
        <f>YEAR(VLOOKUP(A151,orders!A:D,4,0))</f>
        <v>2013</v>
      </c>
      <c r="H151">
        <f>MONTH(INDEX(orders!D:D,MATCH(A151, orders!A:A,0)))</f>
        <v>9</v>
      </c>
      <c r="I151" t="str">
        <f>VLOOKUP(VLOOKUP(B151,products!A:F,6,0),categories!A:B,2,0)</f>
        <v>Confections</v>
      </c>
      <c r="J151" t="str">
        <f>VLOOKUP(VLOOKUP(A151,orders!A:B,2,0),customers!A:F,6,0)</f>
        <v>Spain</v>
      </c>
      <c r="K151" t="str">
        <f>VLOOKUP(VLOOKUP(A151,orders!A:C,3,0),employees!A:B,2,0)</f>
        <v>Robert King</v>
      </c>
    </row>
    <row r="152" spans="1:11" x14ac:dyDescent="0.25">
      <c r="A152">
        <v>10304</v>
      </c>
      <c r="B152">
        <v>49</v>
      </c>
      <c r="C152">
        <v>16</v>
      </c>
      <c r="D152">
        <v>30</v>
      </c>
      <c r="E152">
        <v>0</v>
      </c>
      <c r="F152">
        <f t="shared" si="2"/>
        <v>480</v>
      </c>
      <c r="G152">
        <f>YEAR(VLOOKUP(A152,orders!A:D,4,0))</f>
        <v>2013</v>
      </c>
      <c r="H152">
        <f>MONTH(INDEX(orders!D:D,MATCH(A152, orders!A:A,0)))</f>
        <v>9</v>
      </c>
      <c r="I152" t="str">
        <f>VLOOKUP(VLOOKUP(B152,products!A:F,6,0),categories!A:B,2,0)</f>
        <v>Confections</v>
      </c>
      <c r="J152" t="str">
        <f>VLOOKUP(VLOOKUP(A152,orders!A:B,2,0),customers!A:F,6,0)</f>
        <v>Mexico</v>
      </c>
      <c r="K152" t="str">
        <f>VLOOKUP(VLOOKUP(A152,orders!A:C,3,0),employees!A:B,2,0)</f>
        <v>Nancy Davolio</v>
      </c>
    </row>
    <row r="153" spans="1:11" x14ac:dyDescent="0.25">
      <c r="A153">
        <v>10304</v>
      </c>
      <c r="B153">
        <v>59</v>
      </c>
      <c r="C153">
        <v>44</v>
      </c>
      <c r="D153">
        <v>10</v>
      </c>
      <c r="E153">
        <v>0</v>
      </c>
      <c r="F153">
        <f t="shared" si="2"/>
        <v>440</v>
      </c>
      <c r="G153">
        <f>YEAR(VLOOKUP(A153,orders!A:D,4,0))</f>
        <v>2013</v>
      </c>
      <c r="H153">
        <f>MONTH(INDEX(orders!D:D,MATCH(A153, orders!A:A,0)))</f>
        <v>9</v>
      </c>
      <c r="I153" t="str">
        <f>VLOOKUP(VLOOKUP(B153,products!A:F,6,0),categories!A:B,2,0)</f>
        <v>Dairy Products</v>
      </c>
      <c r="J153" t="str">
        <f>VLOOKUP(VLOOKUP(A153,orders!A:B,2,0),customers!A:F,6,0)</f>
        <v>Mexico</v>
      </c>
      <c r="K153" t="str">
        <f>VLOOKUP(VLOOKUP(A153,orders!A:C,3,0),employees!A:B,2,0)</f>
        <v>Nancy Davolio</v>
      </c>
    </row>
    <row r="154" spans="1:11" x14ac:dyDescent="0.25">
      <c r="A154">
        <v>10304</v>
      </c>
      <c r="B154">
        <v>71</v>
      </c>
      <c r="C154">
        <v>17.2</v>
      </c>
      <c r="D154">
        <v>2</v>
      </c>
      <c r="E154">
        <v>0</v>
      </c>
      <c r="F154">
        <f t="shared" si="2"/>
        <v>34.4</v>
      </c>
      <c r="G154">
        <f>YEAR(VLOOKUP(A154,orders!A:D,4,0))</f>
        <v>2013</v>
      </c>
      <c r="H154">
        <f>MONTH(INDEX(orders!D:D,MATCH(A154, orders!A:A,0)))</f>
        <v>9</v>
      </c>
      <c r="I154" t="str">
        <f>VLOOKUP(VLOOKUP(B154,products!A:F,6,0),categories!A:B,2,0)</f>
        <v>Dairy Products</v>
      </c>
      <c r="J154" t="str">
        <f>VLOOKUP(VLOOKUP(A154,orders!A:B,2,0),customers!A:F,6,0)</f>
        <v>Mexico</v>
      </c>
      <c r="K154" t="str">
        <f>VLOOKUP(VLOOKUP(A154,orders!A:C,3,0),employees!A:B,2,0)</f>
        <v>Nancy Davolio</v>
      </c>
    </row>
    <row r="155" spans="1:11" x14ac:dyDescent="0.25">
      <c r="A155">
        <v>10305</v>
      </c>
      <c r="B155">
        <v>18</v>
      </c>
      <c r="C155">
        <v>50</v>
      </c>
      <c r="D155">
        <v>25</v>
      </c>
      <c r="E155">
        <v>0.1</v>
      </c>
      <c r="F155">
        <f t="shared" si="2"/>
        <v>1125</v>
      </c>
      <c r="G155">
        <f>YEAR(VLOOKUP(A155,orders!A:D,4,0))</f>
        <v>2013</v>
      </c>
      <c r="H155">
        <f>MONTH(INDEX(orders!D:D,MATCH(A155, orders!A:A,0)))</f>
        <v>9</v>
      </c>
      <c r="I155" t="str">
        <f>VLOOKUP(VLOOKUP(B155,products!A:F,6,0),categories!A:B,2,0)</f>
        <v>Seafood</v>
      </c>
      <c r="J155" t="str">
        <f>VLOOKUP(VLOOKUP(A155,orders!A:B,2,0),customers!A:F,6,0)</f>
        <v>USA</v>
      </c>
      <c r="K155" t="str">
        <f>VLOOKUP(VLOOKUP(A155,orders!A:C,3,0),employees!A:B,2,0)</f>
        <v>Laura Callahan</v>
      </c>
    </row>
    <row r="156" spans="1:11" x14ac:dyDescent="0.25">
      <c r="A156">
        <v>10305</v>
      </c>
      <c r="B156">
        <v>29</v>
      </c>
      <c r="C156">
        <v>99</v>
      </c>
      <c r="D156">
        <v>25</v>
      </c>
      <c r="E156">
        <v>0.1</v>
      </c>
      <c r="F156">
        <f t="shared" si="2"/>
        <v>2227.5</v>
      </c>
      <c r="G156">
        <f>YEAR(VLOOKUP(A156,orders!A:D,4,0))</f>
        <v>2013</v>
      </c>
      <c r="H156">
        <f>MONTH(INDEX(orders!D:D,MATCH(A156, orders!A:A,0)))</f>
        <v>9</v>
      </c>
      <c r="I156" t="str">
        <f>VLOOKUP(VLOOKUP(B156,products!A:F,6,0),categories!A:B,2,0)</f>
        <v>Meat &amp; Poultry</v>
      </c>
      <c r="J156" t="str">
        <f>VLOOKUP(VLOOKUP(A156,orders!A:B,2,0),customers!A:F,6,0)</f>
        <v>USA</v>
      </c>
      <c r="K156" t="str">
        <f>VLOOKUP(VLOOKUP(A156,orders!A:C,3,0),employees!A:B,2,0)</f>
        <v>Laura Callahan</v>
      </c>
    </row>
    <row r="157" spans="1:11" x14ac:dyDescent="0.25">
      <c r="A157">
        <v>10305</v>
      </c>
      <c r="B157">
        <v>39</v>
      </c>
      <c r="C157">
        <v>14.4</v>
      </c>
      <c r="D157">
        <v>30</v>
      </c>
      <c r="E157">
        <v>0.1</v>
      </c>
      <c r="F157">
        <f t="shared" si="2"/>
        <v>388.8</v>
      </c>
      <c r="G157">
        <f>YEAR(VLOOKUP(A157,orders!A:D,4,0))</f>
        <v>2013</v>
      </c>
      <c r="H157">
        <f>MONTH(INDEX(orders!D:D,MATCH(A157, orders!A:A,0)))</f>
        <v>9</v>
      </c>
      <c r="I157" t="str">
        <f>VLOOKUP(VLOOKUP(B157,products!A:F,6,0),categories!A:B,2,0)</f>
        <v>Beverages</v>
      </c>
      <c r="J157" t="str">
        <f>VLOOKUP(VLOOKUP(A157,orders!A:B,2,0),customers!A:F,6,0)</f>
        <v>USA</v>
      </c>
      <c r="K157" t="str">
        <f>VLOOKUP(VLOOKUP(A157,orders!A:C,3,0),employees!A:B,2,0)</f>
        <v>Laura Callahan</v>
      </c>
    </row>
    <row r="158" spans="1:11" x14ac:dyDescent="0.25">
      <c r="A158">
        <v>10306</v>
      </c>
      <c r="B158">
        <v>30</v>
      </c>
      <c r="C158">
        <v>20.7</v>
      </c>
      <c r="D158">
        <v>10</v>
      </c>
      <c r="E158">
        <v>0</v>
      </c>
      <c r="F158">
        <f t="shared" si="2"/>
        <v>207</v>
      </c>
      <c r="G158">
        <f>YEAR(VLOOKUP(A158,orders!A:D,4,0))</f>
        <v>2013</v>
      </c>
      <c r="H158">
        <f>MONTH(INDEX(orders!D:D,MATCH(A158, orders!A:A,0)))</f>
        <v>9</v>
      </c>
      <c r="I158" t="str">
        <f>VLOOKUP(VLOOKUP(B158,products!A:F,6,0),categories!A:B,2,0)</f>
        <v>Seafood</v>
      </c>
      <c r="J158" t="str">
        <f>VLOOKUP(VLOOKUP(A158,orders!A:B,2,0),customers!A:F,6,0)</f>
        <v>Spain</v>
      </c>
      <c r="K158" t="str">
        <f>VLOOKUP(VLOOKUP(A158,orders!A:C,3,0),employees!A:B,2,0)</f>
        <v>Nancy Davolio</v>
      </c>
    </row>
    <row r="159" spans="1:11" x14ac:dyDescent="0.25">
      <c r="A159">
        <v>10306</v>
      </c>
      <c r="B159">
        <v>53</v>
      </c>
      <c r="C159">
        <v>26.2</v>
      </c>
      <c r="D159">
        <v>10</v>
      </c>
      <c r="E159">
        <v>0</v>
      </c>
      <c r="F159">
        <f t="shared" si="2"/>
        <v>262</v>
      </c>
      <c r="G159">
        <f>YEAR(VLOOKUP(A159,orders!A:D,4,0))</f>
        <v>2013</v>
      </c>
      <c r="H159">
        <f>MONTH(INDEX(orders!D:D,MATCH(A159, orders!A:A,0)))</f>
        <v>9</v>
      </c>
      <c r="I159" t="str">
        <f>VLOOKUP(VLOOKUP(B159,products!A:F,6,0),categories!A:B,2,0)</f>
        <v>Meat &amp; Poultry</v>
      </c>
      <c r="J159" t="str">
        <f>VLOOKUP(VLOOKUP(A159,orders!A:B,2,0),customers!A:F,6,0)</f>
        <v>Spain</v>
      </c>
      <c r="K159" t="str">
        <f>VLOOKUP(VLOOKUP(A159,orders!A:C,3,0),employees!A:B,2,0)</f>
        <v>Nancy Davolio</v>
      </c>
    </row>
    <row r="160" spans="1:11" x14ac:dyDescent="0.25">
      <c r="A160">
        <v>10306</v>
      </c>
      <c r="B160">
        <v>54</v>
      </c>
      <c r="C160">
        <v>5.9</v>
      </c>
      <c r="D160">
        <v>5</v>
      </c>
      <c r="E160">
        <v>0</v>
      </c>
      <c r="F160">
        <f t="shared" si="2"/>
        <v>29.5</v>
      </c>
      <c r="G160">
        <f>YEAR(VLOOKUP(A160,orders!A:D,4,0))</f>
        <v>2013</v>
      </c>
      <c r="H160">
        <f>MONTH(INDEX(orders!D:D,MATCH(A160, orders!A:A,0)))</f>
        <v>9</v>
      </c>
      <c r="I160" t="str">
        <f>VLOOKUP(VLOOKUP(B160,products!A:F,6,0),categories!A:B,2,0)</f>
        <v>Meat &amp; Poultry</v>
      </c>
      <c r="J160" t="str">
        <f>VLOOKUP(VLOOKUP(A160,orders!A:B,2,0),customers!A:F,6,0)</f>
        <v>Spain</v>
      </c>
      <c r="K160" t="str">
        <f>VLOOKUP(VLOOKUP(A160,orders!A:C,3,0),employees!A:B,2,0)</f>
        <v>Nancy Davolio</v>
      </c>
    </row>
    <row r="161" spans="1:11" x14ac:dyDescent="0.25">
      <c r="A161">
        <v>10307</v>
      </c>
      <c r="B161">
        <v>62</v>
      </c>
      <c r="C161">
        <v>39.4</v>
      </c>
      <c r="D161">
        <v>10</v>
      </c>
      <c r="E161">
        <v>0</v>
      </c>
      <c r="F161">
        <f t="shared" si="2"/>
        <v>394</v>
      </c>
      <c r="G161">
        <f>YEAR(VLOOKUP(A161,orders!A:D,4,0))</f>
        <v>2013</v>
      </c>
      <c r="H161">
        <f>MONTH(INDEX(orders!D:D,MATCH(A161, orders!A:A,0)))</f>
        <v>9</v>
      </c>
      <c r="I161" t="str">
        <f>VLOOKUP(VLOOKUP(B161,products!A:F,6,0),categories!A:B,2,0)</f>
        <v>Confections</v>
      </c>
      <c r="J161" t="str">
        <f>VLOOKUP(VLOOKUP(A161,orders!A:B,2,0),customers!A:F,6,0)</f>
        <v>USA</v>
      </c>
      <c r="K161" t="str">
        <f>VLOOKUP(VLOOKUP(A161,orders!A:C,3,0),employees!A:B,2,0)</f>
        <v>Andrew Fuller</v>
      </c>
    </row>
    <row r="162" spans="1:11" x14ac:dyDescent="0.25">
      <c r="A162">
        <v>10307</v>
      </c>
      <c r="B162">
        <v>68</v>
      </c>
      <c r="C162">
        <v>10</v>
      </c>
      <c r="D162">
        <v>3</v>
      </c>
      <c r="E162">
        <v>0</v>
      </c>
      <c r="F162">
        <f t="shared" si="2"/>
        <v>30</v>
      </c>
      <c r="G162">
        <f>YEAR(VLOOKUP(A162,orders!A:D,4,0))</f>
        <v>2013</v>
      </c>
      <c r="H162">
        <f>MONTH(INDEX(orders!D:D,MATCH(A162, orders!A:A,0)))</f>
        <v>9</v>
      </c>
      <c r="I162" t="str">
        <f>VLOOKUP(VLOOKUP(B162,products!A:F,6,0),categories!A:B,2,0)</f>
        <v>Confections</v>
      </c>
      <c r="J162" t="str">
        <f>VLOOKUP(VLOOKUP(A162,orders!A:B,2,0),customers!A:F,6,0)</f>
        <v>USA</v>
      </c>
      <c r="K162" t="str">
        <f>VLOOKUP(VLOOKUP(A162,orders!A:C,3,0),employees!A:B,2,0)</f>
        <v>Andrew Fuller</v>
      </c>
    </row>
    <row r="163" spans="1:11" x14ac:dyDescent="0.25">
      <c r="A163">
        <v>10308</v>
      </c>
      <c r="B163">
        <v>69</v>
      </c>
      <c r="C163">
        <v>28.8</v>
      </c>
      <c r="D163">
        <v>1</v>
      </c>
      <c r="E163">
        <v>0</v>
      </c>
      <c r="F163">
        <f t="shared" si="2"/>
        <v>28.8</v>
      </c>
      <c r="G163">
        <f>YEAR(VLOOKUP(A163,orders!A:D,4,0))</f>
        <v>2013</v>
      </c>
      <c r="H163">
        <f>MONTH(INDEX(orders!D:D,MATCH(A163, orders!A:A,0)))</f>
        <v>9</v>
      </c>
      <c r="I163" t="str">
        <f>VLOOKUP(VLOOKUP(B163,products!A:F,6,0),categories!A:B,2,0)</f>
        <v>Dairy Products</v>
      </c>
      <c r="J163" t="str">
        <f>VLOOKUP(VLOOKUP(A163,orders!A:B,2,0),customers!A:F,6,0)</f>
        <v>Mexico</v>
      </c>
      <c r="K163" t="str">
        <f>VLOOKUP(VLOOKUP(A163,orders!A:C,3,0),employees!A:B,2,0)</f>
        <v>Robert King</v>
      </c>
    </row>
    <row r="164" spans="1:11" x14ac:dyDescent="0.25">
      <c r="A164">
        <v>10308</v>
      </c>
      <c r="B164">
        <v>70</v>
      </c>
      <c r="C164">
        <v>12</v>
      </c>
      <c r="D164">
        <v>5</v>
      </c>
      <c r="E164">
        <v>0</v>
      </c>
      <c r="F164">
        <f t="shared" si="2"/>
        <v>60</v>
      </c>
      <c r="G164">
        <f>YEAR(VLOOKUP(A164,orders!A:D,4,0))</f>
        <v>2013</v>
      </c>
      <c r="H164">
        <f>MONTH(INDEX(orders!D:D,MATCH(A164, orders!A:A,0)))</f>
        <v>9</v>
      </c>
      <c r="I164" t="str">
        <f>VLOOKUP(VLOOKUP(B164,products!A:F,6,0),categories!A:B,2,0)</f>
        <v>Beverages</v>
      </c>
      <c r="J164" t="str">
        <f>VLOOKUP(VLOOKUP(A164,orders!A:B,2,0),customers!A:F,6,0)</f>
        <v>Mexico</v>
      </c>
      <c r="K164" t="str">
        <f>VLOOKUP(VLOOKUP(A164,orders!A:C,3,0),employees!A:B,2,0)</f>
        <v>Robert King</v>
      </c>
    </row>
    <row r="165" spans="1:11" x14ac:dyDescent="0.25">
      <c r="A165">
        <v>10309</v>
      </c>
      <c r="B165">
        <v>4</v>
      </c>
      <c r="C165">
        <v>17.600000000000001</v>
      </c>
      <c r="D165">
        <v>20</v>
      </c>
      <c r="E165">
        <v>0</v>
      </c>
      <c r="F165">
        <f t="shared" si="2"/>
        <v>352</v>
      </c>
      <c r="G165">
        <f>YEAR(VLOOKUP(A165,orders!A:D,4,0))</f>
        <v>2013</v>
      </c>
      <c r="H165">
        <f>MONTH(INDEX(orders!D:D,MATCH(A165, orders!A:A,0)))</f>
        <v>9</v>
      </c>
      <c r="I165" t="str">
        <f>VLOOKUP(VLOOKUP(B165,products!A:F,6,0),categories!A:B,2,0)</f>
        <v>Condiments</v>
      </c>
      <c r="J165" t="str">
        <f>VLOOKUP(VLOOKUP(A165,orders!A:B,2,0),customers!A:F,6,0)</f>
        <v>Ireland</v>
      </c>
      <c r="K165" t="str">
        <f>VLOOKUP(VLOOKUP(A165,orders!A:C,3,0),employees!A:B,2,0)</f>
        <v>Janet Leverling</v>
      </c>
    </row>
    <row r="166" spans="1:11" x14ac:dyDescent="0.25">
      <c r="A166">
        <v>10309</v>
      </c>
      <c r="B166">
        <v>6</v>
      </c>
      <c r="C166">
        <v>20</v>
      </c>
      <c r="D166">
        <v>30</v>
      </c>
      <c r="E166">
        <v>0</v>
      </c>
      <c r="F166">
        <f t="shared" si="2"/>
        <v>600</v>
      </c>
      <c r="G166">
        <f>YEAR(VLOOKUP(A166,orders!A:D,4,0))</f>
        <v>2013</v>
      </c>
      <c r="H166">
        <f>MONTH(INDEX(orders!D:D,MATCH(A166, orders!A:A,0)))</f>
        <v>9</v>
      </c>
      <c r="I166" t="str">
        <f>VLOOKUP(VLOOKUP(B166,products!A:F,6,0),categories!A:B,2,0)</f>
        <v>Condiments</v>
      </c>
      <c r="J166" t="str">
        <f>VLOOKUP(VLOOKUP(A166,orders!A:B,2,0),customers!A:F,6,0)</f>
        <v>Ireland</v>
      </c>
      <c r="K166" t="str">
        <f>VLOOKUP(VLOOKUP(A166,orders!A:C,3,0),employees!A:B,2,0)</f>
        <v>Janet Leverling</v>
      </c>
    </row>
    <row r="167" spans="1:11" x14ac:dyDescent="0.25">
      <c r="A167">
        <v>10309</v>
      </c>
      <c r="B167">
        <v>42</v>
      </c>
      <c r="C167">
        <v>11.2</v>
      </c>
      <c r="D167">
        <v>2</v>
      </c>
      <c r="E167">
        <v>0</v>
      </c>
      <c r="F167">
        <f t="shared" si="2"/>
        <v>22.4</v>
      </c>
      <c r="G167">
        <f>YEAR(VLOOKUP(A167,orders!A:D,4,0))</f>
        <v>2013</v>
      </c>
      <c r="H167">
        <f>MONTH(INDEX(orders!D:D,MATCH(A167, orders!A:A,0)))</f>
        <v>9</v>
      </c>
      <c r="I167" t="str">
        <f>VLOOKUP(VLOOKUP(B167,products!A:F,6,0),categories!A:B,2,0)</f>
        <v>Grains &amp; Cereals</v>
      </c>
      <c r="J167" t="str">
        <f>VLOOKUP(VLOOKUP(A167,orders!A:B,2,0),customers!A:F,6,0)</f>
        <v>Ireland</v>
      </c>
      <c r="K167" t="str">
        <f>VLOOKUP(VLOOKUP(A167,orders!A:C,3,0),employees!A:B,2,0)</f>
        <v>Janet Leverling</v>
      </c>
    </row>
    <row r="168" spans="1:11" x14ac:dyDescent="0.25">
      <c r="A168">
        <v>10309</v>
      </c>
      <c r="B168">
        <v>43</v>
      </c>
      <c r="C168">
        <v>36.799999999999997</v>
      </c>
      <c r="D168">
        <v>20</v>
      </c>
      <c r="E168">
        <v>0</v>
      </c>
      <c r="F168">
        <f t="shared" si="2"/>
        <v>736</v>
      </c>
      <c r="G168">
        <f>YEAR(VLOOKUP(A168,orders!A:D,4,0))</f>
        <v>2013</v>
      </c>
      <c r="H168">
        <f>MONTH(INDEX(orders!D:D,MATCH(A168, orders!A:A,0)))</f>
        <v>9</v>
      </c>
      <c r="I168" t="str">
        <f>VLOOKUP(VLOOKUP(B168,products!A:F,6,0),categories!A:B,2,0)</f>
        <v>Beverages</v>
      </c>
      <c r="J168" t="str">
        <f>VLOOKUP(VLOOKUP(A168,orders!A:B,2,0),customers!A:F,6,0)</f>
        <v>Ireland</v>
      </c>
      <c r="K168" t="str">
        <f>VLOOKUP(VLOOKUP(A168,orders!A:C,3,0),employees!A:B,2,0)</f>
        <v>Janet Leverling</v>
      </c>
    </row>
    <row r="169" spans="1:11" x14ac:dyDescent="0.25">
      <c r="A169">
        <v>10309</v>
      </c>
      <c r="B169">
        <v>71</v>
      </c>
      <c r="C169">
        <v>17.2</v>
      </c>
      <c r="D169">
        <v>3</v>
      </c>
      <c r="E169">
        <v>0</v>
      </c>
      <c r="F169">
        <f t="shared" si="2"/>
        <v>51.599999999999994</v>
      </c>
      <c r="G169">
        <f>YEAR(VLOOKUP(A169,orders!A:D,4,0))</f>
        <v>2013</v>
      </c>
      <c r="H169">
        <f>MONTH(INDEX(orders!D:D,MATCH(A169, orders!A:A,0)))</f>
        <v>9</v>
      </c>
      <c r="I169" t="str">
        <f>VLOOKUP(VLOOKUP(B169,products!A:F,6,0),categories!A:B,2,0)</f>
        <v>Dairy Products</v>
      </c>
      <c r="J169" t="str">
        <f>VLOOKUP(VLOOKUP(A169,orders!A:B,2,0),customers!A:F,6,0)</f>
        <v>Ireland</v>
      </c>
      <c r="K169" t="str">
        <f>VLOOKUP(VLOOKUP(A169,orders!A:C,3,0),employees!A:B,2,0)</f>
        <v>Janet Leverling</v>
      </c>
    </row>
    <row r="170" spans="1:11" x14ac:dyDescent="0.25">
      <c r="A170">
        <v>10310</v>
      </c>
      <c r="B170">
        <v>16</v>
      </c>
      <c r="C170">
        <v>13.9</v>
      </c>
      <c r="D170">
        <v>10</v>
      </c>
      <c r="E170">
        <v>0</v>
      </c>
      <c r="F170">
        <f t="shared" si="2"/>
        <v>139</v>
      </c>
      <c r="G170">
        <f>YEAR(VLOOKUP(A170,orders!A:D,4,0))</f>
        <v>2013</v>
      </c>
      <c r="H170">
        <f>MONTH(INDEX(orders!D:D,MATCH(A170, orders!A:A,0)))</f>
        <v>9</v>
      </c>
      <c r="I170" t="str">
        <f>VLOOKUP(VLOOKUP(B170,products!A:F,6,0),categories!A:B,2,0)</f>
        <v>Confections</v>
      </c>
      <c r="J170" t="str">
        <f>VLOOKUP(VLOOKUP(A170,orders!A:B,2,0),customers!A:F,6,0)</f>
        <v>USA</v>
      </c>
      <c r="K170" t="str">
        <f>VLOOKUP(VLOOKUP(A170,orders!A:C,3,0),employees!A:B,2,0)</f>
        <v>Laura Callahan</v>
      </c>
    </row>
    <row r="171" spans="1:11" x14ac:dyDescent="0.25">
      <c r="A171">
        <v>10310</v>
      </c>
      <c r="B171">
        <v>62</v>
      </c>
      <c r="C171">
        <v>39.4</v>
      </c>
      <c r="D171">
        <v>5</v>
      </c>
      <c r="E171">
        <v>0</v>
      </c>
      <c r="F171">
        <f t="shared" si="2"/>
        <v>197</v>
      </c>
      <c r="G171">
        <f>YEAR(VLOOKUP(A171,orders!A:D,4,0))</f>
        <v>2013</v>
      </c>
      <c r="H171">
        <f>MONTH(INDEX(orders!D:D,MATCH(A171, orders!A:A,0)))</f>
        <v>9</v>
      </c>
      <c r="I171" t="str">
        <f>VLOOKUP(VLOOKUP(B171,products!A:F,6,0),categories!A:B,2,0)</f>
        <v>Confections</v>
      </c>
      <c r="J171" t="str">
        <f>VLOOKUP(VLOOKUP(A171,orders!A:B,2,0),customers!A:F,6,0)</f>
        <v>USA</v>
      </c>
      <c r="K171" t="str">
        <f>VLOOKUP(VLOOKUP(A171,orders!A:C,3,0),employees!A:B,2,0)</f>
        <v>Laura Callahan</v>
      </c>
    </row>
    <row r="172" spans="1:11" x14ac:dyDescent="0.25">
      <c r="A172">
        <v>10311</v>
      </c>
      <c r="B172">
        <v>42</v>
      </c>
      <c r="C172">
        <v>11.2</v>
      </c>
      <c r="D172">
        <v>6</v>
      </c>
      <c r="E172">
        <v>0</v>
      </c>
      <c r="F172">
        <f t="shared" si="2"/>
        <v>67.199999999999989</v>
      </c>
      <c r="G172">
        <f>YEAR(VLOOKUP(A172,orders!A:D,4,0))</f>
        <v>2013</v>
      </c>
      <c r="H172">
        <f>MONTH(INDEX(orders!D:D,MATCH(A172, orders!A:A,0)))</f>
        <v>9</v>
      </c>
      <c r="I172" t="str">
        <f>VLOOKUP(VLOOKUP(B172,products!A:F,6,0),categories!A:B,2,0)</f>
        <v>Grains &amp; Cereals</v>
      </c>
      <c r="J172" t="str">
        <f>VLOOKUP(VLOOKUP(A172,orders!A:B,2,0),customers!A:F,6,0)</f>
        <v>France</v>
      </c>
      <c r="K172" t="str">
        <f>VLOOKUP(VLOOKUP(A172,orders!A:C,3,0),employees!A:B,2,0)</f>
        <v>Nancy Davolio</v>
      </c>
    </row>
    <row r="173" spans="1:11" x14ac:dyDescent="0.25">
      <c r="A173">
        <v>10311</v>
      </c>
      <c r="B173">
        <v>69</v>
      </c>
      <c r="C173">
        <v>28.8</v>
      </c>
      <c r="D173">
        <v>7</v>
      </c>
      <c r="E173">
        <v>0</v>
      </c>
      <c r="F173">
        <f t="shared" si="2"/>
        <v>201.6</v>
      </c>
      <c r="G173">
        <f>YEAR(VLOOKUP(A173,orders!A:D,4,0))</f>
        <v>2013</v>
      </c>
      <c r="H173">
        <f>MONTH(INDEX(orders!D:D,MATCH(A173, orders!A:A,0)))</f>
        <v>9</v>
      </c>
      <c r="I173" t="str">
        <f>VLOOKUP(VLOOKUP(B173,products!A:F,6,0),categories!A:B,2,0)</f>
        <v>Dairy Products</v>
      </c>
      <c r="J173" t="str">
        <f>VLOOKUP(VLOOKUP(A173,orders!A:B,2,0),customers!A:F,6,0)</f>
        <v>France</v>
      </c>
      <c r="K173" t="str">
        <f>VLOOKUP(VLOOKUP(A173,orders!A:C,3,0),employees!A:B,2,0)</f>
        <v>Nancy Davolio</v>
      </c>
    </row>
    <row r="174" spans="1:11" x14ac:dyDescent="0.25">
      <c r="A174">
        <v>10312</v>
      </c>
      <c r="B174">
        <v>28</v>
      </c>
      <c r="C174">
        <v>36.4</v>
      </c>
      <c r="D174">
        <v>4</v>
      </c>
      <c r="E174">
        <v>0</v>
      </c>
      <c r="F174">
        <f t="shared" si="2"/>
        <v>145.6</v>
      </c>
      <c r="G174">
        <f>YEAR(VLOOKUP(A174,orders!A:D,4,0))</f>
        <v>2013</v>
      </c>
      <c r="H174">
        <f>MONTH(INDEX(orders!D:D,MATCH(A174, orders!A:A,0)))</f>
        <v>9</v>
      </c>
      <c r="I174" t="str">
        <f>VLOOKUP(VLOOKUP(B174,products!A:F,6,0),categories!A:B,2,0)</f>
        <v>Produce</v>
      </c>
      <c r="J174" t="str">
        <f>VLOOKUP(VLOOKUP(A174,orders!A:B,2,0),customers!A:F,6,0)</f>
        <v>Germany</v>
      </c>
      <c r="K174" t="str">
        <f>VLOOKUP(VLOOKUP(A174,orders!A:C,3,0),employees!A:B,2,0)</f>
        <v>Andrew Fuller</v>
      </c>
    </row>
    <row r="175" spans="1:11" x14ac:dyDescent="0.25">
      <c r="A175">
        <v>10312</v>
      </c>
      <c r="B175">
        <v>43</v>
      </c>
      <c r="C175">
        <v>36.799999999999997</v>
      </c>
      <c r="D175">
        <v>24</v>
      </c>
      <c r="E175">
        <v>0</v>
      </c>
      <c r="F175">
        <f t="shared" si="2"/>
        <v>883.19999999999993</v>
      </c>
      <c r="G175">
        <f>YEAR(VLOOKUP(A175,orders!A:D,4,0))</f>
        <v>2013</v>
      </c>
      <c r="H175">
        <f>MONTH(INDEX(orders!D:D,MATCH(A175, orders!A:A,0)))</f>
        <v>9</v>
      </c>
      <c r="I175" t="str">
        <f>VLOOKUP(VLOOKUP(B175,products!A:F,6,0),categories!A:B,2,0)</f>
        <v>Beverages</v>
      </c>
      <c r="J175" t="str">
        <f>VLOOKUP(VLOOKUP(A175,orders!A:B,2,0),customers!A:F,6,0)</f>
        <v>Germany</v>
      </c>
      <c r="K175" t="str">
        <f>VLOOKUP(VLOOKUP(A175,orders!A:C,3,0),employees!A:B,2,0)</f>
        <v>Andrew Fuller</v>
      </c>
    </row>
    <row r="176" spans="1:11" x14ac:dyDescent="0.25">
      <c r="A176">
        <v>10312</v>
      </c>
      <c r="B176">
        <v>53</v>
      </c>
      <c r="C176">
        <v>26.2</v>
      </c>
      <c r="D176">
        <v>20</v>
      </c>
      <c r="E176">
        <v>0</v>
      </c>
      <c r="F176">
        <f t="shared" si="2"/>
        <v>524</v>
      </c>
      <c r="G176">
        <f>YEAR(VLOOKUP(A176,orders!A:D,4,0))</f>
        <v>2013</v>
      </c>
      <c r="H176">
        <f>MONTH(INDEX(orders!D:D,MATCH(A176, orders!A:A,0)))</f>
        <v>9</v>
      </c>
      <c r="I176" t="str">
        <f>VLOOKUP(VLOOKUP(B176,products!A:F,6,0),categories!A:B,2,0)</f>
        <v>Meat &amp; Poultry</v>
      </c>
      <c r="J176" t="str">
        <f>VLOOKUP(VLOOKUP(A176,orders!A:B,2,0),customers!A:F,6,0)</f>
        <v>Germany</v>
      </c>
      <c r="K176" t="str">
        <f>VLOOKUP(VLOOKUP(A176,orders!A:C,3,0),employees!A:B,2,0)</f>
        <v>Andrew Fuller</v>
      </c>
    </row>
    <row r="177" spans="1:11" x14ac:dyDescent="0.25">
      <c r="A177">
        <v>10312</v>
      </c>
      <c r="B177">
        <v>75</v>
      </c>
      <c r="C177">
        <v>6.2</v>
      </c>
      <c r="D177">
        <v>10</v>
      </c>
      <c r="E177">
        <v>0</v>
      </c>
      <c r="F177">
        <f t="shared" si="2"/>
        <v>62</v>
      </c>
      <c r="G177">
        <f>YEAR(VLOOKUP(A177,orders!A:D,4,0))</f>
        <v>2013</v>
      </c>
      <c r="H177">
        <f>MONTH(INDEX(orders!D:D,MATCH(A177, orders!A:A,0)))</f>
        <v>9</v>
      </c>
      <c r="I177" t="str">
        <f>VLOOKUP(VLOOKUP(B177,products!A:F,6,0),categories!A:B,2,0)</f>
        <v>Beverages</v>
      </c>
      <c r="J177" t="str">
        <f>VLOOKUP(VLOOKUP(A177,orders!A:B,2,0),customers!A:F,6,0)</f>
        <v>Germany</v>
      </c>
      <c r="K177" t="str">
        <f>VLOOKUP(VLOOKUP(A177,orders!A:C,3,0),employees!A:B,2,0)</f>
        <v>Andrew Fuller</v>
      </c>
    </row>
    <row r="178" spans="1:11" x14ac:dyDescent="0.25">
      <c r="A178">
        <v>10313</v>
      </c>
      <c r="B178">
        <v>36</v>
      </c>
      <c r="C178">
        <v>15.2</v>
      </c>
      <c r="D178">
        <v>12</v>
      </c>
      <c r="E178">
        <v>0</v>
      </c>
      <c r="F178">
        <f t="shared" si="2"/>
        <v>182.39999999999998</v>
      </c>
      <c r="G178">
        <f>YEAR(VLOOKUP(A178,orders!A:D,4,0))</f>
        <v>2013</v>
      </c>
      <c r="H178">
        <f>MONTH(INDEX(orders!D:D,MATCH(A178, orders!A:A,0)))</f>
        <v>9</v>
      </c>
      <c r="I178" t="str">
        <f>VLOOKUP(VLOOKUP(B178,products!A:F,6,0),categories!A:B,2,0)</f>
        <v>Seafood</v>
      </c>
      <c r="J178" t="str">
        <f>VLOOKUP(VLOOKUP(A178,orders!A:B,2,0),customers!A:F,6,0)</f>
        <v>Germany</v>
      </c>
      <c r="K178" t="str">
        <f>VLOOKUP(VLOOKUP(A178,orders!A:C,3,0),employees!A:B,2,0)</f>
        <v>Andrew Fuller</v>
      </c>
    </row>
    <row r="179" spans="1:11" x14ac:dyDescent="0.25">
      <c r="A179">
        <v>10314</v>
      </c>
      <c r="B179">
        <v>32</v>
      </c>
      <c r="C179">
        <v>25.6</v>
      </c>
      <c r="D179">
        <v>40</v>
      </c>
      <c r="E179">
        <v>0.1</v>
      </c>
      <c r="F179">
        <f t="shared" si="2"/>
        <v>921.6</v>
      </c>
      <c r="G179">
        <f>YEAR(VLOOKUP(A179,orders!A:D,4,0))</f>
        <v>2013</v>
      </c>
      <c r="H179">
        <f>MONTH(INDEX(orders!D:D,MATCH(A179, orders!A:A,0)))</f>
        <v>9</v>
      </c>
      <c r="I179" t="str">
        <f>VLOOKUP(VLOOKUP(B179,products!A:F,6,0),categories!A:B,2,0)</f>
        <v>Dairy Products</v>
      </c>
      <c r="J179" t="str">
        <f>VLOOKUP(VLOOKUP(A179,orders!A:B,2,0),customers!A:F,6,0)</f>
        <v>USA</v>
      </c>
      <c r="K179" t="str">
        <f>VLOOKUP(VLOOKUP(A179,orders!A:C,3,0),employees!A:B,2,0)</f>
        <v>Nancy Davolio</v>
      </c>
    </row>
    <row r="180" spans="1:11" x14ac:dyDescent="0.25">
      <c r="A180">
        <v>10314</v>
      </c>
      <c r="B180">
        <v>58</v>
      </c>
      <c r="C180">
        <v>10.6</v>
      </c>
      <c r="D180">
        <v>30</v>
      </c>
      <c r="E180">
        <v>0.1</v>
      </c>
      <c r="F180">
        <f t="shared" si="2"/>
        <v>286.2</v>
      </c>
      <c r="G180">
        <f>YEAR(VLOOKUP(A180,orders!A:D,4,0))</f>
        <v>2013</v>
      </c>
      <c r="H180">
        <f>MONTH(INDEX(orders!D:D,MATCH(A180, orders!A:A,0)))</f>
        <v>9</v>
      </c>
      <c r="I180" t="str">
        <f>VLOOKUP(VLOOKUP(B180,products!A:F,6,0),categories!A:B,2,0)</f>
        <v>Seafood</v>
      </c>
      <c r="J180" t="str">
        <f>VLOOKUP(VLOOKUP(A180,orders!A:B,2,0),customers!A:F,6,0)</f>
        <v>USA</v>
      </c>
      <c r="K180" t="str">
        <f>VLOOKUP(VLOOKUP(A180,orders!A:C,3,0),employees!A:B,2,0)</f>
        <v>Nancy Davolio</v>
      </c>
    </row>
    <row r="181" spans="1:11" x14ac:dyDescent="0.25">
      <c r="A181">
        <v>10314</v>
      </c>
      <c r="B181">
        <v>62</v>
      </c>
      <c r="C181">
        <v>39.4</v>
      </c>
      <c r="D181">
        <v>25</v>
      </c>
      <c r="E181">
        <v>0.1</v>
      </c>
      <c r="F181">
        <f t="shared" si="2"/>
        <v>886.5</v>
      </c>
      <c r="G181">
        <f>YEAR(VLOOKUP(A181,orders!A:D,4,0))</f>
        <v>2013</v>
      </c>
      <c r="H181">
        <f>MONTH(INDEX(orders!D:D,MATCH(A181, orders!A:A,0)))</f>
        <v>9</v>
      </c>
      <c r="I181" t="str">
        <f>VLOOKUP(VLOOKUP(B181,products!A:F,6,0),categories!A:B,2,0)</f>
        <v>Confections</v>
      </c>
      <c r="J181" t="str">
        <f>VLOOKUP(VLOOKUP(A181,orders!A:B,2,0),customers!A:F,6,0)</f>
        <v>USA</v>
      </c>
      <c r="K181" t="str">
        <f>VLOOKUP(VLOOKUP(A181,orders!A:C,3,0),employees!A:B,2,0)</f>
        <v>Nancy Davolio</v>
      </c>
    </row>
    <row r="182" spans="1:11" x14ac:dyDescent="0.25">
      <c r="A182">
        <v>10315</v>
      </c>
      <c r="B182">
        <v>34</v>
      </c>
      <c r="C182">
        <v>11.2</v>
      </c>
      <c r="D182">
        <v>14</v>
      </c>
      <c r="E182">
        <v>0</v>
      </c>
      <c r="F182">
        <f t="shared" si="2"/>
        <v>156.79999999999998</v>
      </c>
      <c r="G182">
        <f>YEAR(VLOOKUP(A182,orders!A:D,4,0))</f>
        <v>2013</v>
      </c>
      <c r="H182">
        <f>MONTH(INDEX(orders!D:D,MATCH(A182, orders!A:A,0)))</f>
        <v>9</v>
      </c>
      <c r="I182" t="str">
        <f>VLOOKUP(VLOOKUP(B182,products!A:F,6,0),categories!A:B,2,0)</f>
        <v>Beverages</v>
      </c>
      <c r="J182" t="str">
        <f>VLOOKUP(VLOOKUP(A182,orders!A:B,2,0),customers!A:F,6,0)</f>
        <v>UK</v>
      </c>
      <c r="K182" t="str">
        <f>VLOOKUP(VLOOKUP(A182,orders!A:C,3,0),employees!A:B,2,0)</f>
        <v>Margaret Peacock</v>
      </c>
    </row>
    <row r="183" spans="1:11" x14ac:dyDescent="0.25">
      <c r="A183">
        <v>10315</v>
      </c>
      <c r="B183">
        <v>70</v>
      </c>
      <c r="C183">
        <v>12</v>
      </c>
      <c r="D183">
        <v>30</v>
      </c>
      <c r="E183">
        <v>0</v>
      </c>
      <c r="F183">
        <f t="shared" si="2"/>
        <v>360</v>
      </c>
      <c r="G183">
        <f>YEAR(VLOOKUP(A183,orders!A:D,4,0))</f>
        <v>2013</v>
      </c>
      <c r="H183">
        <f>MONTH(INDEX(orders!D:D,MATCH(A183, orders!A:A,0)))</f>
        <v>9</v>
      </c>
      <c r="I183" t="str">
        <f>VLOOKUP(VLOOKUP(B183,products!A:F,6,0),categories!A:B,2,0)</f>
        <v>Beverages</v>
      </c>
      <c r="J183" t="str">
        <f>VLOOKUP(VLOOKUP(A183,orders!A:B,2,0),customers!A:F,6,0)</f>
        <v>UK</v>
      </c>
      <c r="K183" t="str">
        <f>VLOOKUP(VLOOKUP(A183,orders!A:C,3,0),employees!A:B,2,0)</f>
        <v>Margaret Peacock</v>
      </c>
    </row>
    <row r="184" spans="1:11" x14ac:dyDescent="0.25">
      <c r="A184">
        <v>10316</v>
      </c>
      <c r="B184">
        <v>41</v>
      </c>
      <c r="C184">
        <v>7.7</v>
      </c>
      <c r="D184">
        <v>10</v>
      </c>
      <c r="E184">
        <v>0</v>
      </c>
      <c r="F184">
        <f t="shared" si="2"/>
        <v>77</v>
      </c>
      <c r="G184">
        <f>YEAR(VLOOKUP(A184,orders!A:D,4,0))</f>
        <v>2013</v>
      </c>
      <c r="H184">
        <f>MONTH(INDEX(orders!D:D,MATCH(A184, orders!A:A,0)))</f>
        <v>9</v>
      </c>
      <c r="I184" t="str">
        <f>VLOOKUP(VLOOKUP(B184,products!A:F,6,0),categories!A:B,2,0)</f>
        <v>Seafood</v>
      </c>
      <c r="J184" t="str">
        <f>VLOOKUP(VLOOKUP(A184,orders!A:B,2,0),customers!A:F,6,0)</f>
        <v>USA</v>
      </c>
      <c r="K184" t="str">
        <f>VLOOKUP(VLOOKUP(A184,orders!A:C,3,0),employees!A:B,2,0)</f>
        <v>Nancy Davolio</v>
      </c>
    </row>
    <row r="185" spans="1:11" x14ac:dyDescent="0.25">
      <c r="A185">
        <v>10316</v>
      </c>
      <c r="B185">
        <v>62</v>
      </c>
      <c r="C185">
        <v>39.4</v>
      </c>
      <c r="D185">
        <v>70</v>
      </c>
      <c r="E185">
        <v>0</v>
      </c>
      <c r="F185">
        <f t="shared" si="2"/>
        <v>2758</v>
      </c>
      <c r="G185">
        <f>YEAR(VLOOKUP(A185,orders!A:D,4,0))</f>
        <v>2013</v>
      </c>
      <c r="H185">
        <f>MONTH(INDEX(orders!D:D,MATCH(A185, orders!A:A,0)))</f>
        <v>9</v>
      </c>
      <c r="I185" t="str">
        <f>VLOOKUP(VLOOKUP(B185,products!A:F,6,0),categories!A:B,2,0)</f>
        <v>Confections</v>
      </c>
      <c r="J185" t="str">
        <f>VLOOKUP(VLOOKUP(A185,orders!A:B,2,0),customers!A:F,6,0)</f>
        <v>USA</v>
      </c>
      <c r="K185" t="str">
        <f>VLOOKUP(VLOOKUP(A185,orders!A:C,3,0),employees!A:B,2,0)</f>
        <v>Nancy Davolio</v>
      </c>
    </row>
    <row r="186" spans="1:11" x14ac:dyDescent="0.25">
      <c r="A186">
        <v>10317</v>
      </c>
      <c r="B186">
        <v>1</v>
      </c>
      <c r="C186">
        <v>14.4</v>
      </c>
      <c r="D186">
        <v>20</v>
      </c>
      <c r="E186">
        <v>0</v>
      </c>
      <c r="F186">
        <f t="shared" si="2"/>
        <v>288</v>
      </c>
      <c r="G186">
        <f>YEAR(VLOOKUP(A186,orders!A:D,4,0))</f>
        <v>2013</v>
      </c>
      <c r="H186">
        <f>MONTH(INDEX(orders!D:D,MATCH(A186, orders!A:A,0)))</f>
        <v>9</v>
      </c>
      <c r="I186" t="str">
        <f>VLOOKUP(VLOOKUP(B186,products!A:F,6,0),categories!A:B,2,0)</f>
        <v>Beverages</v>
      </c>
      <c r="J186" t="str">
        <f>VLOOKUP(VLOOKUP(A186,orders!A:B,2,0),customers!A:F,6,0)</f>
        <v>USA</v>
      </c>
      <c r="K186" t="str">
        <f>VLOOKUP(VLOOKUP(A186,orders!A:C,3,0),employees!A:B,2,0)</f>
        <v>Michael Suyama</v>
      </c>
    </row>
    <row r="187" spans="1:11" x14ac:dyDescent="0.25">
      <c r="A187">
        <v>10318</v>
      </c>
      <c r="B187">
        <v>41</v>
      </c>
      <c r="C187">
        <v>7.7</v>
      </c>
      <c r="D187">
        <v>20</v>
      </c>
      <c r="E187">
        <v>0</v>
      </c>
      <c r="F187">
        <f t="shared" si="2"/>
        <v>154</v>
      </c>
      <c r="G187">
        <f>YEAR(VLOOKUP(A187,orders!A:D,4,0))</f>
        <v>2013</v>
      </c>
      <c r="H187">
        <f>MONTH(INDEX(orders!D:D,MATCH(A187, orders!A:A,0)))</f>
        <v>10</v>
      </c>
      <c r="I187" t="str">
        <f>VLOOKUP(VLOOKUP(B187,products!A:F,6,0),categories!A:B,2,0)</f>
        <v>Seafood</v>
      </c>
      <c r="J187" t="str">
        <f>VLOOKUP(VLOOKUP(A187,orders!A:B,2,0),customers!A:F,6,0)</f>
        <v>UK</v>
      </c>
      <c r="K187" t="str">
        <f>VLOOKUP(VLOOKUP(A187,orders!A:C,3,0),employees!A:B,2,0)</f>
        <v>Laura Callahan</v>
      </c>
    </row>
    <row r="188" spans="1:11" x14ac:dyDescent="0.25">
      <c r="A188">
        <v>10318</v>
      </c>
      <c r="B188">
        <v>76</v>
      </c>
      <c r="C188">
        <v>14.4</v>
      </c>
      <c r="D188">
        <v>6</v>
      </c>
      <c r="E188">
        <v>0</v>
      </c>
      <c r="F188">
        <f t="shared" si="2"/>
        <v>86.4</v>
      </c>
      <c r="G188">
        <f>YEAR(VLOOKUP(A188,orders!A:D,4,0))</f>
        <v>2013</v>
      </c>
      <c r="H188">
        <f>MONTH(INDEX(orders!D:D,MATCH(A188, orders!A:A,0)))</f>
        <v>10</v>
      </c>
      <c r="I188" t="str">
        <f>VLOOKUP(VLOOKUP(B188,products!A:F,6,0),categories!A:B,2,0)</f>
        <v>Beverages</v>
      </c>
      <c r="J188" t="str">
        <f>VLOOKUP(VLOOKUP(A188,orders!A:B,2,0),customers!A:F,6,0)</f>
        <v>UK</v>
      </c>
      <c r="K188" t="str">
        <f>VLOOKUP(VLOOKUP(A188,orders!A:C,3,0),employees!A:B,2,0)</f>
        <v>Laura Callahan</v>
      </c>
    </row>
    <row r="189" spans="1:11" x14ac:dyDescent="0.25">
      <c r="A189">
        <v>10319</v>
      </c>
      <c r="B189">
        <v>17</v>
      </c>
      <c r="C189">
        <v>31.2</v>
      </c>
      <c r="D189">
        <v>8</v>
      </c>
      <c r="E189">
        <v>0</v>
      </c>
      <c r="F189">
        <f t="shared" si="2"/>
        <v>249.6</v>
      </c>
      <c r="G189">
        <f>YEAR(VLOOKUP(A189,orders!A:D,4,0))</f>
        <v>2013</v>
      </c>
      <c r="H189">
        <f>MONTH(INDEX(orders!D:D,MATCH(A189, orders!A:A,0)))</f>
        <v>10</v>
      </c>
      <c r="I189" t="str">
        <f>VLOOKUP(VLOOKUP(B189,products!A:F,6,0),categories!A:B,2,0)</f>
        <v>Meat &amp; Poultry</v>
      </c>
      <c r="J189" t="str">
        <f>VLOOKUP(VLOOKUP(A189,orders!A:B,2,0),customers!A:F,6,0)</f>
        <v>Mexico</v>
      </c>
      <c r="K189" t="str">
        <f>VLOOKUP(VLOOKUP(A189,orders!A:C,3,0),employees!A:B,2,0)</f>
        <v>Robert King</v>
      </c>
    </row>
    <row r="190" spans="1:11" x14ac:dyDescent="0.25">
      <c r="A190">
        <v>10319</v>
      </c>
      <c r="B190">
        <v>28</v>
      </c>
      <c r="C190">
        <v>36.4</v>
      </c>
      <c r="D190">
        <v>14</v>
      </c>
      <c r="E190">
        <v>0</v>
      </c>
      <c r="F190">
        <f t="shared" si="2"/>
        <v>509.59999999999997</v>
      </c>
      <c r="G190">
        <f>YEAR(VLOOKUP(A190,orders!A:D,4,0))</f>
        <v>2013</v>
      </c>
      <c r="H190">
        <f>MONTH(INDEX(orders!D:D,MATCH(A190, orders!A:A,0)))</f>
        <v>10</v>
      </c>
      <c r="I190" t="str">
        <f>VLOOKUP(VLOOKUP(B190,products!A:F,6,0),categories!A:B,2,0)</f>
        <v>Produce</v>
      </c>
      <c r="J190" t="str">
        <f>VLOOKUP(VLOOKUP(A190,orders!A:B,2,0),customers!A:F,6,0)</f>
        <v>Mexico</v>
      </c>
      <c r="K190" t="str">
        <f>VLOOKUP(VLOOKUP(A190,orders!A:C,3,0),employees!A:B,2,0)</f>
        <v>Robert King</v>
      </c>
    </row>
    <row r="191" spans="1:11" x14ac:dyDescent="0.25">
      <c r="A191">
        <v>10319</v>
      </c>
      <c r="B191">
        <v>76</v>
      </c>
      <c r="C191">
        <v>14.4</v>
      </c>
      <c r="D191">
        <v>30</v>
      </c>
      <c r="E191">
        <v>0</v>
      </c>
      <c r="F191">
        <f t="shared" si="2"/>
        <v>432</v>
      </c>
      <c r="G191">
        <f>YEAR(VLOOKUP(A191,orders!A:D,4,0))</f>
        <v>2013</v>
      </c>
      <c r="H191">
        <f>MONTH(INDEX(orders!D:D,MATCH(A191, orders!A:A,0)))</f>
        <v>10</v>
      </c>
      <c r="I191" t="str">
        <f>VLOOKUP(VLOOKUP(B191,products!A:F,6,0),categories!A:B,2,0)</f>
        <v>Beverages</v>
      </c>
      <c r="J191" t="str">
        <f>VLOOKUP(VLOOKUP(A191,orders!A:B,2,0),customers!A:F,6,0)</f>
        <v>Mexico</v>
      </c>
      <c r="K191" t="str">
        <f>VLOOKUP(VLOOKUP(A191,orders!A:C,3,0),employees!A:B,2,0)</f>
        <v>Robert King</v>
      </c>
    </row>
    <row r="192" spans="1:11" x14ac:dyDescent="0.25">
      <c r="A192">
        <v>10320</v>
      </c>
      <c r="B192">
        <v>71</v>
      </c>
      <c r="C192">
        <v>17.2</v>
      </c>
      <c r="D192">
        <v>30</v>
      </c>
      <c r="E192">
        <v>0</v>
      </c>
      <c r="F192">
        <f t="shared" si="2"/>
        <v>516</v>
      </c>
      <c r="G192">
        <f>YEAR(VLOOKUP(A192,orders!A:D,4,0))</f>
        <v>2013</v>
      </c>
      <c r="H192">
        <f>MONTH(INDEX(orders!D:D,MATCH(A192, orders!A:A,0)))</f>
        <v>10</v>
      </c>
      <c r="I192" t="str">
        <f>VLOOKUP(VLOOKUP(B192,products!A:F,6,0),categories!A:B,2,0)</f>
        <v>Dairy Products</v>
      </c>
      <c r="J192" t="str">
        <f>VLOOKUP(VLOOKUP(A192,orders!A:B,2,0),customers!A:F,6,0)</f>
        <v>Finland</v>
      </c>
      <c r="K192" t="str">
        <f>VLOOKUP(VLOOKUP(A192,orders!A:C,3,0),employees!A:B,2,0)</f>
        <v>Steven Buchanan</v>
      </c>
    </row>
    <row r="193" spans="1:11" x14ac:dyDescent="0.25">
      <c r="A193">
        <v>10321</v>
      </c>
      <c r="B193">
        <v>35</v>
      </c>
      <c r="C193">
        <v>14.4</v>
      </c>
      <c r="D193">
        <v>10</v>
      </c>
      <c r="E193">
        <v>0</v>
      </c>
      <c r="F193">
        <f t="shared" si="2"/>
        <v>144</v>
      </c>
      <c r="G193">
        <f>YEAR(VLOOKUP(A193,orders!A:D,4,0))</f>
        <v>2013</v>
      </c>
      <c r="H193">
        <f>MONTH(INDEX(orders!D:D,MATCH(A193, orders!A:A,0)))</f>
        <v>10</v>
      </c>
      <c r="I193" t="str">
        <f>VLOOKUP(VLOOKUP(B193,products!A:F,6,0),categories!A:B,2,0)</f>
        <v>Beverages</v>
      </c>
      <c r="J193" t="str">
        <f>VLOOKUP(VLOOKUP(A193,orders!A:B,2,0),customers!A:F,6,0)</f>
        <v>UK</v>
      </c>
      <c r="K193" t="str">
        <f>VLOOKUP(VLOOKUP(A193,orders!A:C,3,0),employees!A:B,2,0)</f>
        <v>Janet Leverling</v>
      </c>
    </row>
    <row r="194" spans="1:11" x14ac:dyDescent="0.25">
      <c r="A194">
        <v>10322</v>
      </c>
      <c r="B194">
        <v>52</v>
      </c>
      <c r="C194">
        <v>5.6</v>
      </c>
      <c r="D194">
        <v>20</v>
      </c>
      <c r="E194">
        <v>0</v>
      </c>
      <c r="F194">
        <f t="shared" si="2"/>
        <v>112</v>
      </c>
      <c r="G194">
        <f>YEAR(VLOOKUP(A194,orders!A:D,4,0))</f>
        <v>2013</v>
      </c>
      <c r="H194">
        <f>MONTH(INDEX(orders!D:D,MATCH(A194, orders!A:A,0)))</f>
        <v>10</v>
      </c>
      <c r="I194" t="str">
        <f>VLOOKUP(VLOOKUP(B194,products!A:F,6,0),categories!A:B,2,0)</f>
        <v>Grains &amp; Cereals</v>
      </c>
      <c r="J194" t="str">
        <f>VLOOKUP(VLOOKUP(A194,orders!A:B,2,0),customers!A:F,6,0)</f>
        <v>Mexico</v>
      </c>
      <c r="K194" t="str">
        <f>VLOOKUP(VLOOKUP(A194,orders!A:C,3,0),employees!A:B,2,0)</f>
        <v>Robert King</v>
      </c>
    </row>
    <row r="195" spans="1:11" x14ac:dyDescent="0.25">
      <c r="A195">
        <v>10323</v>
      </c>
      <c r="B195">
        <v>15</v>
      </c>
      <c r="C195">
        <v>12.4</v>
      </c>
      <c r="D195">
        <v>5</v>
      </c>
      <c r="E195">
        <v>0</v>
      </c>
      <c r="F195">
        <f t="shared" ref="F195:F258" si="3">C195*D195*(1-E195)</f>
        <v>62</v>
      </c>
      <c r="G195">
        <f>YEAR(VLOOKUP(A195,orders!A:D,4,0))</f>
        <v>2013</v>
      </c>
      <c r="H195">
        <f>MONTH(INDEX(orders!D:D,MATCH(A195, orders!A:A,0)))</f>
        <v>10</v>
      </c>
      <c r="I195" t="str">
        <f>VLOOKUP(VLOOKUP(B195,products!A:F,6,0),categories!A:B,2,0)</f>
        <v>Condiments</v>
      </c>
      <c r="J195" t="str">
        <f>VLOOKUP(VLOOKUP(A195,orders!A:B,2,0),customers!A:F,6,0)</f>
        <v>Germany</v>
      </c>
      <c r="K195" t="str">
        <f>VLOOKUP(VLOOKUP(A195,orders!A:C,3,0),employees!A:B,2,0)</f>
        <v>Margaret Peacock</v>
      </c>
    </row>
    <row r="196" spans="1:11" x14ac:dyDescent="0.25">
      <c r="A196">
        <v>10323</v>
      </c>
      <c r="B196">
        <v>25</v>
      </c>
      <c r="C196">
        <v>11.2</v>
      </c>
      <c r="D196">
        <v>4</v>
      </c>
      <c r="E196">
        <v>0</v>
      </c>
      <c r="F196">
        <f t="shared" si="3"/>
        <v>44.8</v>
      </c>
      <c r="G196">
        <f>YEAR(VLOOKUP(A196,orders!A:D,4,0))</f>
        <v>2013</v>
      </c>
      <c r="H196">
        <f>MONTH(INDEX(orders!D:D,MATCH(A196, orders!A:A,0)))</f>
        <v>10</v>
      </c>
      <c r="I196" t="str">
        <f>VLOOKUP(VLOOKUP(B196,products!A:F,6,0),categories!A:B,2,0)</f>
        <v>Confections</v>
      </c>
      <c r="J196" t="str">
        <f>VLOOKUP(VLOOKUP(A196,orders!A:B,2,0),customers!A:F,6,0)</f>
        <v>Germany</v>
      </c>
      <c r="K196" t="str">
        <f>VLOOKUP(VLOOKUP(A196,orders!A:C,3,0),employees!A:B,2,0)</f>
        <v>Margaret Peacock</v>
      </c>
    </row>
    <row r="197" spans="1:11" x14ac:dyDescent="0.25">
      <c r="A197">
        <v>10323</v>
      </c>
      <c r="B197">
        <v>39</v>
      </c>
      <c r="C197">
        <v>14.4</v>
      </c>
      <c r="D197">
        <v>4</v>
      </c>
      <c r="E197">
        <v>0</v>
      </c>
      <c r="F197">
        <f t="shared" si="3"/>
        <v>57.6</v>
      </c>
      <c r="G197">
        <f>YEAR(VLOOKUP(A197,orders!A:D,4,0))</f>
        <v>2013</v>
      </c>
      <c r="H197">
        <f>MONTH(INDEX(orders!D:D,MATCH(A197, orders!A:A,0)))</f>
        <v>10</v>
      </c>
      <c r="I197" t="str">
        <f>VLOOKUP(VLOOKUP(B197,products!A:F,6,0),categories!A:B,2,0)</f>
        <v>Beverages</v>
      </c>
      <c r="J197" t="str">
        <f>VLOOKUP(VLOOKUP(A197,orders!A:B,2,0),customers!A:F,6,0)</f>
        <v>Germany</v>
      </c>
      <c r="K197" t="str">
        <f>VLOOKUP(VLOOKUP(A197,orders!A:C,3,0),employees!A:B,2,0)</f>
        <v>Margaret Peacock</v>
      </c>
    </row>
    <row r="198" spans="1:11" x14ac:dyDescent="0.25">
      <c r="A198">
        <v>10324</v>
      </c>
      <c r="B198">
        <v>16</v>
      </c>
      <c r="C198">
        <v>13.9</v>
      </c>
      <c r="D198">
        <v>21</v>
      </c>
      <c r="E198">
        <v>0.15</v>
      </c>
      <c r="F198">
        <f t="shared" si="3"/>
        <v>248.11500000000001</v>
      </c>
      <c r="G198">
        <f>YEAR(VLOOKUP(A198,orders!A:D,4,0))</f>
        <v>2013</v>
      </c>
      <c r="H198">
        <f>MONTH(INDEX(orders!D:D,MATCH(A198, orders!A:A,0)))</f>
        <v>10</v>
      </c>
      <c r="I198" t="str">
        <f>VLOOKUP(VLOOKUP(B198,products!A:F,6,0),categories!A:B,2,0)</f>
        <v>Confections</v>
      </c>
      <c r="J198" t="str">
        <f>VLOOKUP(VLOOKUP(A198,orders!A:B,2,0),customers!A:F,6,0)</f>
        <v>USA</v>
      </c>
      <c r="K198" t="str">
        <f>VLOOKUP(VLOOKUP(A198,orders!A:C,3,0),employees!A:B,2,0)</f>
        <v>Anne Dodsworth</v>
      </c>
    </row>
    <row r="199" spans="1:11" x14ac:dyDescent="0.25">
      <c r="A199">
        <v>10324</v>
      </c>
      <c r="B199">
        <v>35</v>
      </c>
      <c r="C199">
        <v>14.4</v>
      </c>
      <c r="D199">
        <v>70</v>
      </c>
      <c r="E199">
        <v>0.15</v>
      </c>
      <c r="F199">
        <f t="shared" si="3"/>
        <v>856.8</v>
      </c>
      <c r="G199">
        <f>YEAR(VLOOKUP(A199,orders!A:D,4,0))</f>
        <v>2013</v>
      </c>
      <c r="H199">
        <f>MONTH(INDEX(orders!D:D,MATCH(A199, orders!A:A,0)))</f>
        <v>10</v>
      </c>
      <c r="I199" t="str">
        <f>VLOOKUP(VLOOKUP(B199,products!A:F,6,0),categories!A:B,2,0)</f>
        <v>Beverages</v>
      </c>
      <c r="J199" t="str">
        <f>VLOOKUP(VLOOKUP(A199,orders!A:B,2,0),customers!A:F,6,0)</f>
        <v>USA</v>
      </c>
      <c r="K199" t="str">
        <f>VLOOKUP(VLOOKUP(A199,orders!A:C,3,0),employees!A:B,2,0)</f>
        <v>Anne Dodsworth</v>
      </c>
    </row>
    <row r="200" spans="1:11" x14ac:dyDescent="0.25">
      <c r="A200">
        <v>10324</v>
      </c>
      <c r="B200">
        <v>46</v>
      </c>
      <c r="C200">
        <v>9.6</v>
      </c>
      <c r="D200">
        <v>30</v>
      </c>
      <c r="E200">
        <v>0</v>
      </c>
      <c r="F200">
        <f t="shared" si="3"/>
        <v>288</v>
      </c>
      <c r="G200">
        <f>YEAR(VLOOKUP(A200,orders!A:D,4,0))</f>
        <v>2013</v>
      </c>
      <c r="H200">
        <f>MONTH(INDEX(orders!D:D,MATCH(A200, orders!A:A,0)))</f>
        <v>10</v>
      </c>
      <c r="I200" t="str">
        <f>VLOOKUP(VLOOKUP(B200,products!A:F,6,0),categories!A:B,2,0)</f>
        <v>Seafood</v>
      </c>
      <c r="J200" t="str">
        <f>VLOOKUP(VLOOKUP(A200,orders!A:B,2,0),customers!A:F,6,0)</f>
        <v>USA</v>
      </c>
      <c r="K200" t="str">
        <f>VLOOKUP(VLOOKUP(A200,orders!A:C,3,0),employees!A:B,2,0)</f>
        <v>Anne Dodsworth</v>
      </c>
    </row>
    <row r="201" spans="1:11" x14ac:dyDescent="0.25">
      <c r="A201">
        <v>10324</v>
      </c>
      <c r="B201">
        <v>59</v>
      </c>
      <c r="C201">
        <v>44</v>
      </c>
      <c r="D201">
        <v>40</v>
      </c>
      <c r="E201">
        <v>0.15</v>
      </c>
      <c r="F201">
        <f t="shared" si="3"/>
        <v>1496</v>
      </c>
      <c r="G201">
        <f>YEAR(VLOOKUP(A201,orders!A:D,4,0))</f>
        <v>2013</v>
      </c>
      <c r="H201">
        <f>MONTH(INDEX(orders!D:D,MATCH(A201, orders!A:A,0)))</f>
        <v>10</v>
      </c>
      <c r="I201" t="str">
        <f>VLOOKUP(VLOOKUP(B201,products!A:F,6,0),categories!A:B,2,0)</f>
        <v>Dairy Products</v>
      </c>
      <c r="J201" t="str">
        <f>VLOOKUP(VLOOKUP(A201,orders!A:B,2,0),customers!A:F,6,0)</f>
        <v>USA</v>
      </c>
      <c r="K201" t="str">
        <f>VLOOKUP(VLOOKUP(A201,orders!A:C,3,0),employees!A:B,2,0)</f>
        <v>Anne Dodsworth</v>
      </c>
    </row>
    <row r="202" spans="1:11" x14ac:dyDescent="0.25">
      <c r="A202">
        <v>10324</v>
      </c>
      <c r="B202">
        <v>63</v>
      </c>
      <c r="C202">
        <v>35.1</v>
      </c>
      <c r="D202">
        <v>80</v>
      </c>
      <c r="E202">
        <v>0.15</v>
      </c>
      <c r="F202">
        <f t="shared" si="3"/>
        <v>2386.7999999999997</v>
      </c>
      <c r="G202">
        <f>YEAR(VLOOKUP(A202,orders!A:D,4,0))</f>
        <v>2013</v>
      </c>
      <c r="H202">
        <f>MONTH(INDEX(orders!D:D,MATCH(A202, orders!A:A,0)))</f>
        <v>10</v>
      </c>
      <c r="I202" t="str">
        <f>VLOOKUP(VLOOKUP(B202,products!A:F,6,0),categories!A:B,2,0)</f>
        <v>Condiments</v>
      </c>
      <c r="J202" t="str">
        <f>VLOOKUP(VLOOKUP(A202,orders!A:B,2,0),customers!A:F,6,0)</f>
        <v>USA</v>
      </c>
      <c r="K202" t="str">
        <f>VLOOKUP(VLOOKUP(A202,orders!A:C,3,0),employees!A:B,2,0)</f>
        <v>Anne Dodsworth</v>
      </c>
    </row>
    <row r="203" spans="1:11" x14ac:dyDescent="0.25">
      <c r="A203">
        <v>10325</v>
      </c>
      <c r="B203">
        <v>6</v>
      </c>
      <c r="C203">
        <v>20</v>
      </c>
      <c r="D203">
        <v>6</v>
      </c>
      <c r="E203">
        <v>0</v>
      </c>
      <c r="F203">
        <f t="shared" si="3"/>
        <v>120</v>
      </c>
      <c r="G203">
        <f>YEAR(VLOOKUP(A203,orders!A:D,4,0))</f>
        <v>2013</v>
      </c>
      <c r="H203">
        <f>MONTH(INDEX(orders!D:D,MATCH(A203, orders!A:A,0)))</f>
        <v>10</v>
      </c>
      <c r="I203" t="str">
        <f>VLOOKUP(VLOOKUP(B203,products!A:F,6,0),categories!A:B,2,0)</f>
        <v>Condiments</v>
      </c>
      <c r="J203" t="str">
        <f>VLOOKUP(VLOOKUP(A203,orders!A:B,2,0),customers!A:F,6,0)</f>
        <v>Germany</v>
      </c>
      <c r="K203" t="str">
        <f>VLOOKUP(VLOOKUP(A203,orders!A:C,3,0),employees!A:B,2,0)</f>
        <v>Nancy Davolio</v>
      </c>
    </row>
    <row r="204" spans="1:11" x14ac:dyDescent="0.25">
      <c r="A204">
        <v>10325</v>
      </c>
      <c r="B204">
        <v>13</v>
      </c>
      <c r="C204">
        <v>4.8</v>
      </c>
      <c r="D204">
        <v>12</v>
      </c>
      <c r="E204">
        <v>0</v>
      </c>
      <c r="F204">
        <f t="shared" si="3"/>
        <v>57.599999999999994</v>
      </c>
      <c r="G204">
        <f>YEAR(VLOOKUP(A204,orders!A:D,4,0))</f>
        <v>2013</v>
      </c>
      <c r="H204">
        <f>MONTH(INDEX(orders!D:D,MATCH(A204, orders!A:A,0)))</f>
        <v>10</v>
      </c>
      <c r="I204" t="str">
        <f>VLOOKUP(VLOOKUP(B204,products!A:F,6,0),categories!A:B,2,0)</f>
        <v>Seafood</v>
      </c>
      <c r="J204" t="str">
        <f>VLOOKUP(VLOOKUP(A204,orders!A:B,2,0),customers!A:F,6,0)</f>
        <v>Germany</v>
      </c>
      <c r="K204" t="str">
        <f>VLOOKUP(VLOOKUP(A204,orders!A:C,3,0),employees!A:B,2,0)</f>
        <v>Nancy Davolio</v>
      </c>
    </row>
    <row r="205" spans="1:11" x14ac:dyDescent="0.25">
      <c r="A205">
        <v>10325</v>
      </c>
      <c r="B205">
        <v>14</v>
      </c>
      <c r="C205">
        <v>18.600000000000001</v>
      </c>
      <c r="D205">
        <v>9</v>
      </c>
      <c r="E205">
        <v>0</v>
      </c>
      <c r="F205">
        <f t="shared" si="3"/>
        <v>167.4</v>
      </c>
      <c r="G205">
        <f>YEAR(VLOOKUP(A205,orders!A:D,4,0))</f>
        <v>2013</v>
      </c>
      <c r="H205">
        <f>MONTH(INDEX(orders!D:D,MATCH(A205, orders!A:A,0)))</f>
        <v>10</v>
      </c>
      <c r="I205" t="str">
        <f>VLOOKUP(VLOOKUP(B205,products!A:F,6,0),categories!A:B,2,0)</f>
        <v>Produce</v>
      </c>
      <c r="J205" t="str">
        <f>VLOOKUP(VLOOKUP(A205,orders!A:B,2,0),customers!A:F,6,0)</f>
        <v>Germany</v>
      </c>
      <c r="K205" t="str">
        <f>VLOOKUP(VLOOKUP(A205,orders!A:C,3,0),employees!A:B,2,0)</f>
        <v>Nancy Davolio</v>
      </c>
    </row>
    <row r="206" spans="1:11" x14ac:dyDescent="0.25">
      <c r="A206">
        <v>10325</v>
      </c>
      <c r="B206">
        <v>31</v>
      </c>
      <c r="C206">
        <v>10</v>
      </c>
      <c r="D206">
        <v>4</v>
      </c>
      <c r="E206">
        <v>0</v>
      </c>
      <c r="F206">
        <f t="shared" si="3"/>
        <v>40</v>
      </c>
      <c r="G206">
        <f>YEAR(VLOOKUP(A206,orders!A:D,4,0))</f>
        <v>2013</v>
      </c>
      <c r="H206">
        <f>MONTH(INDEX(orders!D:D,MATCH(A206, orders!A:A,0)))</f>
        <v>10</v>
      </c>
      <c r="I206" t="str">
        <f>VLOOKUP(VLOOKUP(B206,products!A:F,6,0),categories!A:B,2,0)</f>
        <v>Dairy Products</v>
      </c>
      <c r="J206" t="str">
        <f>VLOOKUP(VLOOKUP(A206,orders!A:B,2,0),customers!A:F,6,0)</f>
        <v>Germany</v>
      </c>
      <c r="K206" t="str">
        <f>VLOOKUP(VLOOKUP(A206,orders!A:C,3,0),employees!A:B,2,0)</f>
        <v>Nancy Davolio</v>
      </c>
    </row>
    <row r="207" spans="1:11" x14ac:dyDescent="0.25">
      <c r="A207">
        <v>10325</v>
      </c>
      <c r="B207">
        <v>72</v>
      </c>
      <c r="C207">
        <v>27.8</v>
      </c>
      <c r="D207">
        <v>40</v>
      </c>
      <c r="E207">
        <v>0</v>
      </c>
      <c r="F207">
        <f t="shared" si="3"/>
        <v>1112</v>
      </c>
      <c r="G207">
        <f>YEAR(VLOOKUP(A207,orders!A:D,4,0))</f>
        <v>2013</v>
      </c>
      <c r="H207">
        <f>MONTH(INDEX(orders!D:D,MATCH(A207, orders!A:A,0)))</f>
        <v>10</v>
      </c>
      <c r="I207" t="str">
        <f>VLOOKUP(VLOOKUP(B207,products!A:F,6,0),categories!A:B,2,0)</f>
        <v>Dairy Products</v>
      </c>
      <c r="J207" t="str">
        <f>VLOOKUP(VLOOKUP(A207,orders!A:B,2,0),customers!A:F,6,0)</f>
        <v>Germany</v>
      </c>
      <c r="K207" t="str">
        <f>VLOOKUP(VLOOKUP(A207,orders!A:C,3,0),employees!A:B,2,0)</f>
        <v>Nancy Davolio</v>
      </c>
    </row>
    <row r="208" spans="1:11" x14ac:dyDescent="0.25">
      <c r="A208">
        <v>10326</v>
      </c>
      <c r="B208">
        <v>4</v>
      </c>
      <c r="C208">
        <v>17.600000000000001</v>
      </c>
      <c r="D208">
        <v>24</v>
      </c>
      <c r="E208">
        <v>0</v>
      </c>
      <c r="F208">
        <f t="shared" si="3"/>
        <v>422.40000000000003</v>
      </c>
      <c r="G208">
        <f>YEAR(VLOOKUP(A208,orders!A:D,4,0))</f>
        <v>2013</v>
      </c>
      <c r="H208">
        <f>MONTH(INDEX(orders!D:D,MATCH(A208, orders!A:A,0)))</f>
        <v>10</v>
      </c>
      <c r="I208" t="str">
        <f>VLOOKUP(VLOOKUP(B208,products!A:F,6,0),categories!A:B,2,0)</f>
        <v>Condiments</v>
      </c>
      <c r="J208" t="str">
        <f>VLOOKUP(VLOOKUP(A208,orders!A:B,2,0),customers!A:F,6,0)</f>
        <v>Spain</v>
      </c>
      <c r="K208" t="str">
        <f>VLOOKUP(VLOOKUP(A208,orders!A:C,3,0),employees!A:B,2,0)</f>
        <v>Margaret Peacock</v>
      </c>
    </row>
    <row r="209" spans="1:11" x14ac:dyDescent="0.25">
      <c r="A209">
        <v>10326</v>
      </c>
      <c r="B209">
        <v>57</v>
      </c>
      <c r="C209">
        <v>15.6</v>
      </c>
      <c r="D209">
        <v>16</v>
      </c>
      <c r="E209">
        <v>0</v>
      </c>
      <c r="F209">
        <f t="shared" si="3"/>
        <v>249.6</v>
      </c>
      <c r="G209">
        <f>YEAR(VLOOKUP(A209,orders!A:D,4,0))</f>
        <v>2013</v>
      </c>
      <c r="H209">
        <f>MONTH(INDEX(orders!D:D,MATCH(A209, orders!A:A,0)))</f>
        <v>10</v>
      </c>
      <c r="I209" t="str">
        <f>VLOOKUP(VLOOKUP(B209,products!A:F,6,0),categories!A:B,2,0)</f>
        <v>Grains &amp; Cereals</v>
      </c>
      <c r="J209" t="str">
        <f>VLOOKUP(VLOOKUP(A209,orders!A:B,2,0),customers!A:F,6,0)</f>
        <v>Spain</v>
      </c>
      <c r="K209" t="str">
        <f>VLOOKUP(VLOOKUP(A209,orders!A:C,3,0),employees!A:B,2,0)</f>
        <v>Margaret Peacock</v>
      </c>
    </row>
    <row r="210" spans="1:11" x14ac:dyDescent="0.25">
      <c r="A210">
        <v>10326</v>
      </c>
      <c r="B210">
        <v>75</v>
      </c>
      <c r="C210">
        <v>6.2</v>
      </c>
      <c r="D210">
        <v>50</v>
      </c>
      <c r="E210">
        <v>0</v>
      </c>
      <c r="F210">
        <f t="shared" si="3"/>
        <v>310</v>
      </c>
      <c r="G210">
        <f>YEAR(VLOOKUP(A210,orders!A:D,4,0))</f>
        <v>2013</v>
      </c>
      <c r="H210">
        <f>MONTH(INDEX(orders!D:D,MATCH(A210, orders!A:A,0)))</f>
        <v>10</v>
      </c>
      <c r="I210" t="str">
        <f>VLOOKUP(VLOOKUP(B210,products!A:F,6,0),categories!A:B,2,0)</f>
        <v>Beverages</v>
      </c>
      <c r="J210" t="str">
        <f>VLOOKUP(VLOOKUP(A210,orders!A:B,2,0),customers!A:F,6,0)</f>
        <v>Spain</v>
      </c>
      <c r="K210" t="str">
        <f>VLOOKUP(VLOOKUP(A210,orders!A:C,3,0),employees!A:B,2,0)</f>
        <v>Margaret Peacock</v>
      </c>
    </row>
    <row r="211" spans="1:11" x14ac:dyDescent="0.25">
      <c r="A211">
        <v>10327</v>
      </c>
      <c r="B211">
        <v>2</v>
      </c>
      <c r="C211">
        <v>15.2</v>
      </c>
      <c r="D211">
        <v>25</v>
      </c>
      <c r="E211">
        <v>0.2</v>
      </c>
      <c r="F211">
        <f t="shared" si="3"/>
        <v>304</v>
      </c>
      <c r="G211">
        <f>YEAR(VLOOKUP(A211,orders!A:D,4,0))</f>
        <v>2013</v>
      </c>
      <c r="H211">
        <f>MONTH(INDEX(orders!D:D,MATCH(A211, orders!A:A,0)))</f>
        <v>10</v>
      </c>
      <c r="I211" t="str">
        <f>VLOOKUP(VLOOKUP(B211,products!A:F,6,0),categories!A:B,2,0)</f>
        <v>Beverages</v>
      </c>
      <c r="J211" t="str">
        <f>VLOOKUP(VLOOKUP(A211,orders!A:B,2,0),customers!A:F,6,0)</f>
        <v>Sweden</v>
      </c>
      <c r="K211" t="str">
        <f>VLOOKUP(VLOOKUP(A211,orders!A:C,3,0),employees!A:B,2,0)</f>
        <v>Andrew Fuller</v>
      </c>
    </row>
    <row r="212" spans="1:11" x14ac:dyDescent="0.25">
      <c r="A212">
        <v>10327</v>
      </c>
      <c r="B212">
        <v>11</v>
      </c>
      <c r="C212">
        <v>16.8</v>
      </c>
      <c r="D212">
        <v>50</v>
      </c>
      <c r="E212">
        <v>0.2</v>
      </c>
      <c r="F212">
        <f t="shared" si="3"/>
        <v>672</v>
      </c>
      <c r="G212">
        <f>YEAR(VLOOKUP(A212,orders!A:D,4,0))</f>
        <v>2013</v>
      </c>
      <c r="H212">
        <f>MONTH(INDEX(orders!D:D,MATCH(A212, orders!A:A,0)))</f>
        <v>10</v>
      </c>
      <c r="I212" t="str">
        <f>VLOOKUP(VLOOKUP(B212,products!A:F,6,0),categories!A:B,2,0)</f>
        <v>Dairy Products</v>
      </c>
      <c r="J212" t="str">
        <f>VLOOKUP(VLOOKUP(A212,orders!A:B,2,0),customers!A:F,6,0)</f>
        <v>Sweden</v>
      </c>
      <c r="K212" t="str">
        <f>VLOOKUP(VLOOKUP(A212,orders!A:C,3,0),employees!A:B,2,0)</f>
        <v>Andrew Fuller</v>
      </c>
    </row>
    <row r="213" spans="1:11" x14ac:dyDescent="0.25">
      <c r="A213">
        <v>10327</v>
      </c>
      <c r="B213">
        <v>30</v>
      </c>
      <c r="C213">
        <v>20.7</v>
      </c>
      <c r="D213">
        <v>35</v>
      </c>
      <c r="E213">
        <v>0.2</v>
      </c>
      <c r="F213">
        <f t="shared" si="3"/>
        <v>579.6</v>
      </c>
      <c r="G213">
        <f>YEAR(VLOOKUP(A213,orders!A:D,4,0))</f>
        <v>2013</v>
      </c>
      <c r="H213">
        <f>MONTH(INDEX(orders!D:D,MATCH(A213, orders!A:A,0)))</f>
        <v>10</v>
      </c>
      <c r="I213" t="str">
        <f>VLOOKUP(VLOOKUP(B213,products!A:F,6,0),categories!A:B,2,0)</f>
        <v>Seafood</v>
      </c>
      <c r="J213" t="str">
        <f>VLOOKUP(VLOOKUP(A213,orders!A:B,2,0),customers!A:F,6,0)</f>
        <v>Sweden</v>
      </c>
      <c r="K213" t="str">
        <f>VLOOKUP(VLOOKUP(A213,orders!A:C,3,0),employees!A:B,2,0)</f>
        <v>Andrew Fuller</v>
      </c>
    </row>
    <row r="214" spans="1:11" x14ac:dyDescent="0.25">
      <c r="A214">
        <v>10327</v>
      </c>
      <c r="B214">
        <v>58</v>
      </c>
      <c r="C214">
        <v>10.6</v>
      </c>
      <c r="D214">
        <v>30</v>
      </c>
      <c r="E214">
        <v>0.2</v>
      </c>
      <c r="F214">
        <f t="shared" si="3"/>
        <v>254.4</v>
      </c>
      <c r="G214">
        <f>YEAR(VLOOKUP(A214,orders!A:D,4,0))</f>
        <v>2013</v>
      </c>
      <c r="H214">
        <f>MONTH(INDEX(orders!D:D,MATCH(A214, orders!A:A,0)))</f>
        <v>10</v>
      </c>
      <c r="I214" t="str">
        <f>VLOOKUP(VLOOKUP(B214,products!A:F,6,0),categories!A:B,2,0)</f>
        <v>Seafood</v>
      </c>
      <c r="J214" t="str">
        <f>VLOOKUP(VLOOKUP(A214,orders!A:B,2,0),customers!A:F,6,0)</f>
        <v>Sweden</v>
      </c>
      <c r="K214" t="str">
        <f>VLOOKUP(VLOOKUP(A214,orders!A:C,3,0),employees!A:B,2,0)</f>
        <v>Andrew Fuller</v>
      </c>
    </row>
    <row r="215" spans="1:11" x14ac:dyDescent="0.25">
      <c r="A215">
        <v>10328</v>
      </c>
      <c r="B215">
        <v>59</v>
      </c>
      <c r="C215">
        <v>44</v>
      </c>
      <c r="D215">
        <v>9</v>
      </c>
      <c r="E215">
        <v>0</v>
      </c>
      <c r="F215">
        <f t="shared" si="3"/>
        <v>396</v>
      </c>
      <c r="G215">
        <f>YEAR(VLOOKUP(A215,orders!A:D,4,0))</f>
        <v>2013</v>
      </c>
      <c r="H215">
        <f>MONTH(INDEX(orders!D:D,MATCH(A215, orders!A:A,0)))</f>
        <v>10</v>
      </c>
      <c r="I215" t="str">
        <f>VLOOKUP(VLOOKUP(B215,products!A:F,6,0),categories!A:B,2,0)</f>
        <v>Dairy Products</v>
      </c>
      <c r="J215" t="str">
        <f>VLOOKUP(VLOOKUP(A215,orders!A:B,2,0),customers!A:F,6,0)</f>
        <v>Portugal</v>
      </c>
      <c r="K215" t="str">
        <f>VLOOKUP(VLOOKUP(A215,orders!A:C,3,0),employees!A:B,2,0)</f>
        <v>Margaret Peacock</v>
      </c>
    </row>
    <row r="216" spans="1:11" x14ac:dyDescent="0.25">
      <c r="A216">
        <v>10328</v>
      </c>
      <c r="B216">
        <v>65</v>
      </c>
      <c r="C216">
        <v>16.8</v>
      </c>
      <c r="D216">
        <v>40</v>
      </c>
      <c r="E216">
        <v>0</v>
      </c>
      <c r="F216">
        <f t="shared" si="3"/>
        <v>672</v>
      </c>
      <c r="G216">
        <f>YEAR(VLOOKUP(A216,orders!A:D,4,0))</f>
        <v>2013</v>
      </c>
      <c r="H216">
        <f>MONTH(INDEX(orders!D:D,MATCH(A216, orders!A:A,0)))</f>
        <v>10</v>
      </c>
      <c r="I216" t="str">
        <f>VLOOKUP(VLOOKUP(B216,products!A:F,6,0),categories!A:B,2,0)</f>
        <v>Condiments</v>
      </c>
      <c r="J216" t="str">
        <f>VLOOKUP(VLOOKUP(A216,orders!A:B,2,0),customers!A:F,6,0)</f>
        <v>Portugal</v>
      </c>
      <c r="K216" t="str">
        <f>VLOOKUP(VLOOKUP(A216,orders!A:C,3,0),employees!A:B,2,0)</f>
        <v>Margaret Peacock</v>
      </c>
    </row>
    <row r="217" spans="1:11" x14ac:dyDescent="0.25">
      <c r="A217">
        <v>10328</v>
      </c>
      <c r="B217">
        <v>68</v>
      </c>
      <c r="C217">
        <v>10</v>
      </c>
      <c r="D217">
        <v>10</v>
      </c>
      <c r="E217">
        <v>0</v>
      </c>
      <c r="F217">
        <f t="shared" si="3"/>
        <v>100</v>
      </c>
      <c r="G217">
        <f>YEAR(VLOOKUP(A217,orders!A:D,4,0))</f>
        <v>2013</v>
      </c>
      <c r="H217">
        <f>MONTH(INDEX(orders!D:D,MATCH(A217, orders!A:A,0)))</f>
        <v>10</v>
      </c>
      <c r="I217" t="str">
        <f>VLOOKUP(VLOOKUP(B217,products!A:F,6,0),categories!A:B,2,0)</f>
        <v>Confections</v>
      </c>
      <c r="J217" t="str">
        <f>VLOOKUP(VLOOKUP(A217,orders!A:B,2,0),customers!A:F,6,0)</f>
        <v>Portugal</v>
      </c>
      <c r="K217" t="str">
        <f>VLOOKUP(VLOOKUP(A217,orders!A:C,3,0),employees!A:B,2,0)</f>
        <v>Margaret Peacock</v>
      </c>
    </row>
    <row r="218" spans="1:11" x14ac:dyDescent="0.25">
      <c r="A218">
        <v>10329</v>
      </c>
      <c r="B218">
        <v>19</v>
      </c>
      <c r="C218">
        <v>7.3</v>
      </c>
      <c r="D218">
        <v>10</v>
      </c>
      <c r="E218">
        <v>0.05</v>
      </c>
      <c r="F218">
        <f t="shared" si="3"/>
        <v>69.349999999999994</v>
      </c>
      <c r="G218">
        <f>YEAR(VLOOKUP(A218,orders!A:D,4,0))</f>
        <v>2013</v>
      </c>
      <c r="H218">
        <f>MONTH(INDEX(orders!D:D,MATCH(A218, orders!A:A,0)))</f>
        <v>10</v>
      </c>
      <c r="I218" t="str">
        <f>VLOOKUP(VLOOKUP(B218,products!A:F,6,0),categories!A:B,2,0)</f>
        <v>Confections</v>
      </c>
      <c r="J218" t="str">
        <f>VLOOKUP(VLOOKUP(A218,orders!A:B,2,0),customers!A:F,6,0)</f>
        <v>USA</v>
      </c>
      <c r="K218" t="str">
        <f>VLOOKUP(VLOOKUP(A218,orders!A:C,3,0),employees!A:B,2,0)</f>
        <v>Margaret Peacock</v>
      </c>
    </row>
    <row r="219" spans="1:11" x14ac:dyDescent="0.25">
      <c r="A219">
        <v>10329</v>
      </c>
      <c r="B219">
        <v>30</v>
      </c>
      <c r="C219">
        <v>20.7</v>
      </c>
      <c r="D219">
        <v>8</v>
      </c>
      <c r="E219">
        <v>0.05</v>
      </c>
      <c r="F219">
        <f t="shared" si="3"/>
        <v>157.32</v>
      </c>
      <c r="G219">
        <f>YEAR(VLOOKUP(A219,orders!A:D,4,0))</f>
        <v>2013</v>
      </c>
      <c r="H219">
        <f>MONTH(INDEX(orders!D:D,MATCH(A219, orders!A:A,0)))</f>
        <v>10</v>
      </c>
      <c r="I219" t="str">
        <f>VLOOKUP(VLOOKUP(B219,products!A:F,6,0),categories!A:B,2,0)</f>
        <v>Seafood</v>
      </c>
      <c r="J219" t="str">
        <f>VLOOKUP(VLOOKUP(A219,orders!A:B,2,0),customers!A:F,6,0)</f>
        <v>USA</v>
      </c>
      <c r="K219" t="str">
        <f>VLOOKUP(VLOOKUP(A219,orders!A:C,3,0),employees!A:B,2,0)</f>
        <v>Margaret Peacock</v>
      </c>
    </row>
    <row r="220" spans="1:11" x14ac:dyDescent="0.25">
      <c r="A220">
        <v>10329</v>
      </c>
      <c r="B220">
        <v>38</v>
      </c>
      <c r="C220">
        <v>210.8</v>
      </c>
      <c r="D220">
        <v>20</v>
      </c>
      <c r="E220">
        <v>0.05</v>
      </c>
      <c r="F220">
        <f t="shared" si="3"/>
        <v>4005.2</v>
      </c>
      <c r="G220">
        <f>YEAR(VLOOKUP(A220,orders!A:D,4,0))</f>
        <v>2013</v>
      </c>
      <c r="H220">
        <f>MONTH(INDEX(orders!D:D,MATCH(A220, orders!A:A,0)))</f>
        <v>10</v>
      </c>
      <c r="I220" t="str">
        <f>VLOOKUP(VLOOKUP(B220,products!A:F,6,0),categories!A:B,2,0)</f>
        <v>Beverages</v>
      </c>
      <c r="J220" t="str">
        <f>VLOOKUP(VLOOKUP(A220,orders!A:B,2,0),customers!A:F,6,0)</f>
        <v>USA</v>
      </c>
      <c r="K220" t="str">
        <f>VLOOKUP(VLOOKUP(A220,orders!A:C,3,0),employees!A:B,2,0)</f>
        <v>Margaret Peacock</v>
      </c>
    </row>
    <row r="221" spans="1:11" x14ac:dyDescent="0.25">
      <c r="A221">
        <v>10329</v>
      </c>
      <c r="B221">
        <v>56</v>
      </c>
      <c r="C221">
        <v>30.4</v>
      </c>
      <c r="D221">
        <v>12</v>
      </c>
      <c r="E221">
        <v>0.05</v>
      </c>
      <c r="F221">
        <f t="shared" si="3"/>
        <v>346.55999999999995</v>
      </c>
      <c r="G221">
        <f>YEAR(VLOOKUP(A221,orders!A:D,4,0))</f>
        <v>2013</v>
      </c>
      <c r="H221">
        <f>MONTH(INDEX(orders!D:D,MATCH(A221, orders!A:A,0)))</f>
        <v>10</v>
      </c>
      <c r="I221" t="str">
        <f>VLOOKUP(VLOOKUP(B221,products!A:F,6,0),categories!A:B,2,0)</f>
        <v>Grains &amp; Cereals</v>
      </c>
      <c r="J221" t="str">
        <f>VLOOKUP(VLOOKUP(A221,orders!A:B,2,0),customers!A:F,6,0)</f>
        <v>USA</v>
      </c>
      <c r="K221" t="str">
        <f>VLOOKUP(VLOOKUP(A221,orders!A:C,3,0),employees!A:B,2,0)</f>
        <v>Margaret Peacock</v>
      </c>
    </row>
    <row r="222" spans="1:11" x14ac:dyDescent="0.25">
      <c r="A222">
        <v>10330</v>
      </c>
      <c r="B222">
        <v>26</v>
      </c>
      <c r="C222">
        <v>24.9</v>
      </c>
      <c r="D222">
        <v>50</v>
      </c>
      <c r="E222">
        <v>0.15</v>
      </c>
      <c r="F222">
        <f t="shared" si="3"/>
        <v>1058.25</v>
      </c>
      <c r="G222">
        <f>YEAR(VLOOKUP(A222,orders!A:D,4,0))</f>
        <v>2013</v>
      </c>
      <c r="H222">
        <f>MONTH(INDEX(orders!D:D,MATCH(A222, orders!A:A,0)))</f>
        <v>10</v>
      </c>
      <c r="I222" t="str">
        <f>VLOOKUP(VLOOKUP(B222,products!A:F,6,0),categories!A:B,2,0)</f>
        <v>Confections</v>
      </c>
      <c r="J222" t="str">
        <f>VLOOKUP(VLOOKUP(A222,orders!A:B,2,0),customers!A:F,6,0)</f>
        <v>Venezuela</v>
      </c>
      <c r="K222" t="str">
        <f>VLOOKUP(VLOOKUP(A222,orders!A:C,3,0),employees!A:B,2,0)</f>
        <v>Janet Leverling</v>
      </c>
    </row>
    <row r="223" spans="1:11" x14ac:dyDescent="0.25">
      <c r="A223">
        <v>10330</v>
      </c>
      <c r="B223">
        <v>72</v>
      </c>
      <c r="C223">
        <v>27.8</v>
      </c>
      <c r="D223">
        <v>25</v>
      </c>
      <c r="E223">
        <v>0.15</v>
      </c>
      <c r="F223">
        <f t="shared" si="3"/>
        <v>590.75</v>
      </c>
      <c r="G223">
        <f>YEAR(VLOOKUP(A223,orders!A:D,4,0))</f>
        <v>2013</v>
      </c>
      <c r="H223">
        <f>MONTH(INDEX(orders!D:D,MATCH(A223, orders!A:A,0)))</f>
        <v>10</v>
      </c>
      <c r="I223" t="str">
        <f>VLOOKUP(VLOOKUP(B223,products!A:F,6,0),categories!A:B,2,0)</f>
        <v>Dairy Products</v>
      </c>
      <c r="J223" t="str">
        <f>VLOOKUP(VLOOKUP(A223,orders!A:B,2,0),customers!A:F,6,0)</f>
        <v>Venezuela</v>
      </c>
      <c r="K223" t="str">
        <f>VLOOKUP(VLOOKUP(A223,orders!A:C,3,0),employees!A:B,2,0)</f>
        <v>Janet Leverling</v>
      </c>
    </row>
    <row r="224" spans="1:11" x14ac:dyDescent="0.25">
      <c r="A224">
        <v>10331</v>
      </c>
      <c r="B224">
        <v>54</v>
      </c>
      <c r="C224">
        <v>5.9</v>
      </c>
      <c r="D224">
        <v>15</v>
      </c>
      <c r="E224">
        <v>0</v>
      </c>
      <c r="F224">
        <f t="shared" si="3"/>
        <v>88.5</v>
      </c>
      <c r="G224">
        <f>YEAR(VLOOKUP(A224,orders!A:D,4,0))</f>
        <v>2013</v>
      </c>
      <c r="H224">
        <f>MONTH(INDEX(orders!D:D,MATCH(A224, orders!A:A,0)))</f>
        <v>10</v>
      </c>
      <c r="I224" t="str">
        <f>VLOOKUP(VLOOKUP(B224,products!A:F,6,0),categories!A:B,2,0)</f>
        <v>Meat &amp; Poultry</v>
      </c>
      <c r="J224" t="str">
        <f>VLOOKUP(VLOOKUP(A224,orders!A:B,2,0),customers!A:F,6,0)</f>
        <v>France</v>
      </c>
      <c r="K224" t="str">
        <f>VLOOKUP(VLOOKUP(A224,orders!A:C,3,0),employees!A:B,2,0)</f>
        <v>Anne Dodsworth</v>
      </c>
    </row>
    <row r="225" spans="1:11" x14ac:dyDescent="0.25">
      <c r="A225">
        <v>10332</v>
      </c>
      <c r="B225">
        <v>18</v>
      </c>
      <c r="C225">
        <v>50</v>
      </c>
      <c r="D225">
        <v>40</v>
      </c>
      <c r="E225">
        <v>0.2</v>
      </c>
      <c r="F225">
        <f t="shared" si="3"/>
        <v>1600</v>
      </c>
      <c r="G225">
        <f>YEAR(VLOOKUP(A225,orders!A:D,4,0))</f>
        <v>2013</v>
      </c>
      <c r="H225">
        <f>MONTH(INDEX(orders!D:D,MATCH(A225, orders!A:A,0)))</f>
        <v>10</v>
      </c>
      <c r="I225" t="str">
        <f>VLOOKUP(VLOOKUP(B225,products!A:F,6,0),categories!A:B,2,0)</f>
        <v>Seafood</v>
      </c>
      <c r="J225" t="str">
        <f>VLOOKUP(VLOOKUP(A225,orders!A:B,2,0),customers!A:F,6,0)</f>
        <v>Canada</v>
      </c>
      <c r="K225" t="str">
        <f>VLOOKUP(VLOOKUP(A225,orders!A:C,3,0),employees!A:B,2,0)</f>
        <v>Janet Leverling</v>
      </c>
    </row>
    <row r="226" spans="1:11" x14ac:dyDescent="0.25">
      <c r="A226">
        <v>10332</v>
      </c>
      <c r="B226">
        <v>42</v>
      </c>
      <c r="C226">
        <v>11.2</v>
      </c>
      <c r="D226">
        <v>10</v>
      </c>
      <c r="E226">
        <v>0.2</v>
      </c>
      <c r="F226">
        <f t="shared" si="3"/>
        <v>89.600000000000009</v>
      </c>
      <c r="G226">
        <f>YEAR(VLOOKUP(A226,orders!A:D,4,0))</f>
        <v>2013</v>
      </c>
      <c r="H226">
        <f>MONTH(INDEX(orders!D:D,MATCH(A226, orders!A:A,0)))</f>
        <v>10</v>
      </c>
      <c r="I226" t="str">
        <f>VLOOKUP(VLOOKUP(B226,products!A:F,6,0),categories!A:B,2,0)</f>
        <v>Grains &amp; Cereals</v>
      </c>
      <c r="J226" t="str">
        <f>VLOOKUP(VLOOKUP(A226,orders!A:B,2,0),customers!A:F,6,0)</f>
        <v>Canada</v>
      </c>
      <c r="K226" t="str">
        <f>VLOOKUP(VLOOKUP(A226,orders!A:C,3,0),employees!A:B,2,0)</f>
        <v>Janet Leverling</v>
      </c>
    </row>
    <row r="227" spans="1:11" x14ac:dyDescent="0.25">
      <c r="A227">
        <v>10332</v>
      </c>
      <c r="B227">
        <v>47</v>
      </c>
      <c r="C227">
        <v>7.6</v>
      </c>
      <c r="D227">
        <v>16</v>
      </c>
      <c r="E227">
        <v>0.2</v>
      </c>
      <c r="F227">
        <f t="shared" si="3"/>
        <v>97.28</v>
      </c>
      <c r="G227">
        <f>YEAR(VLOOKUP(A227,orders!A:D,4,0))</f>
        <v>2013</v>
      </c>
      <c r="H227">
        <f>MONTH(INDEX(orders!D:D,MATCH(A227, orders!A:A,0)))</f>
        <v>10</v>
      </c>
      <c r="I227" t="str">
        <f>VLOOKUP(VLOOKUP(B227,products!A:F,6,0),categories!A:B,2,0)</f>
        <v>Confections</v>
      </c>
      <c r="J227" t="str">
        <f>VLOOKUP(VLOOKUP(A227,orders!A:B,2,0),customers!A:F,6,0)</f>
        <v>Canada</v>
      </c>
      <c r="K227" t="str">
        <f>VLOOKUP(VLOOKUP(A227,orders!A:C,3,0),employees!A:B,2,0)</f>
        <v>Janet Leverling</v>
      </c>
    </row>
    <row r="228" spans="1:11" x14ac:dyDescent="0.25">
      <c r="A228">
        <v>10333</v>
      </c>
      <c r="B228">
        <v>14</v>
      </c>
      <c r="C228">
        <v>18.600000000000001</v>
      </c>
      <c r="D228">
        <v>10</v>
      </c>
      <c r="E228">
        <v>0</v>
      </c>
      <c r="F228">
        <f t="shared" si="3"/>
        <v>186</v>
      </c>
      <c r="G228">
        <f>YEAR(VLOOKUP(A228,orders!A:D,4,0))</f>
        <v>2013</v>
      </c>
      <c r="H228">
        <f>MONTH(INDEX(orders!D:D,MATCH(A228, orders!A:A,0)))</f>
        <v>10</v>
      </c>
      <c r="I228" t="str">
        <f>VLOOKUP(VLOOKUP(B228,products!A:F,6,0),categories!A:B,2,0)</f>
        <v>Produce</v>
      </c>
      <c r="J228" t="str">
        <f>VLOOKUP(VLOOKUP(A228,orders!A:B,2,0),customers!A:F,6,0)</f>
        <v>Finland</v>
      </c>
      <c r="K228" t="str">
        <f>VLOOKUP(VLOOKUP(A228,orders!A:C,3,0),employees!A:B,2,0)</f>
        <v>Steven Buchanan</v>
      </c>
    </row>
    <row r="229" spans="1:11" x14ac:dyDescent="0.25">
      <c r="A229">
        <v>10333</v>
      </c>
      <c r="B229">
        <v>21</v>
      </c>
      <c r="C229">
        <v>8</v>
      </c>
      <c r="D229">
        <v>10</v>
      </c>
      <c r="E229">
        <v>0.1</v>
      </c>
      <c r="F229">
        <f t="shared" si="3"/>
        <v>72</v>
      </c>
      <c r="G229">
        <f>YEAR(VLOOKUP(A229,orders!A:D,4,0))</f>
        <v>2013</v>
      </c>
      <c r="H229">
        <f>MONTH(INDEX(orders!D:D,MATCH(A229, orders!A:A,0)))</f>
        <v>10</v>
      </c>
      <c r="I229" t="str">
        <f>VLOOKUP(VLOOKUP(B229,products!A:F,6,0),categories!A:B,2,0)</f>
        <v>Confections</v>
      </c>
      <c r="J229" t="str">
        <f>VLOOKUP(VLOOKUP(A229,orders!A:B,2,0),customers!A:F,6,0)</f>
        <v>Finland</v>
      </c>
      <c r="K229" t="str">
        <f>VLOOKUP(VLOOKUP(A229,orders!A:C,3,0),employees!A:B,2,0)</f>
        <v>Steven Buchanan</v>
      </c>
    </row>
    <row r="230" spans="1:11" x14ac:dyDescent="0.25">
      <c r="A230">
        <v>10333</v>
      </c>
      <c r="B230">
        <v>71</v>
      </c>
      <c r="C230">
        <v>17.2</v>
      </c>
      <c r="D230">
        <v>40</v>
      </c>
      <c r="E230">
        <v>0.1</v>
      </c>
      <c r="F230">
        <f t="shared" si="3"/>
        <v>619.20000000000005</v>
      </c>
      <c r="G230">
        <f>YEAR(VLOOKUP(A230,orders!A:D,4,0))</f>
        <v>2013</v>
      </c>
      <c r="H230">
        <f>MONTH(INDEX(orders!D:D,MATCH(A230, orders!A:A,0)))</f>
        <v>10</v>
      </c>
      <c r="I230" t="str">
        <f>VLOOKUP(VLOOKUP(B230,products!A:F,6,0),categories!A:B,2,0)</f>
        <v>Dairy Products</v>
      </c>
      <c r="J230" t="str">
        <f>VLOOKUP(VLOOKUP(A230,orders!A:B,2,0),customers!A:F,6,0)</f>
        <v>Finland</v>
      </c>
      <c r="K230" t="str">
        <f>VLOOKUP(VLOOKUP(A230,orders!A:C,3,0),employees!A:B,2,0)</f>
        <v>Steven Buchanan</v>
      </c>
    </row>
    <row r="231" spans="1:11" x14ac:dyDescent="0.25">
      <c r="A231">
        <v>10334</v>
      </c>
      <c r="B231">
        <v>52</v>
      </c>
      <c r="C231">
        <v>5.6</v>
      </c>
      <c r="D231">
        <v>8</v>
      </c>
      <c r="E231">
        <v>0</v>
      </c>
      <c r="F231">
        <f t="shared" si="3"/>
        <v>44.8</v>
      </c>
      <c r="G231">
        <f>YEAR(VLOOKUP(A231,orders!A:D,4,0))</f>
        <v>2013</v>
      </c>
      <c r="H231">
        <f>MONTH(INDEX(orders!D:D,MATCH(A231, orders!A:A,0)))</f>
        <v>10</v>
      </c>
      <c r="I231" t="str">
        <f>VLOOKUP(VLOOKUP(B231,products!A:F,6,0),categories!A:B,2,0)</f>
        <v>Grains &amp; Cereals</v>
      </c>
      <c r="J231" t="str">
        <f>VLOOKUP(VLOOKUP(A231,orders!A:B,2,0),customers!A:F,6,0)</f>
        <v>France</v>
      </c>
      <c r="K231" t="str">
        <f>VLOOKUP(VLOOKUP(A231,orders!A:C,3,0),employees!A:B,2,0)</f>
        <v>Laura Callahan</v>
      </c>
    </row>
    <row r="232" spans="1:11" x14ac:dyDescent="0.25">
      <c r="A232">
        <v>10334</v>
      </c>
      <c r="B232">
        <v>68</v>
      </c>
      <c r="C232">
        <v>10</v>
      </c>
      <c r="D232">
        <v>10</v>
      </c>
      <c r="E232">
        <v>0</v>
      </c>
      <c r="F232">
        <f t="shared" si="3"/>
        <v>100</v>
      </c>
      <c r="G232">
        <f>YEAR(VLOOKUP(A232,orders!A:D,4,0))</f>
        <v>2013</v>
      </c>
      <c r="H232">
        <f>MONTH(INDEX(orders!D:D,MATCH(A232, orders!A:A,0)))</f>
        <v>10</v>
      </c>
      <c r="I232" t="str">
        <f>VLOOKUP(VLOOKUP(B232,products!A:F,6,0),categories!A:B,2,0)</f>
        <v>Confections</v>
      </c>
      <c r="J232" t="str">
        <f>VLOOKUP(VLOOKUP(A232,orders!A:B,2,0),customers!A:F,6,0)</f>
        <v>France</v>
      </c>
      <c r="K232" t="str">
        <f>VLOOKUP(VLOOKUP(A232,orders!A:C,3,0),employees!A:B,2,0)</f>
        <v>Laura Callahan</v>
      </c>
    </row>
    <row r="233" spans="1:11" x14ac:dyDescent="0.25">
      <c r="A233">
        <v>10335</v>
      </c>
      <c r="B233">
        <v>2</v>
      </c>
      <c r="C233">
        <v>15.2</v>
      </c>
      <c r="D233">
        <v>7</v>
      </c>
      <c r="E233">
        <v>0.2</v>
      </c>
      <c r="F233">
        <f t="shared" si="3"/>
        <v>85.12</v>
      </c>
      <c r="G233">
        <f>YEAR(VLOOKUP(A233,orders!A:D,4,0))</f>
        <v>2013</v>
      </c>
      <c r="H233">
        <f>MONTH(INDEX(orders!D:D,MATCH(A233, orders!A:A,0)))</f>
        <v>10</v>
      </c>
      <c r="I233" t="str">
        <f>VLOOKUP(VLOOKUP(B233,products!A:F,6,0),categories!A:B,2,0)</f>
        <v>Beverages</v>
      </c>
      <c r="J233" t="str">
        <f>VLOOKUP(VLOOKUP(A233,orders!A:B,2,0),customers!A:F,6,0)</f>
        <v>Ireland</v>
      </c>
      <c r="K233" t="str">
        <f>VLOOKUP(VLOOKUP(A233,orders!A:C,3,0),employees!A:B,2,0)</f>
        <v>Robert King</v>
      </c>
    </row>
    <row r="234" spans="1:11" x14ac:dyDescent="0.25">
      <c r="A234">
        <v>10335</v>
      </c>
      <c r="B234">
        <v>31</v>
      </c>
      <c r="C234">
        <v>10</v>
      </c>
      <c r="D234">
        <v>25</v>
      </c>
      <c r="E234">
        <v>0.2</v>
      </c>
      <c r="F234">
        <f t="shared" si="3"/>
        <v>200</v>
      </c>
      <c r="G234">
        <f>YEAR(VLOOKUP(A234,orders!A:D,4,0))</f>
        <v>2013</v>
      </c>
      <c r="H234">
        <f>MONTH(INDEX(orders!D:D,MATCH(A234, orders!A:A,0)))</f>
        <v>10</v>
      </c>
      <c r="I234" t="str">
        <f>VLOOKUP(VLOOKUP(B234,products!A:F,6,0),categories!A:B,2,0)</f>
        <v>Dairy Products</v>
      </c>
      <c r="J234" t="str">
        <f>VLOOKUP(VLOOKUP(A234,orders!A:B,2,0),customers!A:F,6,0)</f>
        <v>Ireland</v>
      </c>
      <c r="K234" t="str">
        <f>VLOOKUP(VLOOKUP(A234,orders!A:C,3,0),employees!A:B,2,0)</f>
        <v>Robert King</v>
      </c>
    </row>
    <row r="235" spans="1:11" x14ac:dyDescent="0.25">
      <c r="A235">
        <v>10335</v>
      </c>
      <c r="B235">
        <v>32</v>
      </c>
      <c r="C235">
        <v>25.6</v>
      </c>
      <c r="D235">
        <v>6</v>
      </c>
      <c r="E235">
        <v>0.2</v>
      </c>
      <c r="F235">
        <f t="shared" si="3"/>
        <v>122.88000000000002</v>
      </c>
      <c r="G235">
        <f>YEAR(VLOOKUP(A235,orders!A:D,4,0))</f>
        <v>2013</v>
      </c>
      <c r="H235">
        <f>MONTH(INDEX(orders!D:D,MATCH(A235, orders!A:A,0)))</f>
        <v>10</v>
      </c>
      <c r="I235" t="str">
        <f>VLOOKUP(VLOOKUP(B235,products!A:F,6,0),categories!A:B,2,0)</f>
        <v>Dairy Products</v>
      </c>
      <c r="J235" t="str">
        <f>VLOOKUP(VLOOKUP(A235,orders!A:B,2,0),customers!A:F,6,0)</f>
        <v>Ireland</v>
      </c>
      <c r="K235" t="str">
        <f>VLOOKUP(VLOOKUP(A235,orders!A:C,3,0),employees!A:B,2,0)</f>
        <v>Robert King</v>
      </c>
    </row>
    <row r="236" spans="1:11" x14ac:dyDescent="0.25">
      <c r="A236">
        <v>10335</v>
      </c>
      <c r="B236">
        <v>51</v>
      </c>
      <c r="C236">
        <v>42.4</v>
      </c>
      <c r="D236">
        <v>48</v>
      </c>
      <c r="E236">
        <v>0.2</v>
      </c>
      <c r="F236">
        <f t="shared" si="3"/>
        <v>1628.1599999999999</v>
      </c>
      <c r="G236">
        <f>YEAR(VLOOKUP(A236,orders!A:D,4,0))</f>
        <v>2013</v>
      </c>
      <c r="H236">
        <f>MONTH(INDEX(orders!D:D,MATCH(A236, orders!A:A,0)))</f>
        <v>10</v>
      </c>
      <c r="I236" t="str">
        <f>VLOOKUP(VLOOKUP(B236,products!A:F,6,0),categories!A:B,2,0)</f>
        <v>Produce</v>
      </c>
      <c r="J236" t="str">
        <f>VLOOKUP(VLOOKUP(A236,orders!A:B,2,0),customers!A:F,6,0)</f>
        <v>Ireland</v>
      </c>
      <c r="K236" t="str">
        <f>VLOOKUP(VLOOKUP(A236,orders!A:C,3,0),employees!A:B,2,0)</f>
        <v>Robert King</v>
      </c>
    </row>
    <row r="237" spans="1:11" x14ac:dyDescent="0.25">
      <c r="A237">
        <v>10336</v>
      </c>
      <c r="B237">
        <v>4</v>
      </c>
      <c r="C237">
        <v>17.600000000000001</v>
      </c>
      <c r="D237">
        <v>18</v>
      </c>
      <c r="E237">
        <v>0.1</v>
      </c>
      <c r="F237">
        <f t="shared" si="3"/>
        <v>285.12</v>
      </c>
      <c r="G237">
        <f>YEAR(VLOOKUP(A237,orders!A:D,4,0))</f>
        <v>2013</v>
      </c>
      <c r="H237">
        <f>MONTH(INDEX(orders!D:D,MATCH(A237, orders!A:A,0)))</f>
        <v>10</v>
      </c>
      <c r="I237" t="str">
        <f>VLOOKUP(VLOOKUP(B237,products!A:F,6,0),categories!A:B,2,0)</f>
        <v>Condiments</v>
      </c>
      <c r="J237" t="str">
        <f>VLOOKUP(VLOOKUP(A237,orders!A:B,2,0),customers!A:F,6,0)</f>
        <v>Portugal</v>
      </c>
      <c r="K237" t="str">
        <f>VLOOKUP(VLOOKUP(A237,orders!A:C,3,0),employees!A:B,2,0)</f>
        <v>Robert King</v>
      </c>
    </row>
    <row r="238" spans="1:11" x14ac:dyDescent="0.25">
      <c r="A238">
        <v>10337</v>
      </c>
      <c r="B238">
        <v>23</v>
      </c>
      <c r="C238">
        <v>7.2</v>
      </c>
      <c r="D238">
        <v>40</v>
      </c>
      <c r="E238">
        <v>0</v>
      </c>
      <c r="F238">
        <f t="shared" si="3"/>
        <v>288</v>
      </c>
      <c r="G238">
        <f>YEAR(VLOOKUP(A238,orders!A:D,4,0))</f>
        <v>2013</v>
      </c>
      <c r="H238">
        <f>MONTH(INDEX(orders!D:D,MATCH(A238, orders!A:A,0)))</f>
        <v>10</v>
      </c>
      <c r="I238" t="str">
        <f>VLOOKUP(VLOOKUP(B238,products!A:F,6,0),categories!A:B,2,0)</f>
        <v>Grains &amp; Cereals</v>
      </c>
      <c r="J238" t="str">
        <f>VLOOKUP(VLOOKUP(A238,orders!A:B,2,0),customers!A:F,6,0)</f>
        <v>Germany</v>
      </c>
      <c r="K238" t="str">
        <f>VLOOKUP(VLOOKUP(A238,orders!A:C,3,0),employees!A:B,2,0)</f>
        <v>Margaret Peacock</v>
      </c>
    </row>
    <row r="239" spans="1:11" x14ac:dyDescent="0.25">
      <c r="A239">
        <v>10337</v>
      </c>
      <c r="B239">
        <v>26</v>
      </c>
      <c r="C239">
        <v>24.9</v>
      </c>
      <c r="D239">
        <v>24</v>
      </c>
      <c r="E239">
        <v>0</v>
      </c>
      <c r="F239">
        <f t="shared" si="3"/>
        <v>597.59999999999991</v>
      </c>
      <c r="G239">
        <f>YEAR(VLOOKUP(A239,orders!A:D,4,0))</f>
        <v>2013</v>
      </c>
      <c r="H239">
        <f>MONTH(INDEX(orders!D:D,MATCH(A239, orders!A:A,0)))</f>
        <v>10</v>
      </c>
      <c r="I239" t="str">
        <f>VLOOKUP(VLOOKUP(B239,products!A:F,6,0),categories!A:B,2,0)</f>
        <v>Confections</v>
      </c>
      <c r="J239" t="str">
        <f>VLOOKUP(VLOOKUP(A239,orders!A:B,2,0),customers!A:F,6,0)</f>
        <v>Germany</v>
      </c>
      <c r="K239" t="str">
        <f>VLOOKUP(VLOOKUP(A239,orders!A:C,3,0),employees!A:B,2,0)</f>
        <v>Margaret Peacock</v>
      </c>
    </row>
    <row r="240" spans="1:11" x14ac:dyDescent="0.25">
      <c r="A240">
        <v>10337</v>
      </c>
      <c r="B240">
        <v>36</v>
      </c>
      <c r="C240">
        <v>15.2</v>
      </c>
      <c r="D240">
        <v>20</v>
      </c>
      <c r="E240">
        <v>0</v>
      </c>
      <c r="F240">
        <f t="shared" si="3"/>
        <v>304</v>
      </c>
      <c r="G240">
        <f>YEAR(VLOOKUP(A240,orders!A:D,4,0))</f>
        <v>2013</v>
      </c>
      <c r="H240">
        <f>MONTH(INDEX(orders!D:D,MATCH(A240, orders!A:A,0)))</f>
        <v>10</v>
      </c>
      <c r="I240" t="str">
        <f>VLOOKUP(VLOOKUP(B240,products!A:F,6,0),categories!A:B,2,0)</f>
        <v>Seafood</v>
      </c>
      <c r="J240" t="str">
        <f>VLOOKUP(VLOOKUP(A240,orders!A:B,2,0),customers!A:F,6,0)</f>
        <v>Germany</v>
      </c>
      <c r="K240" t="str">
        <f>VLOOKUP(VLOOKUP(A240,orders!A:C,3,0),employees!A:B,2,0)</f>
        <v>Margaret Peacock</v>
      </c>
    </row>
    <row r="241" spans="1:11" x14ac:dyDescent="0.25">
      <c r="A241">
        <v>10337</v>
      </c>
      <c r="B241">
        <v>37</v>
      </c>
      <c r="C241">
        <v>20.8</v>
      </c>
      <c r="D241">
        <v>28</v>
      </c>
      <c r="E241">
        <v>0</v>
      </c>
      <c r="F241">
        <f t="shared" si="3"/>
        <v>582.4</v>
      </c>
      <c r="G241">
        <f>YEAR(VLOOKUP(A241,orders!A:D,4,0))</f>
        <v>2013</v>
      </c>
      <c r="H241">
        <f>MONTH(INDEX(orders!D:D,MATCH(A241, orders!A:A,0)))</f>
        <v>10</v>
      </c>
      <c r="I241" t="str">
        <f>VLOOKUP(VLOOKUP(B241,products!A:F,6,0),categories!A:B,2,0)</f>
        <v>Seafood</v>
      </c>
      <c r="J241" t="str">
        <f>VLOOKUP(VLOOKUP(A241,orders!A:B,2,0),customers!A:F,6,0)</f>
        <v>Germany</v>
      </c>
      <c r="K241" t="str">
        <f>VLOOKUP(VLOOKUP(A241,orders!A:C,3,0),employees!A:B,2,0)</f>
        <v>Margaret Peacock</v>
      </c>
    </row>
    <row r="242" spans="1:11" x14ac:dyDescent="0.25">
      <c r="A242">
        <v>10337</v>
      </c>
      <c r="B242">
        <v>72</v>
      </c>
      <c r="C242">
        <v>27.8</v>
      </c>
      <c r="D242">
        <v>25</v>
      </c>
      <c r="E242">
        <v>0</v>
      </c>
      <c r="F242">
        <f t="shared" si="3"/>
        <v>695</v>
      </c>
      <c r="G242">
        <f>YEAR(VLOOKUP(A242,orders!A:D,4,0))</f>
        <v>2013</v>
      </c>
      <c r="H242">
        <f>MONTH(INDEX(orders!D:D,MATCH(A242, orders!A:A,0)))</f>
        <v>10</v>
      </c>
      <c r="I242" t="str">
        <f>VLOOKUP(VLOOKUP(B242,products!A:F,6,0),categories!A:B,2,0)</f>
        <v>Dairy Products</v>
      </c>
      <c r="J242" t="str">
        <f>VLOOKUP(VLOOKUP(A242,orders!A:B,2,0),customers!A:F,6,0)</f>
        <v>Germany</v>
      </c>
      <c r="K242" t="str">
        <f>VLOOKUP(VLOOKUP(A242,orders!A:C,3,0),employees!A:B,2,0)</f>
        <v>Margaret Peacock</v>
      </c>
    </row>
    <row r="243" spans="1:11" x14ac:dyDescent="0.25">
      <c r="A243">
        <v>10338</v>
      </c>
      <c r="B243">
        <v>17</v>
      </c>
      <c r="C243">
        <v>31.2</v>
      </c>
      <c r="D243">
        <v>20</v>
      </c>
      <c r="E243">
        <v>0</v>
      </c>
      <c r="F243">
        <f t="shared" si="3"/>
        <v>624</v>
      </c>
      <c r="G243">
        <f>YEAR(VLOOKUP(A243,orders!A:D,4,0))</f>
        <v>2013</v>
      </c>
      <c r="H243">
        <f>MONTH(INDEX(orders!D:D,MATCH(A243, orders!A:A,0)))</f>
        <v>10</v>
      </c>
      <c r="I243" t="str">
        <f>VLOOKUP(VLOOKUP(B243,products!A:F,6,0),categories!A:B,2,0)</f>
        <v>Meat &amp; Poultry</v>
      </c>
      <c r="J243" t="str">
        <f>VLOOKUP(VLOOKUP(A243,orders!A:B,2,0),customers!A:F,6,0)</f>
        <v>USA</v>
      </c>
      <c r="K243" t="str">
        <f>VLOOKUP(VLOOKUP(A243,orders!A:C,3,0),employees!A:B,2,0)</f>
        <v>Margaret Peacock</v>
      </c>
    </row>
    <row r="244" spans="1:11" x14ac:dyDescent="0.25">
      <c r="A244">
        <v>10338</v>
      </c>
      <c r="B244">
        <v>30</v>
      </c>
      <c r="C244">
        <v>20.7</v>
      </c>
      <c r="D244">
        <v>15</v>
      </c>
      <c r="E244">
        <v>0</v>
      </c>
      <c r="F244">
        <f t="shared" si="3"/>
        <v>310.5</v>
      </c>
      <c r="G244">
        <f>YEAR(VLOOKUP(A244,orders!A:D,4,0))</f>
        <v>2013</v>
      </c>
      <c r="H244">
        <f>MONTH(INDEX(orders!D:D,MATCH(A244, orders!A:A,0)))</f>
        <v>10</v>
      </c>
      <c r="I244" t="str">
        <f>VLOOKUP(VLOOKUP(B244,products!A:F,6,0),categories!A:B,2,0)</f>
        <v>Seafood</v>
      </c>
      <c r="J244" t="str">
        <f>VLOOKUP(VLOOKUP(A244,orders!A:B,2,0),customers!A:F,6,0)</f>
        <v>USA</v>
      </c>
      <c r="K244" t="str">
        <f>VLOOKUP(VLOOKUP(A244,orders!A:C,3,0),employees!A:B,2,0)</f>
        <v>Margaret Peacock</v>
      </c>
    </row>
    <row r="245" spans="1:11" x14ac:dyDescent="0.25">
      <c r="A245">
        <v>10339</v>
      </c>
      <c r="B245">
        <v>4</v>
      </c>
      <c r="C245">
        <v>17.600000000000001</v>
      </c>
      <c r="D245">
        <v>10</v>
      </c>
      <c r="E245">
        <v>0</v>
      </c>
      <c r="F245">
        <f t="shared" si="3"/>
        <v>176</v>
      </c>
      <c r="G245">
        <f>YEAR(VLOOKUP(A245,orders!A:D,4,0))</f>
        <v>2013</v>
      </c>
      <c r="H245">
        <f>MONTH(INDEX(orders!D:D,MATCH(A245, orders!A:A,0)))</f>
        <v>10</v>
      </c>
      <c r="I245" t="str">
        <f>VLOOKUP(VLOOKUP(B245,products!A:F,6,0),categories!A:B,2,0)</f>
        <v>Condiments</v>
      </c>
      <c r="J245" t="str">
        <f>VLOOKUP(VLOOKUP(A245,orders!A:B,2,0),customers!A:F,6,0)</f>
        <v>Canada</v>
      </c>
      <c r="K245" t="str">
        <f>VLOOKUP(VLOOKUP(A245,orders!A:C,3,0),employees!A:B,2,0)</f>
        <v>Andrew Fuller</v>
      </c>
    </row>
    <row r="246" spans="1:11" x14ac:dyDescent="0.25">
      <c r="A246">
        <v>10339</v>
      </c>
      <c r="B246">
        <v>17</v>
      </c>
      <c r="C246">
        <v>31.2</v>
      </c>
      <c r="D246">
        <v>70</v>
      </c>
      <c r="E246">
        <v>0.05</v>
      </c>
      <c r="F246">
        <f t="shared" si="3"/>
        <v>2074.7999999999997</v>
      </c>
      <c r="G246">
        <f>YEAR(VLOOKUP(A246,orders!A:D,4,0))</f>
        <v>2013</v>
      </c>
      <c r="H246">
        <f>MONTH(INDEX(orders!D:D,MATCH(A246, orders!A:A,0)))</f>
        <v>10</v>
      </c>
      <c r="I246" t="str">
        <f>VLOOKUP(VLOOKUP(B246,products!A:F,6,0),categories!A:B,2,0)</f>
        <v>Meat &amp; Poultry</v>
      </c>
      <c r="J246" t="str">
        <f>VLOOKUP(VLOOKUP(A246,orders!A:B,2,0),customers!A:F,6,0)</f>
        <v>Canada</v>
      </c>
      <c r="K246" t="str">
        <f>VLOOKUP(VLOOKUP(A246,orders!A:C,3,0),employees!A:B,2,0)</f>
        <v>Andrew Fuller</v>
      </c>
    </row>
    <row r="247" spans="1:11" x14ac:dyDescent="0.25">
      <c r="A247">
        <v>10339</v>
      </c>
      <c r="B247">
        <v>62</v>
      </c>
      <c r="C247">
        <v>39.4</v>
      </c>
      <c r="D247">
        <v>28</v>
      </c>
      <c r="E247">
        <v>0</v>
      </c>
      <c r="F247">
        <f t="shared" si="3"/>
        <v>1103.2</v>
      </c>
      <c r="G247">
        <f>YEAR(VLOOKUP(A247,orders!A:D,4,0))</f>
        <v>2013</v>
      </c>
      <c r="H247">
        <f>MONTH(INDEX(orders!D:D,MATCH(A247, orders!A:A,0)))</f>
        <v>10</v>
      </c>
      <c r="I247" t="str">
        <f>VLOOKUP(VLOOKUP(B247,products!A:F,6,0),categories!A:B,2,0)</f>
        <v>Confections</v>
      </c>
      <c r="J247" t="str">
        <f>VLOOKUP(VLOOKUP(A247,orders!A:B,2,0),customers!A:F,6,0)</f>
        <v>Canada</v>
      </c>
      <c r="K247" t="str">
        <f>VLOOKUP(VLOOKUP(A247,orders!A:C,3,0),employees!A:B,2,0)</f>
        <v>Andrew Fuller</v>
      </c>
    </row>
    <row r="248" spans="1:11" x14ac:dyDescent="0.25">
      <c r="A248">
        <v>10340</v>
      </c>
      <c r="B248">
        <v>18</v>
      </c>
      <c r="C248">
        <v>50</v>
      </c>
      <c r="D248">
        <v>20</v>
      </c>
      <c r="E248">
        <v>0.05</v>
      </c>
      <c r="F248">
        <f t="shared" si="3"/>
        <v>950</v>
      </c>
      <c r="G248">
        <f>YEAR(VLOOKUP(A248,orders!A:D,4,0))</f>
        <v>2013</v>
      </c>
      <c r="H248">
        <f>MONTH(INDEX(orders!D:D,MATCH(A248, orders!A:A,0)))</f>
        <v>10</v>
      </c>
      <c r="I248" t="str">
        <f>VLOOKUP(VLOOKUP(B248,products!A:F,6,0),categories!A:B,2,0)</f>
        <v>Seafood</v>
      </c>
      <c r="J248" t="str">
        <f>VLOOKUP(VLOOKUP(A248,orders!A:B,2,0),customers!A:F,6,0)</f>
        <v>France</v>
      </c>
      <c r="K248" t="str">
        <f>VLOOKUP(VLOOKUP(A248,orders!A:C,3,0),employees!A:B,2,0)</f>
        <v>Nancy Davolio</v>
      </c>
    </row>
    <row r="249" spans="1:11" x14ac:dyDescent="0.25">
      <c r="A249">
        <v>10340</v>
      </c>
      <c r="B249">
        <v>41</v>
      </c>
      <c r="C249">
        <v>7.7</v>
      </c>
      <c r="D249">
        <v>12</v>
      </c>
      <c r="E249">
        <v>0.05</v>
      </c>
      <c r="F249">
        <f t="shared" si="3"/>
        <v>87.78</v>
      </c>
      <c r="G249">
        <f>YEAR(VLOOKUP(A249,orders!A:D,4,0))</f>
        <v>2013</v>
      </c>
      <c r="H249">
        <f>MONTH(INDEX(orders!D:D,MATCH(A249, orders!A:A,0)))</f>
        <v>10</v>
      </c>
      <c r="I249" t="str">
        <f>VLOOKUP(VLOOKUP(B249,products!A:F,6,0),categories!A:B,2,0)</f>
        <v>Seafood</v>
      </c>
      <c r="J249" t="str">
        <f>VLOOKUP(VLOOKUP(A249,orders!A:B,2,0),customers!A:F,6,0)</f>
        <v>France</v>
      </c>
      <c r="K249" t="str">
        <f>VLOOKUP(VLOOKUP(A249,orders!A:C,3,0),employees!A:B,2,0)</f>
        <v>Nancy Davolio</v>
      </c>
    </row>
    <row r="250" spans="1:11" x14ac:dyDescent="0.25">
      <c r="A250">
        <v>10340</v>
      </c>
      <c r="B250">
        <v>43</v>
      </c>
      <c r="C250">
        <v>36.799999999999997</v>
      </c>
      <c r="D250">
        <v>40</v>
      </c>
      <c r="E250">
        <v>0.05</v>
      </c>
      <c r="F250">
        <f t="shared" si="3"/>
        <v>1398.3999999999999</v>
      </c>
      <c r="G250">
        <f>YEAR(VLOOKUP(A250,orders!A:D,4,0))</f>
        <v>2013</v>
      </c>
      <c r="H250">
        <f>MONTH(INDEX(orders!D:D,MATCH(A250, orders!A:A,0)))</f>
        <v>10</v>
      </c>
      <c r="I250" t="str">
        <f>VLOOKUP(VLOOKUP(B250,products!A:F,6,0),categories!A:B,2,0)</f>
        <v>Beverages</v>
      </c>
      <c r="J250" t="str">
        <f>VLOOKUP(VLOOKUP(A250,orders!A:B,2,0),customers!A:F,6,0)</f>
        <v>France</v>
      </c>
      <c r="K250" t="str">
        <f>VLOOKUP(VLOOKUP(A250,orders!A:C,3,0),employees!A:B,2,0)</f>
        <v>Nancy Davolio</v>
      </c>
    </row>
    <row r="251" spans="1:11" x14ac:dyDescent="0.25">
      <c r="A251">
        <v>10341</v>
      </c>
      <c r="B251">
        <v>33</v>
      </c>
      <c r="C251">
        <v>2</v>
      </c>
      <c r="D251">
        <v>8</v>
      </c>
      <c r="E251">
        <v>0</v>
      </c>
      <c r="F251">
        <f t="shared" si="3"/>
        <v>16</v>
      </c>
      <c r="G251">
        <f>YEAR(VLOOKUP(A251,orders!A:D,4,0))</f>
        <v>2013</v>
      </c>
      <c r="H251">
        <f>MONTH(INDEX(orders!D:D,MATCH(A251, orders!A:A,0)))</f>
        <v>10</v>
      </c>
      <c r="I251" t="str">
        <f>VLOOKUP(VLOOKUP(B251,products!A:F,6,0),categories!A:B,2,0)</f>
        <v>Dairy Products</v>
      </c>
      <c r="J251" t="str">
        <f>VLOOKUP(VLOOKUP(A251,orders!A:B,2,0),customers!A:F,6,0)</f>
        <v>Denmark</v>
      </c>
      <c r="K251" t="str">
        <f>VLOOKUP(VLOOKUP(A251,orders!A:C,3,0),employees!A:B,2,0)</f>
        <v>Robert King</v>
      </c>
    </row>
    <row r="252" spans="1:11" x14ac:dyDescent="0.25">
      <c r="A252">
        <v>10341</v>
      </c>
      <c r="B252">
        <v>59</v>
      </c>
      <c r="C252">
        <v>44</v>
      </c>
      <c r="D252">
        <v>9</v>
      </c>
      <c r="E252">
        <v>0.15</v>
      </c>
      <c r="F252">
        <f t="shared" si="3"/>
        <v>336.59999999999997</v>
      </c>
      <c r="G252">
        <f>YEAR(VLOOKUP(A252,orders!A:D,4,0))</f>
        <v>2013</v>
      </c>
      <c r="H252">
        <f>MONTH(INDEX(orders!D:D,MATCH(A252, orders!A:A,0)))</f>
        <v>10</v>
      </c>
      <c r="I252" t="str">
        <f>VLOOKUP(VLOOKUP(B252,products!A:F,6,0),categories!A:B,2,0)</f>
        <v>Dairy Products</v>
      </c>
      <c r="J252" t="str">
        <f>VLOOKUP(VLOOKUP(A252,orders!A:B,2,0),customers!A:F,6,0)</f>
        <v>Denmark</v>
      </c>
      <c r="K252" t="str">
        <f>VLOOKUP(VLOOKUP(A252,orders!A:C,3,0),employees!A:B,2,0)</f>
        <v>Robert King</v>
      </c>
    </row>
    <row r="253" spans="1:11" x14ac:dyDescent="0.25">
      <c r="A253">
        <v>10342</v>
      </c>
      <c r="B253">
        <v>2</v>
      </c>
      <c r="C253">
        <v>15.2</v>
      </c>
      <c r="D253">
        <v>24</v>
      </c>
      <c r="E253">
        <v>0.2</v>
      </c>
      <c r="F253">
        <f t="shared" si="3"/>
        <v>291.83999999999997</v>
      </c>
      <c r="G253">
        <f>YEAR(VLOOKUP(A253,orders!A:D,4,0))</f>
        <v>2013</v>
      </c>
      <c r="H253">
        <f>MONTH(INDEX(orders!D:D,MATCH(A253, orders!A:A,0)))</f>
        <v>10</v>
      </c>
      <c r="I253" t="str">
        <f>VLOOKUP(VLOOKUP(B253,products!A:F,6,0),categories!A:B,2,0)</f>
        <v>Beverages</v>
      </c>
      <c r="J253" t="str">
        <f>VLOOKUP(VLOOKUP(A253,orders!A:B,2,0),customers!A:F,6,0)</f>
        <v>Germany</v>
      </c>
      <c r="K253" t="str">
        <f>VLOOKUP(VLOOKUP(A253,orders!A:C,3,0),employees!A:B,2,0)</f>
        <v>Margaret Peacock</v>
      </c>
    </row>
    <row r="254" spans="1:11" x14ac:dyDescent="0.25">
      <c r="A254">
        <v>10342</v>
      </c>
      <c r="B254">
        <v>31</v>
      </c>
      <c r="C254">
        <v>10</v>
      </c>
      <c r="D254">
        <v>56</v>
      </c>
      <c r="E254">
        <v>0.2</v>
      </c>
      <c r="F254">
        <f t="shared" si="3"/>
        <v>448</v>
      </c>
      <c r="G254">
        <f>YEAR(VLOOKUP(A254,orders!A:D,4,0))</f>
        <v>2013</v>
      </c>
      <c r="H254">
        <f>MONTH(INDEX(orders!D:D,MATCH(A254, orders!A:A,0)))</f>
        <v>10</v>
      </c>
      <c r="I254" t="str">
        <f>VLOOKUP(VLOOKUP(B254,products!A:F,6,0),categories!A:B,2,0)</f>
        <v>Dairy Products</v>
      </c>
      <c r="J254" t="str">
        <f>VLOOKUP(VLOOKUP(A254,orders!A:B,2,0),customers!A:F,6,0)</f>
        <v>Germany</v>
      </c>
      <c r="K254" t="str">
        <f>VLOOKUP(VLOOKUP(A254,orders!A:C,3,0),employees!A:B,2,0)</f>
        <v>Margaret Peacock</v>
      </c>
    </row>
    <row r="255" spans="1:11" x14ac:dyDescent="0.25">
      <c r="A255">
        <v>10342</v>
      </c>
      <c r="B255">
        <v>36</v>
      </c>
      <c r="C255">
        <v>15.2</v>
      </c>
      <c r="D255">
        <v>40</v>
      </c>
      <c r="E255">
        <v>0.2</v>
      </c>
      <c r="F255">
        <f t="shared" si="3"/>
        <v>486.40000000000003</v>
      </c>
      <c r="G255">
        <f>YEAR(VLOOKUP(A255,orders!A:D,4,0))</f>
        <v>2013</v>
      </c>
      <c r="H255">
        <f>MONTH(INDEX(orders!D:D,MATCH(A255, orders!A:A,0)))</f>
        <v>10</v>
      </c>
      <c r="I255" t="str">
        <f>VLOOKUP(VLOOKUP(B255,products!A:F,6,0),categories!A:B,2,0)</f>
        <v>Seafood</v>
      </c>
      <c r="J255" t="str">
        <f>VLOOKUP(VLOOKUP(A255,orders!A:B,2,0),customers!A:F,6,0)</f>
        <v>Germany</v>
      </c>
      <c r="K255" t="str">
        <f>VLOOKUP(VLOOKUP(A255,orders!A:C,3,0),employees!A:B,2,0)</f>
        <v>Margaret Peacock</v>
      </c>
    </row>
    <row r="256" spans="1:11" x14ac:dyDescent="0.25">
      <c r="A256">
        <v>10342</v>
      </c>
      <c r="B256">
        <v>55</v>
      </c>
      <c r="C256">
        <v>19.2</v>
      </c>
      <c r="D256">
        <v>40</v>
      </c>
      <c r="E256">
        <v>0.2</v>
      </c>
      <c r="F256">
        <f t="shared" si="3"/>
        <v>614.40000000000009</v>
      </c>
      <c r="G256">
        <f>YEAR(VLOOKUP(A256,orders!A:D,4,0))</f>
        <v>2013</v>
      </c>
      <c r="H256">
        <f>MONTH(INDEX(orders!D:D,MATCH(A256, orders!A:A,0)))</f>
        <v>10</v>
      </c>
      <c r="I256" t="str">
        <f>VLOOKUP(VLOOKUP(B256,products!A:F,6,0),categories!A:B,2,0)</f>
        <v>Meat &amp; Poultry</v>
      </c>
      <c r="J256" t="str">
        <f>VLOOKUP(VLOOKUP(A256,orders!A:B,2,0),customers!A:F,6,0)</f>
        <v>Germany</v>
      </c>
      <c r="K256" t="str">
        <f>VLOOKUP(VLOOKUP(A256,orders!A:C,3,0),employees!A:B,2,0)</f>
        <v>Margaret Peacock</v>
      </c>
    </row>
    <row r="257" spans="1:11" x14ac:dyDescent="0.25">
      <c r="A257">
        <v>10343</v>
      </c>
      <c r="B257">
        <v>64</v>
      </c>
      <c r="C257">
        <v>26.6</v>
      </c>
      <c r="D257">
        <v>50</v>
      </c>
      <c r="E257">
        <v>0</v>
      </c>
      <c r="F257">
        <f t="shared" si="3"/>
        <v>1330</v>
      </c>
      <c r="G257">
        <f>YEAR(VLOOKUP(A257,orders!A:D,4,0))</f>
        <v>2013</v>
      </c>
      <c r="H257">
        <f>MONTH(INDEX(orders!D:D,MATCH(A257, orders!A:A,0)))</f>
        <v>10</v>
      </c>
      <c r="I257" t="str">
        <f>VLOOKUP(VLOOKUP(B257,products!A:F,6,0),categories!A:B,2,0)</f>
        <v>Grains &amp; Cereals</v>
      </c>
      <c r="J257" t="str">
        <f>VLOOKUP(VLOOKUP(A257,orders!A:B,2,0),customers!A:F,6,0)</f>
        <v>Germany</v>
      </c>
      <c r="K257" t="str">
        <f>VLOOKUP(VLOOKUP(A257,orders!A:C,3,0),employees!A:B,2,0)</f>
        <v>Margaret Peacock</v>
      </c>
    </row>
    <row r="258" spans="1:11" x14ac:dyDescent="0.25">
      <c r="A258">
        <v>10343</v>
      </c>
      <c r="B258">
        <v>68</v>
      </c>
      <c r="C258">
        <v>10</v>
      </c>
      <c r="D258">
        <v>4</v>
      </c>
      <c r="E258">
        <v>0.05</v>
      </c>
      <c r="F258">
        <f t="shared" si="3"/>
        <v>38</v>
      </c>
      <c r="G258">
        <f>YEAR(VLOOKUP(A258,orders!A:D,4,0))</f>
        <v>2013</v>
      </c>
      <c r="H258">
        <f>MONTH(INDEX(orders!D:D,MATCH(A258, orders!A:A,0)))</f>
        <v>10</v>
      </c>
      <c r="I258" t="str">
        <f>VLOOKUP(VLOOKUP(B258,products!A:F,6,0),categories!A:B,2,0)</f>
        <v>Confections</v>
      </c>
      <c r="J258" t="str">
        <f>VLOOKUP(VLOOKUP(A258,orders!A:B,2,0),customers!A:F,6,0)</f>
        <v>Germany</v>
      </c>
      <c r="K258" t="str">
        <f>VLOOKUP(VLOOKUP(A258,orders!A:C,3,0),employees!A:B,2,0)</f>
        <v>Margaret Peacock</v>
      </c>
    </row>
    <row r="259" spans="1:11" x14ac:dyDescent="0.25">
      <c r="A259">
        <v>10343</v>
      </c>
      <c r="B259">
        <v>76</v>
      </c>
      <c r="C259">
        <v>14.4</v>
      </c>
      <c r="D259">
        <v>15</v>
      </c>
      <c r="E259">
        <v>0</v>
      </c>
      <c r="F259">
        <f t="shared" ref="F259:F322" si="4">C259*D259*(1-E259)</f>
        <v>216</v>
      </c>
      <c r="G259">
        <f>YEAR(VLOOKUP(A259,orders!A:D,4,0))</f>
        <v>2013</v>
      </c>
      <c r="H259">
        <f>MONTH(INDEX(orders!D:D,MATCH(A259, orders!A:A,0)))</f>
        <v>10</v>
      </c>
      <c r="I259" t="str">
        <f>VLOOKUP(VLOOKUP(B259,products!A:F,6,0),categories!A:B,2,0)</f>
        <v>Beverages</v>
      </c>
      <c r="J259" t="str">
        <f>VLOOKUP(VLOOKUP(A259,orders!A:B,2,0),customers!A:F,6,0)</f>
        <v>Germany</v>
      </c>
      <c r="K259" t="str">
        <f>VLOOKUP(VLOOKUP(A259,orders!A:C,3,0),employees!A:B,2,0)</f>
        <v>Margaret Peacock</v>
      </c>
    </row>
    <row r="260" spans="1:11" x14ac:dyDescent="0.25">
      <c r="A260">
        <v>10344</v>
      </c>
      <c r="B260">
        <v>4</v>
      </c>
      <c r="C260">
        <v>17.600000000000001</v>
      </c>
      <c r="D260">
        <v>35</v>
      </c>
      <c r="E260">
        <v>0</v>
      </c>
      <c r="F260">
        <f t="shared" si="4"/>
        <v>616</v>
      </c>
      <c r="G260">
        <f>YEAR(VLOOKUP(A260,orders!A:D,4,0))</f>
        <v>2013</v>
      </c>
      <c r="H260">
        <f>MONTH(INDEX(orders!D:D,MATCH(A260, orders!A:A,0)))</f>
        <v>11</v>
      </c>
      <c r="I260" t="str">
        <f>VLOOKUP(VLOOKUP(B260,products!A:F,6,0),categories!A:B,2,0)</f>
        <v>Condiments</v>
      </c>
      <c r="J260" t="str">
        <f>VLOOKUP(VLOOKUP(A260,orders!A:B,2,0),customers!A:F,6,0)</f>
        <v>USA</v>
      </c>
      <c r="K260" t="str">
        <f>VLOOKUP(VLOOKUP(A260,orders!A:C,3,0),employees!A:B,2,0)</f>
        <v>Margaret Peacock</v>
      </c>
    </row>
    <row r="261" spans="1:11" x14ac:dyDescent="0.25">
      <c r="A261">
        <v>10344</v>
      </c>
      <c r="B261">
        <v>8</v>
      </c>
      <c r="C261">
        <v>32</v>
      </c>
      <c r="D261">
        <v>70</v>
      </c>
      <c r="E261">
        <v>0.25</v>
      </c>
      <c r="F261">
        <f t="shared" si="4"/>
        <v>1680</v>
      </c>
      <c r="G261">
        <f>YEAR(VLOOKUP(A261,orders!A:D,4,0))</f>
        <v>2013</v>
      </c>
      <c r="H261">
        <f>MONTH(INDEX(orders!D:D,MATCH(A261, orders!A:A,0)))</f>
        <v>11</v>
      </c>
      <c r="I261" t="str">
        <f>VLOOKUP(VLOOKUP(B261,products!A:F,6,0),categories!A:B,2,0)</f>
        <v>Condiments</v>
      </c>
      <c r="J261" t="str">
        <f>VLOOKUP(VLOOKUP(A261,orders!A:B,2,0),customers!A:F,6,0)</f>
        <v>USA</v>
      </c>
      <c r="K261" t="str">
        <f>VLOOKUP(VLOOKUP(A261,orders!A:C,3,0),employees!A:B,2,0)</f>
        <v>Margaret Peacock</v>
      </c>
    </row>
    <row r="262" spans="1:11" x14ac:dyDescent="0.25">
      <c r="A262">
        <v>10345</v>
      </c>
      <c r="B262">
        <v>8</v>
      </c>
      <c r="C262">
        <v>32</v>
      </c>
      <c r="D262">
        <v>70</v>
      </c>
      <c r="E262">
        <v>0</v>
      </c>
      <c r="F262">
        <f t="shared" si="4"/>
        <v>2240</v>
      </c>
      <c r="G262">
        <f>YEAR(VLOOKUP(A262,orders!A:D,4,0))</f>
        <v>2013</v>
      </c>
      <c r="H262">
        <f>MONTH(INDEX(orders!D:D,MATCH(A262, orders!A:A,0)))</f>
        <v>11</v>
      </c>
      <c r="I262" t="str">
        <f>VLOOKUP(VLOOKUP(B262,products!A:F,6,0),categories!A:B,2,0)</f>
        <v>Condiments</v>
      </c>
      <c r="J262" t="str">
        <f>VLOOKUP(VLOOKUP(A262,orders!A:B,2,0),customers!A:F,6,0)</f>
        <v>Germany</v>
      </c>
      <c r="K262" t="str">
        <f>VLOOKUP(VLOOKUP(A262,orders!A:C,3,0),employees!A:B,2,0)</f>
        <v>Andrew Fuller</v>
      </c>
    </row>
    <row r="263" spans="1:11" x14ac:dyDescent="0.25">
      <c r="A263">
        <v>10345</v>
      </c>
      <c r="B263">
        <v>19</v>
      </c>
      <c r="C263">
        <v>7.3</v>
      </c>
      <c r="D263">
        <v>80</v>
      </c>
      <c r="E263">
        <v>0</v>
      </c>
      <c r="F263">
        <f t="shared" si="4"/>
        <v>584</v>
      </c>
      <c r="G263">
        <f>YEAR(VLOOKUP(A263,orders!A:D,4,0))</f>
        <v>2013</v>
      </c>
      <c r="H263">
        <f>MONTH(INDEX(orders!D:D,MATCH(A263, orders!A:A,0)))</f>
        <v>11</v>
      </c>
      <c r="I263" t="str">
        <f>VLOOKUP(VLOOKUP(B263,products!A:F,6,0),categories!A:B,2,0)</f>
        <v>Confections</v>
      </c>
      <c r="J263" t="str">
        <f>VLOOKUP(VLOOKUP(A263,orders!A:B,2,0),customers!A:F,6,0)</f>
        <v>Germany</v>
      </c>
      <c r="K263" t="str">
        <f>VLOOKUP(VLOOKUP(A263,orders!A:C,3,0),employees!A:B,2,0)</f>
        <v>Andrew Fuller</v>
      </c>
    </row>
    <row r="264" spans="1:11" x14ac:dyDescent="0.25">
      <c r="A264">
        <v>10345</v>
      </c>
      <c r="B264">
        <v>42</v>
      </c>
      <c r="C264">
        <v>11.2</v>
      </c>
      <c r="D264">
        <v>9</v>
      </c>
      <c r="E264">
        <v>0</v>
      </c>
      <c r="F264">
        <f t="shared" si="4"/>
        <v>100.8</v>
      </c>
      <c r="G264">
        <f>YEAR(VLOOKUP(A264,orders!A:D,4,0))</f>
        <v>2013</v>
      </c>
      <c r="H264">
        <f>MONTH(INDEX(orders!D:D,MATCH(A264, orders!A:A,0)))</f>
        <v>11</v>
      </c>
      <c r="I264" t="str">
        <f>VLOOKUP(VLOOKUP(B264,products!A:F,6,0),categories!A:B,2,0)</f>
        <v>Grains &amp; Cereals</v>
      </c>
      <c r="J264" t="str">
        <f>VLOOKUP(VLOOKUP(A264,orders!A:B,2,0),customers!A:F,6,0)</f>
        <v>Germany</v>
      </c>
      <c r="K264" t="str">
        <f>VLOOKUP(VLOOKUP(A264,orders!A:C,3,0),employees!A:B,2,0)</f>
        <v>Andrew Fuller</v>
      </c>
    </row>
    <row r="265" spans="1:11" x14ac:dyDescent="0.25">
      <c r="A265">
        <v>10346</v>
      </c>
      <c r="B265">
        <v>17</v>
      </c>
      <c r="C265">
        <v>31.2</v>
      </c>
      <c r="D265">
        <v>36</v>
      </c>
      <c r="E265">
        <v>0.1</v>
      </c>
      <c r="F265">
        <f t="shared" si="4"/>
        <v>1010.8800000000001</v>
      </c>
      <c r="G265">
        <f>YEAR(VLOOKUP(A265,orders!A:D,4,0))</f>
        <v>2013</v>
      </c>
      <c r="H265">
        <f>MONTH(INDEX(orders!D:D,MATCH(A265, orders!A:A,0)))</f>
        <v>11</v>
      </c>
      <c r="I265" t="str">
        <f>VLOOKUP(VLOOKUP(B265,products!A:F,6,0),categories!A:B,2,0)</f>
        <v>Meat &amp; Poultry</v>
      </c>
      <c r="J265" t="str">
        <f>VLOOKUP(VLOOKUP(A265,orders!A:B,2,0),customers!A:F,6,0)</f>
        <v>USA</v>
      </c>
      <c r="K265" t="str">
        <f>VLOOKUP(VLOOKUP(A265,orders!A:C,3,0),employees!A:B,2,0)</f>
        <v>Janet Leverling</v>
      </c>
    </row>
    <row r="266" spans="1:11" x14ac:dyDescent="0.25">
      <c r="A266">
        <v>10346</v>
      </c>
      <c r="B266">
        <v>56</v>
      </c>
      <c r="C266">
        <v>30.4</v>
      </c>
      <c r="D266">
        <v>20</v>
      </c>
      <c r="E266">
        <v>0</v>
      </c>
      <c r="F266">
        <f t="shared" si="4"/>
        <v>608</v>
      </c>
      <c r="G266">
        <f>YEAR(VLOOKUP(A266,orders!A:D,4,0))</f>
        <v>2013</v>
      </c>
      <c r="H266">
        <f>MONTH(INDEX(orders!D:D,MATCH(A266, orders!A:A,0)))</f>
        <v>11</v>
      </c>
      <c r="I266" t="str">
        <f>VLOOKUP(VLOOKUP(B266,products!A:F,6,0),categories!A:B,2,0)</f>
        <v>Grains &amp; Cereals</v>
      </c>
      <c r="J266" t="str">
        <f>VLOOKUP(VLOOKUP(A266,orders!A:B,2,0),customers!A:F,6,0)</f>
        <v>USA</v>
      </c>
      <c r="K266" t="str">
        <f>VLOOKUP(VLOOKUP(A266,orders!A:C,3,0),employees!A:B,2,0)</f>
        <v>Janet Leverling</v>
      </c>
    </row>
    <row r="267" spans="1:11" x14ac:dyDescent="0.25">
      <c r="A267">
        <v>10347</v>
      </c>
      <c r="B267">
        <v>25</v>
      </c>
      <c r="C267">
        <v>11.2</v>
      </c>
      <c r="D267">
        <v>10</v>
      </c>
      <c r="E267">
        <v>0</v>
      </c>
      <c r="F267">
        <f t="shared" si="4"/>
        <v>112</v>
      </c>
      <c r="G267">
        <f>YEAR(VLOOKUP(A267,orders!A:D,4,0))</f>
        <v>2013</v>
      </c>
      <c r="H267">
        <f>MONTH(INDEX(orders!D:D,MATCH(A267, orders!A:A,0)))</f>
        <v>11</v>
      </c>
      <c r="I267" t="str">
        <f>VLOOKUP(VLOOKUP(B267,products!A:F,6,0),categories!A:B,2,0)</f>
        <v>Confections</v>
      </c>
      <c r="J267" t="str">
        <f>VLOOKUP(VLOOKUP(A267,orders!A:B,2,0),customers!A:F,6,0)</f>
        <v>Brazil</v>
      </c>
      <c r="K267" t="str">
        <f>VLOOKUP(VLOOKUP(A267,orders!A:C,3,0),employees!A:B,2,0)</f>
        <v>Margaret Peacock</v>
      </c>
    </row>
    <row r="268" spans="1:11" x14ac:dyDescent="0.25">
      <c r="A268">
        <v>10347</v>
      </c>
      <c r="B268">
        <v>39</v>
      </c>
      <c r="C268">
        <v>14.4</v>
      </c>
      <c r="D268">
        <v>50</v>
      </c>
      <c r="E268">
        <v>0.15</v>
      </c>
      <c r="F268">
        <f t="shared" si="4"/>
        <v>612</v>
      </c>
      <c r="G268">
        <f>YEAR(VLOOKUP(A268,orders!A:D,4,0))</f>
        <v>2013</v>
      </c>
      <c r="H268">
        <f>MONTH(INDEX(orders!D:D,MATCH(A268, orders!A:A,0)))</f>
        <v>11</v>
      </c>
      <c r="I268" t="str">
        <f>VLOOKUP(VLOOKUP(B268,products!A:F,6,0),categories!A:B,2,0)</f>
        <v>Beverages</v>
      </c>
      <c r="J268" t="str">
        <f>VLOOKUP(VLOOKUP(A268,orders!A:B,2,0),customers!A:F,6,0)</f>
        <v>Brazil</v>
      </c>
      <c r="K268" t="str">
        <f>VLOOKUP(VLOOKUP(A268,orders!A:C,3,0),employees!A:B,2,0)</f>
        <v>Margaret Peacock</v>
      </c>
    </row>
    <row r="269" spans="1:11" x14ac:dyDescent="0.25">
      <c r="A269">
        <v>10347</v>
      </c>
      <c r="B269">
        <v>40</v>
      </c>
      <c r="C269">
        <v>14.7</v>
      </c>
      <c r="D269">
        <v>4</v>
      </c>
      <c r="E269">
        <v>0</v>
      </c>
      <c r="F269">
        <f t="shared" si="4"/>
        <v>58.8</v>
      </c>
      <c r="G269">
        <f>YEAR(VLOOKUP(A269,orders!A:D,4,0))</f>
        <v>2013</v>
      </c>
      <c r="H269">
        <f>MONTH(INDEX(orders!D:D,MATCH(A269, orders!A:A,0)))</f>
        <v>11</v>
      </c>
      <c r="I269" t="str">
        <f>VLOOKUP(VLOOKUP(B269,products!A:F,6,0),categories!A:B,2,0)</f>
        <v>Seafood</v>
      </c>
      <c r="J269" t="str">
        <f>VLOOKUP(VLOOKUP(A269,orders!A:B,2,0),customers!A:F,6,0)</f>
        <v>Brazil</v>
      </c>
      <c r="K269" t="str">
        <f>VLOOKUP(VLOOKUP(A269,orders!A:C,3,0),employees!A:B,2,0)</f>
        <v>Margaret Peacock</v>
      </c>
    </row>
    <row r="270" spans="1:11" x14ac:dyDescent="0.25">
      <c r="A270">
        <v>10347</v>
      </c>
      <c r="B270">
        <v>75</v>
      </c>
      <c r="C270">
        <v>6.2</v>
      </c>
      <c r="D270">
        <v>6</v>
      </c>
      <c r="E270">
        <v>0.15</v>
      </c>
      <c r="F270">
        <f t="shared" si="4"/>
        <v>31.62</v>
      </c>
      <c r="G270">
        <f>YEAR(VLOOKUP(A270,orders!A:D,4,0))</f>
        <v>2013</v>
      </c>
      <c r="H270">
        <f>MONTH(INDEX(orders!D:D,MATCH(A270, orders!A:A,0)))</f>
        <v>11</v>
      </c>
      <c r="I270" t="str">
        <f>VLOOKUP(VLOOKUP(B270,products!A:F,6,0),categories!A:B,2,0)</f>
        <v>Beverages</v>
      </c>
      <c r="J270" t="str">
        <f>VLOOKUP(VLOOKUP(A270,orders!A:B,2,0),customers!A:F,6,0)</f>
        <v>Brazil</v>
      </c>
      <c r="K270" t="str">
        <f>VLOOKUP(VLOOKUP(A270,orders!A:C,3,0),employees!A:B,2,0)</f>
        <v>Margaret Peacock</v>
      </c>
    </row>
    <row r="271" spans="1:11" x14ac:dyDescent="0.25">
      <c r="A271">
        <v>10348</v>
      </c>
      <c r="B271">
        <v>1</v>
      </c>
      <c r="C271">
        <v>14.4</v>
      </c>
      <c r="D271">
        <v>15</v>
      </c>
      <c r="E271">
        <v>0.15</v>
      </c>
      <c r="F271">
        <f t="shared" si="4"/>
        <v>183.6</v>
      </c>
      <c r="G271">
        <f>YEAR(VLOOKUP(A271,orders!A:D,4,0))</f>
        <v>2013</v>
      </c>
      <c r="H271">
        <f>MONTH(INDEX(orders!D:D,MATCH(A271, orders!A:A,0)))</f>
        <v>11</v>
      </c>
      <c r="I271" t="str">
        <f>VLOOKUP(VLOOKUP(B271,products!A:F,6,0),categories!A:B,2,0)</f>
        <v>Beverages</v>
      </c>
      <c r="J271" t="str">
        <f>VLOOKUP(VLOOKUP(A271,orders!A:B,2,0),customers!A:F,6,0)</f>
        <v>Germany</v>
      </c>
      <c r="K271" t="str">
        <f>VLOOKUP(VLOOKUP(A271,orders!A:C,3,0),employees!A:B,2,0)</f>
        <v>Margaret Peacock</v>
      </c>
    </row>
    <row r="272" spans="1:11" x14ac:dyDescent="0.25">
      <c r="A272">
        <v>10348</v>
      </c>
      <c r="B272">
        <v>23</v>
      </c>
      <c r="C272">
        <v>7.2</v>
      </c>
      <c r="D272">
        <v>25</v>
      </c>
      <c r="E272">
        <v>0</v>
      </c>
      <c r="F272">
        <f t="shared" si="4"/>
        <v>180</v>
      </c>
      <c r="G272">
        <f>YEAR(VLOOKUP(A272,orders!A:D,4,0))</f>
        <v>2013</v>
      </c>
      <c r="H272">
        <f>MONTH(INDEX(orders!D:D,MATCH(A272, orders!A:A,0)))</f>
        <v>11</v>
      </c>
      <c r="I272" t="str">
        <f>VLOOKUP(VLOOKUP(B272,products!A:F,6,0),categories!A:B,2,0)</f>
        <v>Grains &amp; Cereals</v>
      </c>
      <c r="J272" t="str">
        <f>VLOOKUP(VLOOKUP(A272,orders!A:B,2,0),customers!A:F,6,0)</f>
        <v>Germany</v>
      </c>
      <c r="K272" t="str">
        <f>VLOOKUP(VLOOKUP(A272,orders!A:C,3,0),employees!A:B,2,0)</f>
        <v>Margaret Peacock</v>
      </c>
    </row>
    <row r="273" spans="1:11" x14ac:dyDescent="0.25">
      <c r="A273">
        <v>10349</v>
      </c>
      <c r="B273">
        <v>54</v>
      </c>
      <c r="C273">
        <v>5.9</v>
      </c>
      <c r="D273">
        <v>24</v>
      </c>
      <c r="E273">
        <v>0</v>
      </c>
      <c r="F273">
        <f t="shared" si="4"/>
        <v>141.60000000000002</v>
      </c>
      <c r="G273">
        <f>YEAR(VLOOKUP(A273,orders!A:D,4,0))</f>
        <v>2013</v>
      </c>
      <c r="H273">
        <f>MONTH(INDEX(orders!D:D,MATCH(A273, orders!A:A,0)))</f>
        <v>11</v>
      </c>
      <c r="I273" t="str">
        <f>VLOOKUP(VLOOKUP(B273,products!A:F,6,0),categories!A:B,2,0)</f>
        <v>Meat &amp; Poultry</v>
      </c>
      <c r="J273" t="str">
        <f>VLOOKUP(VLOOKUP(A273,orders!A:B,2,0),customers!A:F,6,0)</f>
        <v>USA</v>
      </c>
      <c r="K273" t="str">
        <f>VLOOKUP(VLOOKUP(A273,orders!A:C,3,0),employees!A:B,2,0)</f>
        <v>Robert King</v>
      </c>
    </row>
    <row r="274" spans="1:11" x14ac:dyDescent="0.25">
      <c r="A274">
        <v>10350</v>
      </c>
      <c r="B274">
        <v>50</v>
      </c>
      <c r="C274">
        <v>13</v>
      </c>
      <c r="D274">
        <v>15</v>
      </c>
      <c r="E274">
        <v>0.1</v>
      </c>
      <c r="F274">
        <f t="shared" si="4"/>
        <v>175.5</v>
      </c>
      <c r="G274">
        <f>YEAR(VLOOKUP(A274,orders!A:D,4,0))</f>
        <v>2013</v>
      </c>
      <c r="H274">
        <f>MONTH(INDEX(orders!D:D,MATCH(A274, orders!A:A,0)))</f>
        <v>11</v>
      </c>
      <c r="I274" t="str">
        <f>VLOOKUP(VLOOKUP(B274,products!A:F,6,0),categories!A:B,2,0)</f>
        <v>Confections</v>
      </c>
      <c r="J274" t="str">
        <f>VLOOKUP(VLOOKUP(A274,orders!A:B,2,0),customers!A:F,6,0)</f>
        <v>France</v>
      </c>
      <c r="K274" t="str">
        <f>VLOOKUP(VLOOKUP(A274,orders!A:C,3,0),employees!A:B,2,0)</f>
        <v>Michael Suyama</v>
      </c>
    </row>
    <row r="275" spans="1:11" x14ac:dyDescent="0.25">
      <c r="A275">
        <v>10350</v>
      </c>
      <c r="B275">
        <v>69</v>
      </c>
      <c r="C275">
        <v>28.8</v>
      </c>
      <c r="D275">
        <v>18</v>
      </c>
      <c r="E275">
        <v>0.1</v>
      </c>
      <c r="F275">
        <f t="shared" si="4"/>
        <v>466.56</v>
      </c>
      <c r="G275">
        <f>YEAR(VLOOKUP(A275,orders!A:D,4,0))</f>
        <v>2013</v>
      </c>
      <c r="H275">
        <f>MONTH(INDEX(orders!D:D,MATCH(A275, orders!A:A,0)))</f>
        <v>11</v>
      </c>
      <c r="I275" t="str">
        <f>VLOOKUP(VLOOKUP(B275,products!A:F,6,0),categories!A:B,2,0)</f>
        <v>Dairy Products</v>
      </c>
      <c r="J275" t="str">
        <f>VLOOKUP(VLOOKUP(A275,orders!A:B,2,0),customers!A:F,6,0)</f>
        <v>France</v>
      </c>
      <c r="K275" t="str">
        <f>VLOOKUP(VLOOKUP(A275,orders!A:C,3,0),employees!A:B,2,0)</f>
        <v>Michael Suyama</v>
      </c>
    </row>
    <row r="276" spans="1:11" x14ac:dyDescent="0.25">
      <c r="A276">
        <v>10351</v>
      </c>
      <c r="B276">
        <v>38</v>
      </c>
      <c r="C276">
        <v>210.8</v>
      </c>
      <c r="D276">
        <v>20</v>
      </c>
      <c r="E276">
        <v>0.05</v>
      </c>
      <c r="F276">
        <f t="shared" si="4"/>
        <v>4005.2</v>
      </c>
      <c r="G276">
        <f>YEAR(VLOOKUP(A276,orders!A:D,4,0))</f>
        <v>2013</v>
      </c>
      <c r="H276">
        <f>MONTH(INDEX(orders!D:D,MATCH(A276, orders!A:A,0)))</f>
        <v>11</v>
      </c>
      <c r="I276" t="str">
        <f>VLOOKUP(VLOOKUP(B276,products!A:F,6,0),categories!A:B,2,0)</f>
        <v>Beverages</v>
      </c>
      <c r="J276" t="str">
        <f>VLOOKUP(VLOOKUP(A276,orders!A:B,2,0),customers!A:F,6,0)</f>
        <v>Austria</v>
      </c>
      <c r="K276" t="str">
        <f>VLOOKUP(VLOOKUP(A276,orders!A:C,3,0),employees!A:B,2,0)</f>
        <v>Nancy Davolio</v>
      </c>
    </row>
    <row r="277" spans="1:11" x14ac:dyDescent="0.25">
      <c r="A277">
        <v>10351</v>
      </c>
      <c r="B277">
        <v>41</v>
      </c>
      <c r="C277">
        <v>7.7</v>
      </c>
      <c r="D277">
        <v>13</v>
      </c>
      <c r="E277">
        <v>0</v>
      </c>
      <c r="F277">
        <f t="shared" si="4"/>
        <v>100.10000000000001</v>
      </c>
      <c r="G277">
        <f>YEAR(VLOOKUP(A277,orders!A:D,4,0))</f>
        <v>2013</v>
      </c>
      <c r="H277">
        <f>MONTH(INDEX(orders!D:D,MATCH(A277, orders!A:A,0)))</f>
        <v>11</v>
      </c>
      <c r="I277" t="str">
        <f>VLOOKUP(VLOOKUP(B277,products!A:F,6,0),categories!A:B,2,0)</f>
        <v>Seafood</v>
      </c>
      <c r="J277" t="str">
        <f>VLOOKUP(VLOOKUP(A277,orders!A:B,2,0),customers!A:F,6,0)</f>
        <v>Austria</v>
      </c>
      <c r="K277" t="str">
        <f>VLOOKUP(VLOOKUP(A277,orders!A:C,3,0),employees!A:B,2,0)</f>
        <v>Nancy Davolio</v>
      </c>
    </row>
    <row r="278" spans="1:11" x14ac:dyDescent="0.25">
      <c r="A278">
        <v>10351</v>
      </c>
      <c r="B278">
        <v>44</v>
      </c>
      <c r="C278">
        <v>15.5</v>
      </c>
      <c r="D278">
        <v>77</v>
      </c>
      <c r="E278">
        <v>0.05</v>
      </c>
      <c r="F278">
        <f t="shared" si="4"/>
        <v>1133.825</v>
      </c>
      <c r="G278">
        <f>YEAR(VLOOKUP(A278,orders!A:D,4,0))</f>
        <v>2013</v>
      </c>
      <c r="H278">
        <f>MONTH(INDEX(orders!D:D,MATCH(A278, orders!A:A,0)))</f>
        <v>11</v>
      </c>
      <c r="I278" t="str">
        <f>VLOOKUP(VLOOKUP(B278,products!A:F,6,0),categories!A:B,2,0)</f>
        <v>Condiments</v>
      </c>
      <c r="J278" t="str">
        <f>VLOOKUP(VLOOKUP(A278,orders!A:B,2,0),customers!A:F,6,0)</f>
        <v>Austria</v>
      </c>
      <c r="K278" t="str">
        <f>VLOOKUP(VLOOKUP(A278,orders!A:C,3,0),employees!A:B,2,0)</f>
        <v>Nancy Davolio</v>
      </c>
    </row>
    <row r="279" spans="1:11" x14ac:dyDescent="0.25">
      <c r="A279">
        <v>10351</v>
      </c>
      <c r="B279">
        <v>65</v>
      </c>
      <c r="C279">
        <v>16.8</v>
      </c>
      <c r="D279">
        <v>10</v>
      </c>
      <c r="E279">
        <v>0.05</v>
      </c>
      <c r="F279">
        <f t="shared" si="4"/>
        <v>159.6</v>
      </c>
      <c r="G279">
        <f>YEAR(VLOOKUP(A279,orders!A:D,4,0))</f>
        <v>2013</v>
      </c>
      <c r="H279">
        <f>MONTH(INDEX(orders!D:D,MATCH(A279, orders!A:A,0)))</f>
        <v>11</v>
      </c>
      <c r="I279" t="str">
        <f>VLOOKUP(VLOOKUP(B279,products!A:F,6,0),categories!A:B,2,0)</f>
        <v>Condiments</v>
      </c>
      <c r="J279" t="str">
        <f>VLOOKUP(VLOOKUP(A279,orders!A:B,2,0),customers!A:F,6,0)</f>
        <v>Austria</v>
      </c>
      <c r="K279" t="str">
        <f>VLOOKUP(VLOOKUP(A279,orders!A:C,3,0),employees!A:B,2,0)</f>
        <v>Nancy Davolio</v>
      </c>
    </row>
    <row r="280" spans="1:11" x14ac:dyDescent="0.25">
      <c r="A280">
        <v>10352</v>
      </c>
      <c r="B280">
        <v>24</v>
      </c>
      <c r="C280">
        <v>3.6</v>
      </c>
      <c r="D280">
        <v>10</v>
      </c>
      <c r="E280">
        <v>0</v>
      </c>
      <c r="F280">
        <f t="shared" si="4"/>
        <v>36</v>
      </c>
      <c r="G280">
        <f>YEAR(VLOOKUP(A280,orders!A:D,4,0))</f>
        <v>2013</v>
      </c>
      <c r="H280">
        <f>MONTH(INDEX(orders!D:D,MATCH(A280, orders!A:A,0)))</f>
        <v>11</v>
      </c>
      <c r="I280" t="str">
        <f>VLOOKUP(VLOOKUP(B280,products!A:F,6,0),categories!A:B,2,0)</f>
        <v>Beverages</v>
      </c>
      <c r="J280" t="str">
        <f>VLOOKUP(VLOOKUP(A280,orders!A:B,2,0),customers!A:F,6,0)</f>
        <v>Portugal</v>
      </c>
      <c r="K280" t="str">
        <f>VLOOKUP(VLOOKUP(A280,orders!A:C,3,0),employees!A:B,2,0)</f>
        <v>Janet Leverling</v>
      </c>
    </row>
    <row r="281" spans="1:11" x14ac:dyDescent="0.25">
      <c r="A281">
        <v>10352</v>
      </c>
      <c r="B281">
        <v>54</v>
      </c>
      <c r="C281">
        <v>5.9</v>
      </c>
      <c r="D281">
        <v>20</v>
      </c>
      <c r="E281">
        <v>0.15</v>
      </c>
      <c r="F281">
        <f t="shared" si="4"/>
        <v>100.3</v>
      </c>
      <c r="G281">
        <f>YEAR(VLOOKUP(A281,orders!A:D,4,0))</f>
        <v>2013</v>
      </c>
      <c r="H281">
        <f>MONTH(INDEX(orders!D:D,MATCH(A281, orders!A:A,0)))</f>
        <v>11</v>
      </c>
      <c r="I281" t="str">
        <f>VLOOKUP(VLOOKUP(B281,products!A:F,6,0),categories!A:B,2,0)</f>
        <v>Meat &amp; Poultry</v>
      </c>
      <c r="J281" t="str">
        <f>VLOOKUP(VLOOKUP(A281,orders!A:B,2,0),customers!A:F,6,0)</f>
        <v>Portugal</v>
      </c>
      <c r="K281" t="str">
        <f>VLOOKUP(VLOOKUP(A281,orders!A:C,3,0),employees!A:B,2,0)</f>
        <v>Janet Leverling</v>
      </c>
    </row>
    <row r="282" spans="1:11" x14ac:dyDescent="0.25">
      <c r="A282">
        <v>10353</v>
      </c>
      <c r="B282">
        <v>11</v>
      </c>
      <c r="C282">
        <v>16.8</v>
      </c>
      <c r="D282">
        <v>12</v>
      </c>
      <c r="E282">
        <v>0.2</v>
      </c>
      <c r="F282">
        <f t="shared" si="4"/>
        <v>161.28000000000003</v>
      </c>
      <c r="G282">
        <f>YEAR(VLOOKUP(A282,orders!A:D,4,0))</f>
        <v>2013</v>
      </c>
      <c r="H282">
        <f>MONTH(INDEX(orders!D:D,MATCH(A282, orders!A:A,0)))</f>
        <v>11</v>
      </c>
      <c r="I282" t="str">
        <f>VLOOKUP(VLOOKUP(B282,products!A:F,6,0),categories!A:B,2,0)</f>
        <v>Dairy Products</v>
      </c>
      <c r="J282" t="str">
        <f>VLOOKUP(VLOOKUP(A282,orders!A:B,2,0),customers!A:F,6,0)</f>
        <v>Austria</v>
      </c>
      <c r="K282" t="str">
        <f>VLOOKUP(VLOOKUP(A282,orders!A:C,3,0),employees!A:B,2,0)</f>
        <v>Robert King</v>
      </c>
    </row>
    <row r="283" spans="1:11" x14ac:dyDescent="0.25">
      <c r="A283">
        <v>10353</v>
      </c>
      <c r="B283">
        <v>38</v>
      </c>
      <c r="C283">
        <v>210.8</v>
      </c>
      <c r="D283">
        <v>50</v>
      </c>
      <c r="E283">
        <v>0.2</v>
      </c>
      <c r="F283">
        <f t="shared" si="4"/>
        <v>8432</v>
      </c>
      <c r="G283">
        <f>YEAR(VLOOKUP(A283,orders!A:D,4,0))</f>
        <v>2013</v>
      </c>
      <c r="H283">
        <f>MONTH(INDEX(orders!D:D,MATCH(A283, orders!A:A,0)))</f>
        <v>11</v>
      </c>
      <c r="I283" t="str">
        <f>VLOOKUP(VLOOKUP(B283,products!A:F,6,0),categories!A:B,2,0)</f>
        <v>Beverages</v>
      </c>
      <c r="J283" t="str">
        <f>VLOOKUP(VLOOKUP(A283,orders!A:B,2,0),customers!A:F,6,0)</f>
        <v>Austria</v>
      </c>
      <c r="K283" t="str">
        <f>VLOOKUP(VLOOKUP(A283,orders!A:C,3,0),employees!A:B,2,0)</f>
        <v>Robert King</v>
      </c>
    </row>
    <row r="284" spans="1:11" x14ac:dyDescent="0.25">
      <c r="A284">
        <v>10354</v>
      </c>
      <c r="B284">
        <v>1</v>
      </c>
      <c r="C284">
        <v>14.4</v>
      </c>
      <c r="D284">
        <v>12</v>
      </c>
      <c r="E284">
        <v>0</v>
      </c>
      <c r="F284">
        <f t="shared" si="4"/>
        <v>172.8</v>
      </c>
      <c r="G284">
        <f>YEAR(VLOOKUP(A284,orders!A:D,4,0))</f>
        <v>2013</v>
      </c>
      <c r="H284">
        <f>MONTH(INDEX(orders!D:D,MATCH(A284, orders!A:A,0)))</f>
        <v>11</v>
      </c>
      <c r="I284" t="str">
        <f>VLOOKUP(VLOOKUP(B284,products!A:F,6,0),categories!A:B,2,0)</f>
        <v>Beverages</v>
      </c>
      <c r="J284" t="str">
        <f>VLOOKUP(VLOOKUP(A284,orders!A:B,2,0),customers!A:F,6,0)</f>
        <v>Mexico</v>
      </c>
      <c r="K284" t="str">
        <f>VLOOKUP(VLOOKUP(A284,orders!A:C,3,0),employees!A:B,2,0)</f>
        <v>Laura Callahan</v>
      </c>
    </row>
    <row r="285" spans="1:11" x14ac:dyDescent="0.25">
      <c r="A285">
        <v>10354</v>
      </c>
      <c r="B285">
        <v>29</v>
      </c>
      <c r="C285">
        <v>99</v>
      </c>
      <c r="D285">
        <v>4</v>
      </c>
      <c r="E285">
        <v>0</v>
      </c>
      <c r="F285">
        <f t="shared" si="4"/>
        <v>396</v>
      </c>
      <c r="G285">
        <f>YEAR(VLOOKUP(A285,orders!A:D,4,0))</f>
        <v>2013</v>
      </c>
      <c r="H285">
        <f>MONTH(INDEX(orders!D:D,MATCH(A285, orders!A:A,0)))</f>
        <v>11</v>
      </c>
      <c r="I285" t="str">
        <f>VLOOKUP(VLOOKUP(B285,products!A:F,6,0),categories!A:B,2,0)</f>
        <v>Meat &amp; Poultry</v>
      </c>
      <c r="J285" t="str">
        <f>VLOOKUP(VLOOKUP(A285,orders!A:B,2,0),customers!A:F,6,0)</f>
        <v>Mexico</v>
      </c>
      <c r="K285" t="str">
        <f>VLOOKUP(VLOOKUP(A285,orders!A:C,3,0),employees!A:B,2,0)</f>
        <v>Laura Callahan</v>
      </c>
    </row>
    <row r="286" spans="1:11" x14ac:dyDescent="0.25">
      <c r="A286">
        <v>10355</v>
      </c>
      <c r="B286">
        <v>24</v>
      </c>
      <c r="C286">
        <v>3.6</v>
      </c>
      <c r="D286">
        <v>25</v>
      </c>
      <c r="E286">
        <v>0</v>
      </c>
      <c r="F286">
        <f t="shared" si="4"/>
        <v>90</v>
      </c>
      <c r="G286">
        <f>YEAR(VLOOKUP(A286,orders!A:D,4,0))</f>
        <v>2013</v>
      </c>
      <c r="H286">
        <f>MONTH(INDEX(orders!D:D,MATCH(A286, orders!A:A,0)))</f>
        <v>11</v>
      </c>
      <c r="I286" t="str">
        <f>VLOOKUP(VLOOKUP(B286,products!A:F,6,0),categories!A:B,2,0)</f>
        <v>Beverages</v>
      </c>
      <c r="J286" t="str">
        <f>VLOOKUP(VLOOKUP(A286,orders!A:B,2,0),customers!A:F,6,0)</f>
        <v>UK</v>
      </c>
      <c r="K286" t="str">
        <f>VLOOKUP(VLOOKUP(A286,orders!A:C,3,0),employees!A:B,2,0)</f>
        <v>Michael Suyama</v>
      </c>
    </row>
    <row r="287" spans="1:11" x14ac:dyDescent="0.25">
      <c r="A287">
        <v>10355</v>
      </c>
      <c r="B287">
        <v>57</v>
      </c>
      <c r="C287">
        <v>15.6</v>
      </c>
      <c r="D287">
        <v>25</v>
      </c>
      <c r="E287">
        <v>0</v>
      </c>
      <c r="F287">
        <f t="shared" si="4"/>
        <v>390</v>
      </c>
      <c r="G287">
        <f>YEAR(VLOOKUP(A287,orders!A:D,4,0))</f>
        <v>2013</v>
      </c>
      <c r="H287">
        <f>MONTH(INDEX(orders!D:D,MATCH(A287, orders!A:A,0)))</f>
        <v>11</v>
      </c>
      <c r="I287" t="str">
        <f>VLOOKUP(VLOOKUP(B287,products!A:F,6,0),categories!A:B,2,0)</f>
        <v>Grains &amp; Cereals</v>
      </c>
      <c r="J287" t="str">
        <f>VLOOKUP(VLOOKUP(A287,orders!A:B,2,0),customers!A:F,6,0)</f>
        <v>UK</v>
      </c>
      <c r="K287" t="str">
        <f>VLOOKUP(VLOOKUP(A287,orders!A:C,3,0),employees!A:B,2,0)</f>
        <v>Michael Suyama</v>
      </c>
    </row>
    <row r="288" spans="1:11" x14ac:dyDescent="0.25">
      <c r="A288">
        <v>10356</v>
      </c>
      <c r="B288">
        <v>31</v>
      </c>
      <c r="C288">
        <v>10</v>
      </c>
      <c r="D288">
        <v>30</v>
      </c>
      <c r="E288">
        <v>0</v>
      </c>
      <c r="F288">
        <f t="shared" si="4"/>
        <v>300</v>
      </c>
      <c r="G288">
        <f>YEAR(VLOOKUP(A288,orders!A:D,4,0))</f>
        <v>2013</v>
      </c>
      <c r="H288">
        <f>MONTH(INDEX(orders!D:D,MATCH(A288, orders!A:A,0)))</f>
        <v>11</v>
      </c>
      <c r="I288" t="str">
        <f>VLOOKUP(VLOOKUP(B288,products!A:F,6,0),categories!A:B,2,0)</f>
        <v>Dairy Products</v>
      </c>
      <c r="J288" t="str">
        <f>VLOOKUP(VLOOKUP(A288,orders!A:B,2,0),customers!A:F,6,0)</f>
        <v>Germany</v>
      </c>
      <c r="K288" t="str">
        <f>VLOOKUP(VLOOKUP(A288,orders!A:C,3,0),employees!A:B,2,0)</f>
        <v>Michael Suyama</v>
      </c>
    </row>
    <row r="289" spans="1:11" x14ac:dyDescent="0.25">
      <c r="A289">
        <v>10356</v>
      </c>
      <c r="B289">
        <v>55</v>
      </c>
      <c r="C289">
        <v>19.2</v>
      </c>
      <c r="D289">
        <v>12</v>
      </c>
      <c r="E289">
        <v>0</v>
      </c>
      <c r="F289">
        <f t="shared" si="4"/>
        <v>230.39999999999998</v>
      </c>
      <c r="G289">
        <f>YEAR(VLOOKUP(A289,orders!A:D,4,0))</f>
        <v>2013</v>
      </c>
      <c r="H289">
        <f>MONTH(INDEX(orders!D:D,MATCH(A289, orders!A:A,0)))</f>
        <v>11</v>
      </c>
      <c r="I289" t="str">
        <f>VLOOKUP(VLOOKUP(B289,products!A:F,6,0),categories!A:B,2,0)</f>
        <v>Meat &amp; Poultry</v>
      </c>
      <c r="J289" t="str">
        <f>VLOOKUP(VLOOKUP(A289,orders!A:B,2,0),customers!A:F,6,0)</f>
        <v>Germany</v>
      </c>
      <c r="K289" t="str">
        <f>VLOOKUP(VLOOKUP(A289,orders!A:C,3,0),employees!A:B,2,0)</f>
        <v>Michael Suyama</v>
      </c>
    </row>
    <row r="290" spans="1:11" x14ac:dyDescent="0.25">
      <c r="A290">
        <v>10356</v>
      </c>
      <c r="B290">
        <v>69</v>
      </c>
      <c r="C290">
        <v>28.8</v>
      </c>
      <c r="D290">
        <v>20</v>
      </c>
      <c r="E290">
        <v>0</v>
      </c>
      <c r="F290">
        <f t="shared" si="4"/>
        <v>576</v>
      </c>
      <c r="G290">
        <f>YEAR(VLOOKUP(A290,orders!A:D,4,0))</f>
        <v>2013</v>
      </c>
      <c r="H290">
        <f>MONTH(INDEX(orders!D:D,MATCH(A290, orders!A:A,0)))</f>
        <v>11</v>
      </c>
      <c r="I290" t="str">
        <f>VLOOKUP(VLOOKUP(B290,products!A:F,6,0),categories!A:B,2,0)</f>
        <v>Dairy Products</v>
      </c>
      <c r="J290" t="str">
        <f>VLOOKUP(VLOOKUP(A290,orders!A:B,2,0),customers!A:F,6,0)</f>
        <v>Germany</v>
      </c>
      <c r="K290" t="str">
        <f>VLOOKUP(VLOOKUP(A290,orders!A:C,3,0),employees!A:B,2,0)</f>
        <v>Michael Suyama</v>
      </c>
    </row>
    <row r="291" spans="1:11" x14ac:dyDescent="0.25">
      <c r="A291">
        <v>10357</v>
      </c>
      <c r="B291">
        <v>10</v>
      </c>
      <c r="C291">
        <v>24.8</v>
      </c>
      <c r="D291">
        <v>30</v>
      </c>
      <c r="E291">
        <v>0.2</v>
      </c>
      <c r="F291">
        <f t="shared" si="4"/>
        <v>595.20000000000005</v>
      </c>
      <c r="G291">
        <f>YEAR(VLOOKUP(A291,orders!A:D,4,0))</f>
        <v>2013</v>
      </c>
      <c r="H291">
        <f>MONTH(INDEX(orders!D:D,MATCH(A291, orders!A:A,0)))</f>
        <v>11</v>
      </c>
      <c r="I291" t="str">
        <f>VLOOKUP(VLOOKUP(B291,products!A:F,6,0),categories!A:B,2,0)</f>
        <v>Seafood</v>
      </c>
      <c r="J291" t="str">
        <f>VLOOKUP(VLOOKUP(A291,orders!A:B,2,0),customers!A:F,6,0)</f>
        <v>Venezuela</v>
      </c>
      <c r="K291" t="str">
        <f>VLOOKUP(VLOOKUP(A291,orders!A:C,3,0),employees!A:B,2,0)</f>
        <v>Nancy Davolio</v>
      </c>
    </row>
    <row r="292" spans="1:11" x14ac:dyDescent="0.25">
      <c r="A292">
        <v>10357</v>
      </c>
      <c r="B292">
        <v>26</v>
      </c>
      <c r="C292">
        <v>24.9</v>
      </c>
      <c r="D292">
        <v>16</v>
      </c>
      <c r="E292">
        <v>0</v>
      </c>
      <c r="F292">
        <f t="shared" si="4"/>
        <v>398.4</v>
      </c>
      <c r="G292">
        <f>YEAR(VLOOKUP(A292,orders!A:D,4,0))</f>
        <v>2013</v>
      </c>
      <c r="H292">
        <f>MONTH(INDEX(orders!D:D,MATCH(A292, orders!A:A,0)))</f>
        <v>11</v>
      </c>
      <c r="I292" t="str">
        <f>VLOOKUP(VLOOKUP(B292,products!A:F,6,0),categories!A:B,2,0)</f>
        <v>Confections</v>
      </c>
      <c r="J292" t="str">
        <f>VLOOKUP(VLOOKUP(A292,orders!A:B,2,0),customers!A:F,6,0)</f>
        <v>Venezuela</v>
      </c>
      <c r="K292" t="str">
        <f>VLOOKUP(VLOOKUP(A292,orders!A:C,3,0),employees!A:B,2,0)</f>
        <v>Nancy Davolio</v>
      </c>
    </row>
    <row r="293" spans="1:11" x14ac:dyDescent="0.25">
      <c r="A293">
        <v>10357</v>
      </c>
      <c r="B293">
        <v>60</v>
      </c>
      <c r="C293">
        <v>27.2</v>
      </c>
      <c r="D293">
        <v>8</v>
      </c>
      <c r="E293">
        <v>0.2</v>
      </c>
      <c r="F293">
        <f t="shared" si="4"/>
        <v>174.08</v>
      </c>
      <c r="G293">
        <f>YEAR(VLOOKUP(A293,orders!A:D,4,0))</f>
        <v>2013</v>
      </c>
      <c r="H293">
        <f>MONTH(INDEX(orders!D:D,MATCH(A293, orders!A:A,0)))</f>
        <v>11</v>
      </c>
      <c r="I293" t="str">
        <f>VLOOKUP(VLOOKUP(B293,products!A:F,6,0),categories!A:B,2,0)</f>
        <v>Dairy Products</v>
      </c>
      <c r="J293" t="str">
        <f>VLOOKUP(VLOOKUP(A293,orders!A:B,2,0),customers!A:F,6,0)</f>
        <v>Venezuela</v>
      </c>
      <c r="K293" t="str">
        <f>VLOOKUP(VLOOKUP(A293,orders!A:C,3,0),employees!A:B,2,0)</f>
        <v>Nancy Davolio</v>
      </c>
    </row>
    <row r="294" spans="1:11" x14ac:dyDescent="0.25">
      <c r="A294">
        <v>10358</v>
      </c>
      <c r="B294">
        <v>24</v>
      </c>
      <c r="C294">
        <v>3.6</v>
      </c>
      <c r="D294">
        <v>10</v>
      </c>
      <c r="E294">
        <v>0.05</v>
      </c>
      <c r="F294">
        <f t="shared" si="4"/>
        <v>34.199999999999996</v>
      </c>
      <c r="G294">
        <f>YEAR(VLOOKUP(A294,orders!A:D,4,0))</f>
        <v>2013</v>
      </c>
      <c r="H294">
        <f>MONTH(INDEX(orders!D:D,MATCH(A294, orders!A:A,0)))</f>
        <v>11</v>
      </c>
      <c r="I294" t="str">
        <f>VLOOKUP(VLOOKUP(B294,products!A:F,6,0),categories!A:B,2,0)</f>
        <v>Beverages</v>
      </c>
      <c r="J294" t="str">
        <f>VLOOKUP(VLOOKUP(A294,orders!A:B,2,0),customers!A:F,6,0)</f>
        <v>France</v>
      </c>
      <c r="K294" t="str">
        <f>VLOOKUP(VLOOKUP(A294,orders!A:C,3,0),employees!A:B,2,0)</f>
        <v>Steven Buchanan</v>
      </c>
    </row>
    <row r="295" spans="1:11" x14ac:dyDescent="0.25">
      <c r="A295">
        <v>10358</v>
      </c>
      <c r="B295">
        <v>34</v>
      </c>
      <c r="C295">
        <v>11.2</v>
      </c>
      <c r="D295">
        <v>10</v>
      </c>
      <c r="E295">
        <v>0.05</v>
      </c>
      <c r="F295">
        <f t="shared" si="4"/>
        <v>106.39999999999999</v>
      </c>
      <c r="G295">
        <f>YEAR(VLOOKUP(A295,orders!A:D,4,0))</f>
        <v>2013</v>
      </c>
      <c r="H295">
        <f>MONTH(INDEX(orders!D:D,MATCH(A295, orders!A:A,0)))</f>
        <v>11</v>
      </c>
      <c r="I295" t="str">
        <f>VLOOKUP(VLOOKUP(B295,products!A:F,6,0),categories!A:B,2,0)</f>
        <v>Beverages</v>
      </c>
      <c r="J295" t="str">
        <f>VLOOKUP(VLOOKUP(A295,orders!A:B,2,0),customers!A:F,6,0)</f>
        <v>France</v>
      </c>
      <c r="K295" t="str">
        <f>VLOOKUP(VLOOKUP(A295,orders!A:C,3,0),employees!A:B,2,0)</f>
        <v>Steven Buchanan</v>
      </c>
    </row>
    <row r="296" spans="1:11" x14ac:dyDescent="0.25">
      <c r="A296">
        <v>10358</v>
      </c>
      <c r="B296">
        <v>36</v>
      </c>
      <c r="C296">
        <v>15.2</v>
      </c>
      <c r="D296">
        <v>20</v>
      </c>
      <c r="E296">
        <v>0.05</v>
      </c>
      <c r="F296">
        <f t="shared" si="4"/>
        <v>288.8</v>
      </c>
      <c r="G296">
        <f>YEAR(VLOOKUP(A296,orders!A:D,4,0))</f>
        <v>2013</v>
      </c>
      <c r="H296">
        <f>MONTH(INDEX(orders!D:D,MATCH(A296, orders!A:A,0)))</f>
        <v>11</v>
      </c>
      <c r="I296" t="str">
        <f>VLOOKUP(VLOOKUP(B296,products!A:F,6,0),categories!A:B,2,0)</f>
        <v>Seafood</v>
      </c>
      <c r="J296" t="str">
        <f>VLOOKUP(VLOOKUP(A296,orders!A:B,2,0),customers!A:F,6,0)</f>
        <v>France</v>
      </c>
      <c r="K296" t="str">
        <f>VLOOKUP(VLOOKUP(A296,orders!A:C,3,0),employees!A:B,2,0)</f>
        <v>Steven Buchanan</v>
      </c>
    </row>
    <row r="297" spans="1:11" x14ac:dyDescent="0.25">
      <c r="A297">
        <v>10359</v>
      </c>
      <c r="B297">
        <v>16</v>
      </c>
      <c r="C297">
        <v>13.9</v>
      </c>
      <c r="D297">
        <v>56</v>
      </c>
      <c r="E297">
        <v>0.05</v>
      </c>
      <c r="F297">
        <f t="shared" si="4"/>
        <v>739.4799999999999</v>
      </c>
      <c r="G297">
        <f>YEAR(VLOOKUP(A297,orders!A:D,4,0))</f>
        <v>2013</v>
      </c>
      <c r="H297">
        <f>MONTH(INDEX(orders!D:D,MATCH(A297, orders!A:A,0)))</f>
        <v>11</v>
      </c>
      <c r="I297" t="str">
        <f>VLOOKUP(VLOOKUP(B297,products!A:F,6,0),categories!A:B,2,0)</f>
        <v>Confections</v>
      </c>
      <c r="J297" t="str">
        <f>VLOOKUP(VLOOKUP(A297,orders!A:B,2,0),customers!A:F,6,0)</f>
        <v>UK</v>
      </c>
      <c r="K297" t="str">
        <f>VLOOKUP(VLOOKUP(A297,orders!A:C,3,0),employees!A:B,2,0)</f>
        <v>Steven Buchanan</v>
      </c>
    </row>
    <row r="298" spans="1:11" x14ac:dyDescent="0.25">
      <c r="A298">
        <v>10359</v>
      </c>
      <c r="B298">
        <v>31</v>
      </c>
      <c r="C298">
        <v>10</v>
      </c>
      <c r="D298">
        <v>70</v>
      </c>
      <c r="E298">
        <v>0.05</v>
      </c>
      <c r="F298">
        <f t="shared" si="4"/>
        <v>665</v>
      </c>
      <c r="G298">
        <f>YEAR(VLOOKUP(A298,orders!A:D,4,0))</f>
        <v>2013</v>
      </c>
      <c r="H298">
        <f>MONTH(INDEX(orders!D:D,MATCH(A298, orders!A:A,0)))</f>
        <v>11</v>
      </c>
      <c r="I298" t="str">
        <f>VLOOKUP(VLOOKUP(B298,products!A:F,6,0),categories!A:B,2,0)</f>
        <v>Dairy Products</v>
      </c>
      <c r="J298" t="str">
        <f>VLOOKUP(VLOOKUP(A298,orders!A:B,2,0),customers!A:F,6,0)</f>
        <v>UK</v>
      </c>
      <c r="K298" t="str">
        <f>VLOOKUP(VLOOKUP(A298,orders!A:C,3,0),employees!A:B,2,0)</f>
        <v>Steven Buchanan</v>
      </c>
    </row>
    <row r="299" spans="1:11" x14ac:dyDescent="0.25">
      <c r="A299">
        <v>10359</v>
      </c>
      <c r="B299">
        <v>60</v>
      </c>
      <c r="C299">
        <v>27.2</v>
      </c>
      <c r="D299">
        <v>80</v>
      </c>
      <c r="E299">
        <v>0.05</v>
      </c>
      <c r="F299">
        <f t="shared" si="4"/>
        <v>2067.1999999999998</v>
      </c>
      <c r="G299">
        <f>YEAR(VLOOKUP(A299,orders!A:D,4,0))</f>
        <v>2013</v>
      </c>
      <c r="H299">
        <f>MONTH(INDEX(orders!D:D,MATCH(A299, orders!A:A,0)))</f>
        <v>11</v>
      </c>
      <c r="I299" t="str">
        <f>VLOOKUP(VLOOKUP(B299,products!A:F,6,0),categories!A:B,2,0)</f>
        <v>Dairy Products</v>
      </c>
      <c r="J299" t="str">
        <f>VLOOKUP(VLOOKUP(A299,orders!A:B,2,0),customers!A:F,6,0)</f>
        <v>UK</v>
      </c>
      <c r="K299" t="str">
        <f>VLOOKUP(VLOOKUP(A299,orders!A:C,3,0),employees!A:B,2,0)</f>
        <v>Steven Buchanan</v>
      </c>
    </row>
    <row r="300" spans="1:11" x14ac:dyDescent="0.25">
      <c r="A300">
        <v>10360</v>
      </c>
      <c r="B300">
        <v>28</v>
      </c>
      <c r="C300">
        <v>36.4</v>
      </c>
      <c r="D300">
        <v>30</v>
      </c>
      <c r="E300">
        <v>0</v>
      </c>
      <c r="F300">
        <f t="shared" si="4"/>
        <v>1092</v>
      </c>
      <c r="G300">
        <f>YEAR(VLOOKUP(A300,orders!A:D,4,0))</f>
        <v>2013</v>
      </c>
      <c r="H300">
        <f>MONTH(INDEX(orders!D:D,MATCH(A300, orders!A:A,0)))</f>
        <v>11</v>
      </c>
      <c r="I300" t="str">
        <f>VLOOKUP(VLOOKUP(B300,products!A:F,6,0),categories!A:B,2,0)</f>
        <v>Produce</v>
      </c>
      <c r="J300" t="str">
        <f>VLOOKUP(VLOOKUP(A300,orders!A:B,2,0),customers!A:F,6,0)</f>
        <v>France</v>
      </c>
      <c r="K300" t="str">
        <f>VLOOKUP(VLOOKUP(A300,orders!A:C,3,0),employees!A:B,2,0)</f>
        <v>Margaret Peacock</v>
      </c>
    </row>
    <row r="301" spans="1:11" x14ac:dyDescent="0.25">
      <c r="A301">
        <v>10360</v>
      </c>
      <c r="B301">
        <v>29</v>
      </c>
      <c r="C301">
        <v>99</v>
      </c>
      <c r="D301">
        <v>35</v>
      </c>
      <c r="E301">
        <v>0</v>
      </c>
      <c r="F301">
        <f t="shared" si="4"/>
        <v>3465</v>
      </c>
      <c r="G301">
        <f>YEAR(VLOOKUP(A301,orders!A:D,4,0))</f>
        <v>2013</v>
      </c>
      <c r="H301">
        <f>MONTH(INDEX(orders!D:D,MATCH(A301, orders!A:A,0)))</f>
        <v>11</v>
      </c>
      <c r="I301" t="str">
        <f>VLOOKUP(VLOOKUP(B301,products!A:F,6,0),categories!A:B,2,0)</f>
        <v>Meat &amp; Poultry</v>
      </c>
      <c r="J301" t="str">
        <f>VLOOKUP(VLOOKUP(A301,orders!A:B,2,0),customers!A:F,6,0)</f>
        <v>France</v>
      </c>
      <c r="K301" t="str">
        <f>VLOOKUP(VLOOKUP(A301,orders!A:C,3,0),employees!A:B,2,0)</f>
        <v>Margaret Peacock</v>
      </c>
    </row>
    <row r="302" spans="1:11" x14ac:dyDescent="0.25">
      <c r="A302">
        <v>10360</v>
      </c>
      <c r="B302">
        <v>38</v>
      </c>
      <c r="C302">
        <v>210.8</v>
      </c>
      <c r="D302">
        <v>10</v>
      </c>
      <c r="E302">
        <v>0</v>
      </c>
      <c r="F302">
        <f t="shared" si="4"/>
        <v>2108</v>
      </c>
      <c r="G302">
        <f>YEAR(VLOOKUP(A302,orders!A:D,4,0))</f>
        <v>2013</v>
      </c>
      <c r="H302">
        <f>MONTH(INDEX(orders!D:D,MATCH(A302, orders!A:A,0)))</f>
        <v>11</v>
      </c>
      <c r="I302" t="str">
        <f>VLOOKUP(VLOOKUP(B302,products!A:F,6,0),categories!A:B,2,0)</f>
        <v>Beverages</v>
      </c>
      <c r="J302" t="str">
        <f>VLOOKUP(VLOOKUP(A302,orders!A:B,2,0),customers!A:F,6,0)</f>
        <v>France</v>
      </c>
      <c r="K302" t="str">
        <f>VLOOKUP(VLOOKUP(A302,orders!A:C,3,0),employees!A:B,2,0)</f>
        <v>Margaret Peacock</v>
      </c>
    </row>
    <row r="303" spans="1:11" x14ac:dyDescent="0.25">
      <c r="A303">
        <v>10360</v>
      </c>
      <c r="B303">
        <v>49</v>
      </c>
      <c r="C303">
        <v>16</v>
      </c>
      <c r="D303">
        <v>35</v>
      </c>
      <c r="E303">
        <v>0</v>
      </c>
      <c r="F303">
        <f t="shared" si="4"/>
        <v>560</v>
      </c>
      <c r="G303">
        <f>YEAR(VLOOKUP(A303,orders!A:D,4,0))</f>
        <v>2013</v>
      </c>
      <c r="H303">
        <f>MONTH(INDEX(orders!D:D,MATCH(A303, orders!A:A,0)))</f>
        <v>11</v>
      </c>
      <c r="I303" t="str">
        <f>VLOOKUP(VLOOKUP(B303,products!A:F,6,0),categories!A:B,2,0)</f>
        <v>Confections</v>
      </c>
      <c r="J303" t="str">
        <f>VLOOKUP(VLOOKUP(A303,orders!A:B,2,0),customers!A:F,6,0)</f>
        <v>France</v>
      </c>
      <c r="K303" t="str">
        <f>VLOOKUP(VLOOKUP(A303,orders!A:C,3,0),employees!A:B,2,0)</f>
        <v>Margaret Peacock</v>
      </c>
    </row>
    <row r="304" spans="1:11" x14ac:dyDescent="0.25">
      <c r="A304">
        <v>10360</v>
      </c>
      <c r="B304">
        <v>54</v>
      </c>
      <c r="C304">
        <v>5.9</v>
      </c>
      <c r="D304">
        <v>28</v>
      </c>
      <c r="E304">
        <v>0</v>
      </c>
      <c r="F304">
        <f t="shared" si="4"/>
        <v>165.20000000000002</v>
      </c>
      <c r="G304">
        <f>YEAR(VLOOKUP(A304,orders!A:D,4,0))</f>
        <v>2013</v>
      </c>
      <c r="H304">
        <f>MONTH(INDEX(orders!D:D,MATCH(A304, orders!A:A,0)))</f>
        <v>11</v>
      </c>
      <c r="I304" t="str">
        <f>VLOOKUP(VLOOKUP(B304,products!A:F,6,0),categories!A:B,2,0)</f>
        <v>Meat &amp; Poultry</v>
      </c>
      <c r="J304" t="str">
        <f>VLOOKUP(VLOOKUP(A304,orders!A:B,2,0),customers!A:F,6,0)</f>
        <v>France</v>
      </c>
      <c r="K304" t="str">
        <f>VLOOKUP(VLOOKUP(A304,orders!A:C,3,0),employees!A:B,2,0)</f>
        <v>Margaret Peacock</v>
      </c>
    </row>
    <row r="305" spans="1:11" x14ac:dyDescent="0.25">
      <c r="A305">
        <v>10361</v>
      </c>
      <c r="B305">
        <v>39</v>
      </c>
      <c r="C305">
        <v>14.4</v>
      </c>
      <c r="D305">
        <v>54</v>
      </c>
      <c r="E305">
        <v>0.1</v>
      </c>
      <c r="F305">
        <f t="shared" si="4"/>
        <v>699.84</v>
      </c>
      <c r="G305">
        <f>YEAR(VLOOKUP(A305,orders!A:D,4,0))</f>
        <v>2013</v>
      </c>
      <c r="H305">
        <f>MONTH(INDEX(orders!D:D,MATCH(A305, orders!A:A,0)))</f>
        <v>11</v>
      </c>
      <c r="I305" t="str">
        <f>VLOOKUP(VLOOKUP(B305,products!A:F,6,0),categories!A:B,2,0)</f>
        <v>Beverages</v>
      </c>
      <c r="J305" t="str">
        <f>VLOOKUP(VLOOKUP(A305,orders!A:B,2,0),customers!A:F,6,0)</f>
        <v>Germany</v>
      </c>
      <c r="K305" t="str">
        <f>VLOOKUP(VLOOKUP(A305,orders!A:C,3,0),employees!A:B,2,0)</f>
        <v>Nancy Davolio</v>
      </c>
    </row>
    <row r="306" spans="1:11" x14ac:dyDescent="0.25">
      <c r="A306">
        <v>10361</v>
      </c>
      <c r="B306">
        <v>60</v>
      </c>
      <c r="C306">
        <v>27.2</v>
      </c>
      <c r="D306">
        <v>55</v>
      </c>
      <c r="E306">
        <v>0.1</v>
      </c>
      <c r="F306">
        <f t="shared" si="4"/>
        <v>1346.4</v>
      </c>
      <c r="G306">
        <f>YEAR(VLOOKUP(A306,orders!A:D,4,0))</f>
        <v>2013</v>
      </c>
      <c r="H306">
        <f>MONTH(INDEX(orders!D:D,MATCH(A306, orders!A:A,0)))</f>
        <v>11</v>
      </c>
      <c r="I306" t="str">
        <f>VLOOKUP(VLOOKUP(B306,products!A:F,6,0),categories!A:B,2,0)</f>
        <v>Dairy Products</v>
      </c>
      <c r="J306" t="str">
        <f>VLOOKUP(VLOOKUP(A306,orders!A:B,2,0),customers!A:F,6,0)</f>
        <v>Germany</v>
      </c>
      <c r="K306" t="str">
        <f>VLOOKUP(VLOOKUP(A306,orders!A:C,3,0),employees!A:B,2,0)</f>
        <v>Nancy Davolio</v>
      </c>
    </row>
    <row r="307" spans="1:11" x14ac:dyDescent="0.25">
      <c r="A307">
        <v>10362</v>
      </c>
      <c r="B307">
        <v>25</v>
      </c>
      <c r="C307">
        <v>11.2</v>
      </c>
      <c r="D307">
        <v>50</v>
      </c>
      <c r="E307">
        <v>0</v>
      </c>
      <c r="F307">
        <f t="shared" si="4"/>
        <v>560</v>
      </c>
      <c r="G307">
        <f>YEAR(VLOOKUP(A307,orders!A:D,4,0))</f>
        <v>2013</v>
      </c>
      <c r="H307">
        <f>MONTH(INDEX(orders!D:D,MATCH(A307, orders!A:A,0)))</f>
        <v>11</v>
      </c>
      <c r="I307" t="str">
        <f>VLOOKUP(VLOOKUP(B307,products!A:F,6,0),categories!A:B,2,0)</f>
        <v>Confections</v>
      </c>
      <c r="J307" t="str">
        <f>VLOOKUP(VLOOKUP(A307,orders!A:B,2,0),customers!A:F,6,0)</f>
        <v>France</v>
      </c>
      <c r="K307" t="str">
        <f>VLOOKUP(VLOOKUP(A307,orders!A:C,3,0),employees!A:B,2,0)</f>
        <v>Janet Leverling</v>
      </c>
    </row>
    <row r="308" spans="1:11" x14ac:dyDescent="0.25">
      <c r="A308">
        <v>10362</v>
      </c>
      <c r="B308">
        <v>51</v>
      </c>
      <c r="C308">
        <v>42.4</v>
      </c>
      <c r="D308">
        <v>20</v>
      </c>
      <c r="E308">
        <v>0</v>
      </c>
      <c r="F308">
        <f t="shared" si="4"/>
        <v>848</v>
      </c>
      <c r="G308">
        <f>YEAR(VLOOKUP(A308,orders!A:D,4,0))</f>
        <v>2013</v>
      </c>
      <c r="H308">
        <f>MONTH(INDEX(orders!D:D,MATCH(A308, orders!A:A,0)))</f>
        <v>11</v>
      </c>
      <c r="I308" t="str">
        <f>VLOOKUP(VLOOKUP(B308,products!A:F,6,0),categories!A:B,2,0)</f>
        <v>Produce</v>
      </c>
      <c r="J308" t="str">
        <f>VLOOKUP(VLOOKUP(A308,orders!A:B,2,0),customers!A:F,6,0)</f>
        <v>France</v>
      </c>
      <c r="K308" t="str">
        <f>VLOOKUP(VLOOKUP(A308,orders!A:C,3,0),employees!A:B,2,0)</f>
        <v>Janet Leverling</v>
      </c>
    </row>
    <row r="309" spans="1:11" x14ac:dyDescent="0.25">
      <c r="A309">
        <v>10362</v>
      </c>
      <c r="B309">
        <v>54</v>
      </c>
      <c r="C309">
        <v>5.9</v>
      </c>
      <c r="D309">
        <v>24</v>
      </c>
      <c r="E309">
        <v>0</v>
      </c>
      <c r="F309">
        <f t="shared" si="4"/>
        <v>141.60000000000002</v>
      </c>
      <c r="G309">
        <f>YEAR(VLOOKUP(A309,orders!A:D,4,0))</f>
        <v>2013</v>
      </c>
      <c r="H309">
        <f>MONTH(INDEX(orders!D:D,MATCH(A309, orders!A:A,0)))</f>
        <v>11</v>
      </c>
      <c r="I309" t="str">
        <f>VLOOKUP(VLOOKUP(B309,products!A:F,6,0),categories!A:B,2,0)</f>
        <v>Meat &amp; Poultry</v>
      </c>
      <c r="J309" t="str">
        <f>VLOOKUP(VLOOKUP(A309,orders!A:B,2,0),customers!A:F,6,0)</f>
        <v>France</v>
      </c>
      <c r="K309" t="str">
        <f>VLOOKUP(VLOOKUP(A309,orders!A:C,3,0),employees!A:B,2,0)</f>
        <v>Janet Leverling</v>
      </c>
    </row>
    <row r="310" spans="1:11" x14ac:dyDescent="0.25">
      <c r="A310">
        <v>10363</v>
      </c>
      <c r="B310">
        <v>31</v>
      </c>
      <c r="C310">
        <v>10</v>
      </c>
      <c r="D310">
        <v>20</v>
      </c>
      <c r="E310">
        <v>0</v>
      </c>
      <c r="F310">
        <f t="shared" si="4"/>
        <v>200</v>
      </c>
      <c r="G310">
        <f>YEAR(VLOOKUP(A310,orders!A:D,4,0))</f>
        <v>2013</v>
      </c>
      <c r="H310">
        <f>MONTH(INDEX(orders!D:D,MATCH(A310, orders!A:A,0)))</f>
        <v>11</v>
      </c>
      <c r="I310" t="str">
        <f>VLOOKUP(VLOOKUP(B310,products!A:F,6,0),categories!A:B,2,0)</f>
        <v>Dairy Products</v>
      </c>
      <c r="J310" t="str">
        <f>VLOOKUP(VLOOKUP(A310,orders!A:B,2,0),customers!A:F,6,0)</f>
        <v>Germany</v>
      </c>
      <c r="K310" t="str">
        <f>VLOOKUP(VLOOKUP(A310,orders!A:C,3,0),employees!A:B,2,0)</f>
        <v>Margaret Peacock</v>
      </c>
    </row>
    <row r="311" spans="1:11" x14ac:dyDescent="0.25">
      <c r="A311">
        <v>10363</v>
      </c>
      <c r="B311">
        <v>75</v>
      </c>
      <c r="C311">
        <v>6.2</v>
      </c>
      <c r="D311">
        <v>12</v>
      </c>
      <c r="E311">
        <v>0</v>
      </c>
      <c r="F311">
        <f t="shared" si="4"/>
        <v>74.400000000000006</v>
      </c>
      <c r="G311">
        <f>YEAR(VLOOKUP(A311,orders!A:D,4,0))</f>
        <v>2013</v>
      </c>
      <c r="H311">
        <f>MONTH(INDEX(orders!D:D,MATCH(A311, orders!A:A,0)))</f>
        <v>11</v>
      </c>
      <c r="I311" t="str">
        <f>VLOOKUP(VLOOKUP(B311,products!A:F,6,0),categories!A:B,2,0)</f>
        <v>Beverages</v>
      </c>
      <c r="J311" t="str">
        <f>VLOOKUP(VLOOKUP(A311,orders!A:B,2,0),customers!A:F,6,0)</f>
        <v>Germany</v>
      </c>
      <c r="K311" t="str">
        <f>VLOOKUP(VLOOKUP(A311,orders!A:C,3,0),employees!A:B,2,0)</f>
        <v>Margaret Peacock</v>
      </c>
    </row>
    <row r="312" spans="1:11" x14ac:dyDescent="0.25">
      <c r="A312">
        <v>10363</v>
      </c>
      <c r="B312">
        <v>76</v>
      </c>
      <c r="C312">
        <v>14.4</v>
      </c>
      <c r="D312">
        <v>12</v>
      </c>
      <c r="E312">
        <v>0</v>
      </c>
      <c r="F312">
        <f t="shared" si="4"/>
        <v>172.8</v>
      </c>
      <c r="G312">
        <f>YEAR(VLOOKUP(A312,orders!A:D,4,0))</f>
        <v>2013</v>
      </c>
      <c r="H312">
        <f>MONTH(INDEX(orders!D:D,MATCH(A312, orders!A:A,0)))</f>
        <v>11</v>
      </c>
      <c r="I312" t="str">
        <f>VLOOKUP(VLOOKUP(B312,products!A:F,6,0),categories!A:B,2,0)</f>
        <v>Beverages</v>
      </c>
      <c r="J312" t="str">
        <f>VLOOKUP(VLOOKUP(A312,orders!A:B,2,0),customers!A:F,6,0)</f>
        <v>Germany</v>
      </c>
      <c r="K312" t="str">
        <f>VLOOKUP(VLOOKUP(A312,orders!A:C,3,0),employees!A:B,2,0)</f>
        <v>Margaret Peacock</v>
      </c>
    </row>
    <row r="313" spans="1:11" x14ac:dyDescent="0.25">
      <c r="A313">
        <v>10364</v>
      </c>
      <c r="B313">
        <v>69</v>
      </c>
      <c r="C313">
        <v>28.8</v>
      </c>
      <c r="D313">
        <v>30</v>
      </c>
      <c r="E313">
        <v>0</v>
      </c>
      <c r="F313">
        <f t="shared" si="4"/>
        <v>864</v>
      </c>
      <c r="G313">
        <f>YEAR(VLOOKUP(A313,orders!A:D,4,0))</f>
        <v>2013</v>
      </c>
      <c r="H313">
        <f>MONTH(INDEX(orders!D:D,MATCH(A313, orders!A:A,0)))</f>
        <v>11</v>
      </c>
      <c r="I313" t="str">
        <f>VLOOKUP(VLOOKUP(B313,products!A:F,6,0),categories!A:B,2,0)</f>
        <v>Dairy Products</v>
      </c>
      <c r="J313" t="str">
        <f>VLOOKUP(VLOOKUP(A313,orders!A:B,2,0),customers!A:F,6,0)</f>
        <v>UK</v>
      </c>
      <c r="K313" t="str">
        <f>VLOOKUP(VLOOKUP(A313,orders!A:C,3,0),employees!A:B,2,0)</f>
        <v>Nancy Davolio</v>
      </c>
    </row>
    <row r="314" spans="1:11" x14ac:dyDescent="0.25">
      <c r="A314">
        <v>10364</v>
      </c>
      <c r="B314">
        <v>71</v>
      </c>
      <c r="C314">
        <v>17.2</v>
      </c>
      <c r="D314">
        <v>5</v>
      </c>
      <c r="E314">
        <v>0</v>
      </c>
      <c r="F314">
        <f t="shared" si="4"/>
        <v>86</v>
      </c>
      <c r="G314">
        <f>YEAR(VLOOKUP(A314,orders!A:D,4,0))</f>
        <v>2013</v>
      </c>
      <c r="H314">
        <f>MONTH(INDEX(orders!D:D,MATCH(A314, orders!A:A,0)))</f>
        <v>11</v>
      </c>
      <c r="I314" t="str">
        <f>VLOOKUP(VLOOKUP(B314,products!A:F,6,0),categories!A:B,2,0)</f>
        <v>Dairy Products</v>
      </c>
      <c r="J314" t="str">
        <f>VLOOKUP(VLOOKUP(A314,orders!A:B,2,0),customers!A:F,6,0)</f>
        <v>UK</v>
      </c>
      <c r="K314" t="str">
        <f>VLOOKUP(VLOOKUP(A314,orders!A:C,3,0),employees!A:B,2,0)</f>
        <v>Nancy Davolio</v>
      </c>
    </row>
    <row r="315" spans="1:11" x14ac:dyDescent="0.25">
      <c r="A315">
        <v>10365</v>
      </c>
      <c r="B315">
        <v>11</v>
      </c>
      <c r="C315">
        <v>16.8</v>
      </c>
      <c r="D315">
        <v>24</v>
      </c>
      <c r="E315">
        <v>0</v>
      </c>
      <c r="F315">
        <f t="shared" si="4"/>
        <v>403.20000000000005</v>
      </c>
      <c r="G315">
        <f>YEAR(VLOOKUP(A315,orders!A:D,4,0))</f>
        <v>2013</v>
      </c>
      <c r="H315">
        <f>MONTH(INDEX(orders!D:D,MATCH(A315, orders!A:A,0)))</f>
        <v>11</v>
      </c>
      <c r="I315" t="str">
        <f>VLOOKUP(VLOOKUP(B315,products!A:F,6,0),categories!A:B,2,0)</f>
        <v>Dairy Products</v>
      </c>
      <c r="J315" t="str">
        <f>VLOOKUP(VLOOKUP(A315,orders!A:B,2,0),customers!A:F,6,0)</f>
        <v>Mexico</v>
      </c>
      <c r="K315" t="str">
        <f>VLOOKUP(VLOOKUP(A315,orders!A:C,3,0),employees!A:B,2,0)</f>
        <v>Janet Leverling</v>
      </c>
    </row>
    <row r="316" spans="1:11" x14ac:dyDescent="0.25">
      <c r="A316">
        <v>10366</v>
      </c>
      <c r="B316">
        <v>65</v>
      </c>
      <c r="C316">
        <v>16.8</v>
      </c>
      <c r="D316">
        <v>5</v>
      </c>
      <c r="E316">
        <v>0</v>
      </c>
      <c r="F316">
        <f t="shared" si="4"/>
        <v>84</v>
      </c>
      <c r="G316">
        <f>YEAR(VLOOKUP(A316,orders!A:D,4,0))</f>
        <v>2013</v>
      </c>
      <c r="H316">
        <f>MONTH(INDEX(orders!D:D,MATCH(A316, orders!A:A,0)))</f>
        <v>11</v>
      </c>
      <c r="I316" t="str">
        <f>VLOOKUP(VLOOKUP(B316,products!A:F,6,0),categories!A:B,2,0)</f>
        <v>Condiments</v>
      </c>
      <c r="J316" t="str">
        <f>VLOOKUP(VLOOKUP(A316,orders!A:B,2,0),customers!A:F,6,0)</f>
        <v>Spain</v>
      </c>
      <c r="K316" t="str">
        <f>VLOOKUP(VLOOKUP(A316,orders!A:C,3,0),employees!A:B,2,0)</f>
        <v>Laura Callahan</v>
      </c>
    </row>
    <row r="317" spans="1:11" x14ac:dyDescent="0.25">
      <c r="A317">
        <v>10366</v>
      </c>
      <c r="B317">
        <v>77</v>
      </c>
      <c r="C317">
        <v>10.4</v>
      </c>
      <c r="D317">
        <v>5</v>
      </c>
      <c r="E317">
        <v>0</v>
      </c>
      <c r="F317">
        <f t="shared" si="4"/>
        <v>52</v>
      </c>
      <c r="G317">
        <f>YEAR(VLOOKUP(A317,orders!A:D,4,0))</f>
        <v>2013</v>
      </c>
      <c r="H317">
        <f>MONTH(INDEX(orders!D:D,MATCH(A317, orders!A:A,0)))</f>
        <v>11</v>
      </c>
      <c r="I317" t="str">
        <f>VLOOKUP(VLOOKUP(B317,products!A:F,6,0),categories!A:B,2,0)</f>
        <v>Condiments</v>
      </c>
      <c r="J317" t="str">
        <f>VLOOKUP(VLOOKUP(A317,orders!A:B,2,0),customers!A:F,6,0)</f>
        <v>Spain</v>
      </c>
      <c r="K317" t="str">
        <f>VLOOKUP(VLOOKUP(A317,orders!A:C,3,0),employees!A:B,2,0)</f>
        <v>Laura Callahan</v>
      </c>
    </row>
    <row r="318" spans="1:11" x14ac:dyDescent="0.25">
      <c r="A318">
        <v>10367</v>
      </c>
      <c r="B318">
        <v>34</v>
      </c>
      <c r="C318">
        <v>11.2</v>
      </c>
      <c r="D318">
        <v>36</v>
      </c>
      <c r="E318">
        <v>0</v>
      </c>
      <c r="F318">
        <f t="shared" si="4"/>
        <v>403.2</v>
      </c>
      <c r="G318">
        <f>YEAR(VLOOKUP(A318,orders!A:D,4,0))</f>
        <v>2013</v>
      </c>
      <c r="H318">
        <f>MONTH(INDEX(orders!D:D,MATCH(A318, orders!A:A,0)))</f>
        <v>11</v>
      </c>
      <c r="I318" t="str">
        <f>VLOOKUP(VLOOKUP(B318,products!A:F,6,0),categories!A:B,2,0)</f>
        <v>Beverages</v>
      </c>
      <c r="J318" t="str">
        <f>VLOOKUP(VLOOKUP(A318,orders!A:B,2,0),customers!A:F,6,0)</f>
        <v>Denmark</v>
      </c>
      <c r="K318" t="str">
        <f>VLOOKUP(VLOOKUP(A318,orders!A:C,3,0),employees!A:B,2,0)</f>
        <v>Robert King</v>
      </c>
    </row>
    <row r="319" spans="1:11" x14ac:dyDescent="0.25">
      <c r="A319">
        <v>10367</v>
      </c>
      <c r="B319">
        <v>54</v>
      </c>
      <c r="C319">
        <v>5.9</v>
      </c>
      <c r="D319">
        <v>18</v>
      </c>
      <c r="E319">
        <v>0</v>
      </c>
      <c r="F319">
        <f t="shared" si="4"/>
        <v>106.2</v>
      </c>
      <c r="G319">
        <f>YEAR(VLOOKUP(A319,orders!A:D,4,0))</f>
        <v>2013</v>
      </c>
      <c r="H319">
        <f>MONTH(INDEX(orders!D:D,MATCH(A319, orders!A:A,0)))</f>
        <v>11</v>
      </c>
      <c r="I319" t="str">
        <f>VLOOKUP(VLOOKUP(B319,products!A:F,6,0),categories!A:B,2,0)</f>
        <v>Meat &amp; Poultry</v>
      </c>
      <c r="J319" t="str">
        <f>VLOOKUP(VLOOKUP(A319,orders!A:B,2,0),customers!A:F,6,0)</f>
        <v>Denmark</v>
      </c>
      <c r="K319" t="str">
        <f>VLOOKUP(VLOOKUP(A319,orders!A:C,3,0),employees!A:B,2,0)</f>
        <v>Robert King</v>
      </c>
    </row>
    <row r="320" spans="1:11" x14ac:dyDescent="0.25">
      <c r="A320">
        <v>10367</v>
      </c>
      <c r="B320">
        <v>65</v>
      </c>
      <c r="C320">
        <v>16.8</v>
      </c>
      <c r="D320">
        <v>15</v>
      </c>
      <c r="E320">
        <v>0</v>
      </c>
      <c r="F320">
        <f t="shared" si="4"/>
        <v>252</v>
      </c>
      <c r="G320">
        <f>YEAR(VLOOKUP(A320,orders!A:D,4,0))</f>
        <v>2013</v>
      </c>
      <c r="H320">
        <f>MONTH(INDEX(orders!D:D,MATCH(A320, orders!A:A,0)))</f>
        <v>11</v>
      </c>
      <c r="I320" t="str">
        <f>VLOOKUP(VLOOKUP(B320,products!A:F,6,0),categories!A:B,2,0)</f>
        <v>Condiments</v>
      </c>
      <c r="J320" t="str">
        <f>VLOOKUP(VLOOKUP(A320,orders!A:B,2,0),customers!A:F,6,0)</f>
        <v>Denmark</v>
      </c>
      <c r="K320" t="str">
        <f>VLOOKUP(VLOOKUP(A320,orders!A:C,3,0),employees!A:B,2,0)</f>
        <v>Robert King</v>
      </c>
    </row>
    <row r="321" spans="1:11" x14ac:dyDescent="0.25">
      <c r="A321">
        <v>10367</v>
      </c>
      <c r="B321">
        <v>77</v>
      </c>
      <c r="C321">
        <v>10.4</v>
      </c>
      <c r="D321">
        <v>7</v>
      </c>
      <c r="E321">
        <v>0</v>
      </c>
      <c r="F321">
        <f t="shared" si="4"/>
        <v>72.8</v>
      </c>
      <c r="G321">
        <f>YEAR(VLOOKUP(A321,orders!A:D,4,0))</f>
        <v>2013</v>
      </c>
      <c r="H321">
        <f>MONTH(INDEX(orders!D:D,MATCH(A321, orders!A:A,0)))</f>
        <v>11</v>
      </c>
      <c r="I321" t="str">
        <f>VLOOKUP(VLOOKUP(B321,products!A:F,6,0),categories!A:B,2,0)</f>
        <v>Condiments</v>
      </c>
      <c r="J321" t="str">
        <f>VLOOKUP(VLOOKUP(A321,orders!A:B,2,0),customers!A:F,6,0)</f>
        <v>Denmark</v>
      </c>
      <c r="K321" t="str">
        <f>VLOOKUP(VLOOKUP(A321,orders!A:C,3,0),employees!A:B,2,0)</f>
        <v>Robert King</v>
      </c>
    </row>
    <row r="322" spans="1:11" x14ac:dyDescent="0.25">
      <c r="A322">
        <v>10368</v>
      </c>
      <c r="B322">
        <v>21</v>
      </c>
      <c r="C322">
        <v>8</v>
      </c>
      <c r="D322">
        <v>5</v>
      </c>
      <c r="E322">
        <v>0.1</v>
      </c>
      <c r="F322">
        <f t="shared" si="4"/>
        <v>36</v>
      </c>
      <c r="G322">
        <f>YEAR(VLOOKUP(A322,orders!A:D,4,0))</f>
        <v>2013</v>
      </c>
      <c r="H322">
        <f>MONTH(INDEX(orders!D:D,MATCH(A322, orders!A:A,0)))</f>
        <v>11</v>
      </c>
      <c r="I322" t="str">
        <f>VLOOKUP(VLOOKUP(B322,products!A:F,6,0),categories!A:B,2,0)</f>
        <v>Confections</v>
      </c>
      <c r="J322" t="str">
        <f>VLOOKUP(VLOOKUP(A322,orders!A:B,2,0),customers!A:F,6,0)</f>
        <v>Austria</v>
      </c>
      <c r="K322" t="str">
        <f>VLOOKUP(VLOOKUP(A322,orders!A:C,3,0),employees!A:B,2,0)</f>
        <v>Andrew Fuller</v>
      </c>
    </row>
    <row r="323" spans="1:11" x14ac:dyDescent="0.25">
      <c r="A323">
        <v>10368</v>
      </c>
      <c r="B323">
        <v>28</v>
      </c>
      <c r="C323">
        <v>36.4</v>
      </c>
      <c r="D323">
        <v>13</v>
      </c>
      <c r="E323">
        <v>0.1</v>
      </c>
      <c r="F323">
        <f t="shared" ref="F323:F386" si="5">C323*D323*(1-E323)</f>
        <v>425.88</v>
      </c>
      <c r="G323">
        <f>YEAR(VLOOKUP(A323,orders!A:D,4,0))</f>
        <v>2013</v>
      </c>
      <c r="H323">
        <f>MONTH(INDEX(orders!D:D,MATCH(A323, orders!A:A,0)))</f>
        <v>11</v>
      </c>
      <c r="I323" t="str">
        <f>VLOOKUP(VLOOKUP(B323,products!A:F,6,0),categories!A:B,2,0)</f>
        <v>Produce</v>
      </c>
      <c r="J323" t="str">
        <f>VLOOKUP(VLOOKUP(A323,orders!A:B,2,0),customers!A:F,6,0)</f>
        <v>Austria</v>
      </c>
      <c r="K323" t="str">
        <f>VLOOKUP(VLOOKUP(A323,orders!A:C,3,0),employees!A:B,2,0)</f>
        <v>Andrew Fuller</v>
      </c>
    </row>
    <row r="324" spans="1:11" x14ac:dyDescent="0.25">
      <c r="A324">
        <v>10368</v>
      </c>
      <c r="B324">
        <v>57</v>
      </c>
      <c r="C324">
        <v>15.6</v>
      </c>
      <c r="D324">
        <v>25</v>
      </c>
      <c r="E324">
        <v>0</v>
      </c>
      <c r="F324">
        <f t="shared" si="5"/>
        <v>390</v>
      </c>
      <c r="G324">
        <f>YEAR(VLOOKUP(A324,orders!A:D,4,0))</f>
        <v>2013</v>
      </c>
      <c r="H324">
        <f>MONTH(INDEX(orders!D:D,MATCH(A324, orders!A:A,0)))</f>
        <v>11</v>
      </c>
      <c r="I324" t="str">
        <f>VLOOKUP(VLOOKUP(B324,products!A:F,6,0),categories!A:B,2,0)</f>
        <v>Grains &amp; Cereals</v>
      </c>
      <c r="J324" t="str">
        <f>VLOOKUP(VLOOKUP(A324,orders!A:B,2,0),customers!A:F,6,0)</f>
        <v>Austria</v>
      </c>
      <c r="K324" t="str">
        <f>VLOOKUP(VLOOKUP(A324,orders!A:C,3,0),employees!A:B,2,0)</f>
        <v>Andrew Fuller</v>
      </c>
    </row>
    <row r="325" spans="1:11" x14ac:dyDescent="0.25">
      <c r="A325">
        <v>10368</v>
      </c>
      <c r="B325">
        <v>64</v>
      </c>
      <c r="C325">
        <v>26.6</v>
      </c>
      <c r="D325">
        <v>35</v>
      </c>
      <c r="E325">
        <v>0.1</v>
      </c>
      <c r="F325">
        <f t="shared" si="5"/>
        <v>837.9</v>
      </c>
      <c r="G325">
        <f>YEAR(VLOOKUP(A325,orders!A:D,4,0))</f>
        <v>2013</v>
      </c>
      <c r="H325">
        <f>MONTH(INDEX(orders!D:D,MATCH(A325, orders!A:A,0)))</f>
        <v>11</v>
      </c>
      <c r="I325" t="str">
        <f>VLOOKUP(VLOOKUP(B325,products!A:F,6,0),categories!A:B,2,0)</f>
        <v>Grains &amp; Cereals</v>
      </c>
      <c r="J325" t="str">
        <f>VLOOKUP(VLOOKUP(A325,orders!A:B,2,0),customers!A:F,6,0)</f>
        <v>Austria</v>
      </c>
      <c r="K325" t="str">
        <f>VLOOKUP(VLOOKUP(A325,orders!A:C,3,0),employees!A:B,2,0)</f>
        <v>Andrew Fuller</v>
      </c>
    </row>
    <row r="326" spans="1:11" x14ac:dyDescent="0.25">
      <c r="A326">
        <v>10369</v>
      </c>
      <c r="B326">
        <v>29</v>
      </c>
      <c r="C326">
        <v>99</v>
      </c>
      <c r="D326">
        <v>20</v>
      </c>
      <c r="E326">
        <v>0</v>
      </c>
      <c r="F326">
        <f t="shared" si="5"/>
        <v>1980</v>
      </c>
      <c r="G326">
        <f>YEAR(VLOOKUP(A326,orders!A:D,4,0))</f>
        <v>2013</v>
      </c>
      <c r="H326">
        <f>MONTH(INDEX(orders!D:D,MATCH(A326, orders!A:A,0)))</f>
        <v>12</v>
      </c>
      <c r="I326" t="str">
        <f>VLOOKUP(VLOOKUP(B326,products!A:F,6,0),categories!A:B,2,0)</f>
        <v>Meat &amp; Poultry</v>
      </c>
      <c r="J326" t="str">
        <f>VLOOKUP(VLOOKUP(A326,orders!A:B,2,0),customers!A:F,6,0)</f>
        <v>USA</v>
      </c>
      <c r="K326" t="str">
        <f>VLOOKUP(VLOOKUP(A326,orders!A:C,3,0),employees!A:B,2,0)</f>
        <v>Laura Callahan</v>
      </c>
    </row>
    <row r="327" spans="1:11" x14ac:dyDescent="0.25">
      <c r="A327">
        <v>10369</v>
      </c>
      <c r="B327">
        <v>56</v>
      </c>
      <c r="C327">
        <v>30.4</v>
      </c>
      <c r="D327">
        <v>18</v>
      </c>
      <c r="E327">
        <v>0.25</v>
      </c>
      <c r="F327">
        <f t="shared" si="5"/>
        <v>410.4</v>
      </c>
      <c r="G327">
        <f>YEAR(VLOOKUP(A327,orders!A:D,4,0))</f>
        <v>2013</v>
      </c>
      <c r="H327">
        <f>MONTH(INDEX(orders!D:D,MATCH(A327, orders!A:A,0)))</f>
        <v>12</v>
      </c>
      <c r="I327" t="str">
        <f>VLOOKUP(VLOOKUP(B327,products!A:F,6,0),categories!A:B,2,0)</f>
        <v>Grains &amp; Cereals</v>
      </c>
      <c r="J327" t="str">
        <f>VLOOKUP(VLOOKUP(A327,orders!A:B,2,0),customers!A:F,6,0)</f>
        <v>USA</v>
      </c>
      <c r="K327" t="str">
        <f>VLOOKUP(VLOOKUP(A327,orders!A:C,3,0),employees!A:B,2,0)</f>
        <v>Laura Callahan</v>
      </c>
    </row>
    <row r="328" spans="1:11" x14ac:dyDescent="0.25">
      <c r="A328">
        <v>10370</v>
      </c>
      <c r="B328">
        <v>1</v>
      </c>
      <c r="C328">
        <v>14.4</v>
      </c>
      <c r="D328">
        <v>15</v>
      </c>
      <c r="E328">
        <v>0.15</v>
      </c>
      <c r="F328">
        <f t="shared" si="5"/>
        <v>183.6</v>
      </c>
      <c r="G328">
        <f>YEAR(VLOOKUP(A328,orders!A:D,4,0))</f>
        <v>2013</v>
      </c>
      <c r="H328">
        <f>MONTH(INDEX(orders!D:D,MATCH(A328, orders!A:A,0)))</f>
        <v>12</v>
      </c>
      <c r="I328" t="str">
        <f>VLOOKUP(VLOOKUP(B328,products!A:F,6,0),categories!A:B,2,0)</f>
        <v>Beverages</v>
      </c>
      <c r="J328" t="str">
        <f>VLOOKUP(VLOOKUP(A328,orders!A:B,2,0),customers!A:F,6,0)</f>
        <v>Switzerland</v>
      </c>
      <c r="K328" t="str">
        <f>VLOOKUP(VLOOKUP(A328,orders!A:C,3,0),employees!A:B,2,0)</f>
        <v>Michael Suyama</v>
      </c>
    </row>
    <row r="329" spans="1:11" x14ac:dyDescent="0.25">
      <c r="A329">
        <v>10370</v>
      </c>
      <c r="B329">
        <v>64</v>
      </c>
      <c r="C329">
        <v>26.6</v>
      </c>
      <c r="D329">
        <v>30</v>
      </c>
      <c r="E329">
        <v>0</v>
      </c>
      <c r="F329">
        <f t="shared" si="5"/>
        <v>798</v>
      </c>
      <c r="G329">
        <f>YEAR(VLOOKUP(A329,orders!A:D,4,0))</f>
        <v>2013</v>
      </c>
      <c r="H329">
        <f>MONTH(INDEX(orders!D:D,MATCH(A329, orders!A:A,0)))</f>
        <v>12</v>
      </c>
      <c r="I329" t="str">
        <f>VLOOKUP(VLOOKUP(B329,products!A:F,6,0),categories!A:B,2,0)</f>
        <v>Grains &amp; Cereals</v>
      </c>
      <c r="J329" t="str">
        <f>VLOOKUP(VLOOKUP(A329,orders!A:B,2,0),customers!A:F,6,0)</f>
        <v>Switzerland</v>
      </c>
      <c r="K329" t="str">
        <f>VLOOKUP(VLOOKUP(A329,orders!A:C,3,0),employees!A:B,2,0)</f>
        <v>Michael Suyama</v>
      </c>
    </row>
    <row r="330" spans="1:11" x14ac:dyDescent="0.25">
      <c r="A330">
        <v>10370</v>
      </c>
      <c r="B330">
        <v>74</v>
      </c>
      <c r="C330">
        <v>8</v>
      </c>
      <c r="D330">
        <v>20</v>
      </c>
      <c r="E330">
        <v>0.15</v>
      </c>
      <c r="F330">
        <f t="shared" si="5"/>
        <v>136</v>
      </c>
      <c r="G330">
        <f>YEAR(VLOOKUP(A330,orders!A:D,4,0))</f>
        <v>2013</v>
      </c>
      <c r="H330">
        <f>MONTH(INDEX(orders!D:D,MATCH(A330, orders!A:A,0)))</f>
        <v>12</v>
      </c>
      <c r="I330" t="str">
        <f>VLOOKUP(VLOOKUP(B330,products!A:F,6,0),categories!A:B,2,0)</f>
        <v>Produce</v>
      </c>
      <c r="J330" t="str">
        <f>VLOOKUP(VLOOKUP(A330,orders!A:B,2,0),customers!A:F,6,0)</f>
        <v>Switzerland</v>
      </c>
      <c r="K330" t="str">
        <f>VLOOKUP(VLOOKUP(A330,orders!A:C,3,0),employees!A:B,2,0)</f>
        <v>Michael Suyama</v>
      </c>
    </row>
    <row r="331" spans="1:11" x14ac:dyDescent="0.25">
      <c r="A331">
        <v>10371</v>
      </c>
      <c r="B331">
        <v>36</v>
      </c>
      <c r="C331">
        <v>15.2</v>
      </c>
      <c r="D331">
        <v>6</v>
      </c>
      <c r="E331">
        <v>0.2</v>
      </c>
      <c r="F331">
        <f t="shared" si="5"/>
        <v>72.959999999999994</v>
      </c>
      <c r="G331">
        <f>YEAR(VLOOKUP(A331,orders!A:D,4,0))</f>
        <v>2013</v>
      </c>
      <c r="H331">
        <f>MONTH(INDEX(orders!D:D,MATCH(A331, orders!A:A,0)))</f>
        <v>12</v>
      </c>
      <c r="I331" t="str">
        <f>VLOOKUP(VLOOKUP(B331,products!A:F,6,0),categories!A:B,2,0)</f>
        <v>Seafood</v>
      </c>
      <c r="J331" t="str">
        <f>VLOOKUP(VLOOKUP(A331,orders!A:B,2,0),customers!A:F,6,0)</f>
        <v>France</v>
      </c>
      <c r="K331" t="str">
        <f>VLOOKUP(VLOOKUP(A331,orders!A:C,3,0),employees!A:B,2,0)</f>
        <v>Nancy Davolio</v>
      </c>
    </row>
    <row r="332" spans="1:11" x14ac:dyDescent="0.25">
      <c r="A332">
        <v>10372</v>
      </c>
      <c r="B332">
        <v>20</v>
      </c>
      <c r="C332">
        <v>64.8</v>
      </c>
      <c r="D332">
        <v>12</v>
      </c>
      <c r="E332">
        <v>0.25</v>
      </c>
      <c r="F332">
        <f t="shared" si="5"/>
        <v>583.19999999999993</v>
      </c>
      <c r="G332">
        <f>YEAR(VLOOKUP(A332,orders!A:D,4,0))</f>
        <v>2013</v>
      </c>
      <c r="H332">
        <f>MONTH(INDEX(orders!D:D,MATCH(A332, orders!A:A,0)))</f>
        <v>12</v>
      </c>
      <c r="I332" t="str">
        <f>VLOOKUP(VLOOKUP(B332,products!A:F,6,0),categories!A:B,2,0)</f>
        <v>Confections</v>
      </c>
      <c r="J332" t="str">
        <f>VLOOKUP(VLOOKUP(A332,orders!A:B,2,0),customers!A:F,6,0)</f>
        <v>Brazil</v>
      </c>
      <c r="K332" t="str">
        <f>VLOOKUP(VLOOKUP(A332,orders!A:C,3,0),employees!A:B,2,0)</f>
        <v>Steven Buchanan</v>
      </c>
    </row>
    <row r="333" spans="1:11" x14ac:dyDescent="0.25">
      <c r="A333">
        <v>10372</v>
      </c>
      <c r="B333">
        <v>38</v>
      </c>
      <c r="C333">
        <v>210.8</v>
      </c>
      <c r="D333">
        <v>40</v>
      </c>
      <c r="E333">
        <v>0.25</v>
      </c>
      <c r="F333">
        <f t="shared" si="5"/>
        <v>6324</v>
      </c>
      <c r="G333">
        <f>YEAR(VLOOKUP(A333,orders!A:D,4,0))</f>
        <v>2013</v>
      </c>
      <c r="H333">
        <f>MONTH(INDEX(orders!D:D,MATCH(A333, orders!A:A,0)))</f>
        <v>12</v>
      </c>
      <c r="I333" t="str">
        <f>VLOOKUP(VLOOKUP(B333,products!A:F,6,0),categories!A:B,2,0)</f>
        <v>Beverages</v>
      </c>
      <c r="J333" t="str">
        <f>VLOOKUP(VLOOKUP(A333,orders!A:B,2,0),customers!A:F,6,0)</f>
        <v>Brazil</v>
      </c>
      <c r="K333" t="str">
        <f>VLOOKUP(VLOOKUP(A333,orders!A:C,3,0),employees!A:B,2,0)</f>
        <v>Steven Buchanan</v>
      </c>
    </row>
    <row r="334" spans="1:11" x14ac:dyDescent="0.25">
      <c r="A334">
        <v>10372</v>
      </c>
      <c r="B334">
        <v>60</v>
      </c>
      <c r="C334">
        <v>27.2</v>
      </c>
      <c r="D334">
        <v>70</v>
      </c>
      <c r="E334">
        <v>0.25</v>
      </c>
      <c r="F334">
        <f t="shared" si="5"/>
        <v>1428</v>
      </c>
      <c r="G334">
        <f>YEAR(VLOOKUP(A334,orders!A:D,4,0))</f>
        <v>2013</v>
      </c>
      <c r="H334">
        <f>MONTH(INDEX(orders!D:D,MATCH(A334, orders!A:A,0)))</f>
        <v>12</v>
      </c>
      <c r="I334" t="str">
        <f>VLOOKUP(VLOOKUP(B334,products!A:F,6,0),categories!A:B,2,0)</f>
        <v>Dairy Products</v>
      </c>
      <c r="J334" t="str">
        <f>VLOOKUP(VLOOKUP(A334,orders!A:B,2,0),customers!A:F,6,0)</f>
        <v>Brazil</v>
      </c>
      <c r="K334" t="str">
        <f>VLOOKUP(VLOOKUP(A334,orders!A:C,3,0),employees!A:B,2,0)</f>
        <v>Steven Buchanan</v>
      </c>
    </row>
    <row r="335" spans="1:11" x14ac:dyDescent="0.25">
      <c r="A335">
        <v>10372</v>
      </c>
      <c r="B335">
        <v>72</v>
      </c>
      <c r="C335">
        <v>27.8</v>
      </c>
      <c r="D335">
        <v>42</v>
      </c>
      <c r="E335">
        <v>0.25</v>
      </c>
      <c r="F335">
        <f t="shared" si="5"/>
        <v>875.7</v>
      </c>
      <c r="G335">
        <f>YEAR(VLOOKUP(A335,orders!A:D,4,0))</f>
        <v>2013</v>
      </c>
      <c r="H335">
        <f>MONTH(INDEX(orders!D:D,MATCH(A335, orders!A:A,0)))</f>
        <v>12</v>
      </c>
      <c r="I335" t="str">
        <f>VLOOKUP(VLOOKUP(B335,products!A:F,6,0),categories!A:B,2,0)</f>
        <v>Dairy Products</v>
      </c>
      <c r="J335" t="str">
        <f>VLOOKUP(VLOOKUP(A335,orders!A:B,2,0),customers!A:F,6,0)</f>
        <v>Brazil</v>
      </c>
      <c r="K335" t="str">
        <f>VLOOKUP(VLOOKUP(A335,orders!A:C,3,0),employees!A:B,2,0)</f>
        <v>Steven Buchanan</v>
      </c>
    </row>
    <row r="336" spans="1:11" x14ac:dyDescent="0.25">
      <c r="A336">
        <v>10373</v>
      </c>
      <c r="B336">
        <v>58</v>
      </c>
      <c r="C336">
        <v>10.6</v>
      </c>
      <c r="D336">
        <v>80</v>
      </c>
      <c r="E336">
        <v>0.2</v>
      </c>
      <c r="F336">
        <f t="shared" si="5"/>
        <v>678.40000000000009</v>
      </c>
      <c r="G336">
        <f>YEAR(VLOOKUP(A336,orders!A:D,4,0))</f>
        <v>2013</v>
      </c>
      <c r="H336">
        <f>MONTH(INDEX(orders!D:D,MATCH(A336, orders!A:A,0)))</f>
        <v>12</v>
      </c>
      <c r="I336" t="str">
        <f>VLOOKUP(VLOOKUP(B336,products!A:F,6,0),categories!A:B,2,0)</f>
        <v>Seafood</v>
      </c>
      <c r="J336" t="str">
        <f>VLOOKUP(VLOOKUP(A336,orders!A:B,2,0),customers!A:F,6,0)</f>
        <v>Ireland</v>
      </c>
      <c r="K336" t="str">
        <f>VLOOKUP(VLOOKUP(A336,orders!A:C,3,0),employees!A:B,2,0)</f>
        <v>Margaret Peacock</v>
      </c>
    </row>
    <row r="337" spans="1:11" x14ac:dyDescent="0.25">
      <c r="A337">
        <v>10373</v>
      </c>
      <c r="B337">
        <v>71</v>
      </c>
      <c r="C337">
        <v>17.2</v>
      </c>
      <c r="D337">
        <v>50</v>
      </c>
      <c r="E337">
        <v>0.2</v>
      </c>
      <c r="F337">
        <f t="shared" si="5"/>
        <v>688</v>
      </c>
      <c r="G337">
        <f>YEAR(VLOOKUP(A337,orders!A:D,4,0))</f>
        <v>2013</v>
      </c>
      <c r="H337">
        <f>MONTH(INDEX(orders!D:D,MATCH(A337, orders!A:A,0)))</f>
        <v>12</v>
      </c>
      <c r="I337" t="str">
        <f>VLOOKUP(VLOOKUP(B337,products!A:F,6,0),categories!A:B,2,0)</f>
        <v>Dairy Products</v>
      </c>
      <c r="J337" t="str">
        <f>VLOOKUP(VLOOKUP(A337,orders!A:B,2,0),customers!A:F,6,0)</f>
        <v>Ireland</v>
      </c>
      <c r="K337" t="str">
        <f>VLOOKUP(VLOOKUP(A337,orders!A:C,3,0),employees!A:B,2,0)</f>
        <v>Margaret Peacock</v>
      </c>
    </row>
    <row r="338" spans="1:11" x14ac:dyDescent="0.25">
      <c r="A338">
        <v>10374</v>
      </c>
      <c r="B338">
        <v>31</v>
      </c>
      <c r="C338">
        <v>10</v>
      </c>
      <c r="D338">
        <v>30</v>
      </c>
      <c r="E338">
        <v>0</v>
      </c>
      <c r="F338">
        <f t="shared" si="5"/>
        <v>300</v>
      </c>
      <c r="G338">
        <f>YEAR(VLOOKUP(A338,orders!A:D,4,0))</f>
        <v>2013</v>
      </c>
      <c r="H338">
        <f>MONTH(INDEX(orders!D:D,MATCH(A338, orders!A:A,0)))</f>
        <v>12</v>
      </c>
      <c r="I338" t="str">
        <f>VLOOKUP(VLOOKUP(B338,products!A:F,6,0),categories!A:B,2,0)</f>
        <v>Dairy Products</v>
      </c>
      <c r="J338" t="str">
        <f>VLOOKUP(VLOOKUP(A338,orders!A:B,2,0),customers!A:F,6,0)</f>
        <v>Poland</v>
      </c>
      <c r="K338" t="str">
        <f>VLOOKUP(VLOOKUP(A338,orders!A:C,3,0),employees!A:B,2,0)</f>
        <v>Nancy Davolio</v>
      </c>
    </row>
    <row r="339" spans="1:11" x14ac:dyDescent="0.25">
      <c r="A339">
        <v>10374</v>
      </c>
      <c r="B339">
        <v>58</v>
      </c>
      <c r="C339">
        <v>10.6</v>
      </c>
      <c r="D339">
        <v>15</v>
      </c>
      <c r="E339">
        <v>0</v>
      </c>
      <c r="F339">
        <f t="shared" si="5"/>
        <v>159</v>
      </c>
      <c r="G339">
        <f>YEAR(VLOOKUP(A339,orders!A:D,4,0))</f>
        <v>2013</v>
      </c>
      <c r="H339">
        <f>MONTH(INDEX(orders!D:D,MATCH(A339, orders!A:A,0)))</f>
        <v>12</v>
      </c>
      <c r="I339" t="str">
        <f>VLOOKUP(VLOOKUP(B339,products!A:F,6,0),categories!A:B,2,0)</f>
        <v>Seafood</v>
      </c>
      <c r="J339" t="str">
        <f>VLOOKUP(VLOOKUP(A339,orders!A:B,2,0),customers!A:F,6,0)</f>
        <v>Poland</v>
      </c>
      <c r="K339" t="str">
        <f>VLOOKUP(VLOOKUP(A339,orders!A:C,3,0),employees!A:B,2,0)</f>
        <v>Nancy Davolio</v>
      </c>
    </row>
    <row r="340" spans="1:11" x14ac:dyDescent="0.25">
      <c r="A340">
        <v>10375</v>
      </c>
      <c r="B340">
        <v>14</v>
      </c>
      <c r="C340">
        <v>18.600000000000001</v>
      </c>
      <c r="D340">
        <v>15</v>
      </c>
      <c r="E340">
        <v>0</v>
      </c>
      <c r="F340">
        <f t="shared" si="5"/>
        <v>279</v>
      </c>
      <c r="G340">
        <f>YEAR(VLOOKUP(A340,orders!A:D,4,0))</f>
        <v>2013</v>
      </c>
      <c r="H340">
        <f>MONTH(INDEX(orders!D:D,MATCH(A340, orders!A:A,0)))</f>
        <v>12</v>
      </c>
      <c r="I340" t="str">
        <f>VLOOKUP(VLOOKUP(B340,products!A:F,6,0),categories!A:B,2,0)</f>
        <v>Produce</v>
      </c>
      <c r="J340" t="str">
        <f>VLOOKUP(VLOOKUP(A340,orders!A:B,2,0),customers!A:F,6,0)</f>
        <v>USA</v>
      </c>
      <c r="K340" t="str">
        <f>VLOOKUP(VLOOKUP(A340,orders!A:C,3,0),employees!A:B,2,0)</f>
        <v>Janet Leverling</v>
      </c>
    </row>
    <row r="341" spans="1:11" x14ac:dyDescent="0.25">
      <c r="A341">
        <v>10375</v>
      </c>
      <c r="B341">
        <v>54</v>
      </c>
      <c r="C341">
        <v>5.9</v>
      </c>
      <c r="D341">
        <v>10</v>
      </c>
      <c r="E341">
        <v>0</v>
      </c>
      <c r="F341">
        <f t="shared" si="5"/>
        <v>59</v>
      </c>
      <c r="G341">
        <f>YEAR(VLOOKUP(A341,orders!A:D,4,0))</f>
        <v>2013</v>
      </c>
      <c r="H341">
        <f>MONTH(INDEX(orders!D:D,MATCH(A341, orders!A:A,0)))</f>
        <v>12</v>
      </c>
      <c r="I341" t="str">
        <f>VLOOKUP(VLOOKUP(B341,products!A:F,6,0),categories!A:B,2,0)</f>
        <v>Meat &amp; Poultry</v>
      </c>
      <c r="J341" t="str">
        <f>VLOOKUP(VLOOKUP(A341,orders!A:B,2,0),customers!A:F,6,0)</f>
        <v>USA</v>
      </c>
      <c r="K341" t="str">
        <f>VLOOKUP(VLOOKUP(A341,orders!A:C,3,0),employees!A:B,2,0)</f>
        <v>Janet Leverling</v>
      </c>
    </row>
    <row r="342" spans="1:11" x14ac:dyDescent="0.25">
      <c r="A342">
        <v>10376</v>
      </c>
      <c r="B342">
        <v>31</v>
      </c>
      <c r="C342">
        <v>10</v>
      </c>
      <c r="D342">
        <v>42</v>
      </c>
      <c r="E342">
        <v>0.05</v>
      </c>
      <c r="F342">
        <f t="shared" si="5"/>
        <v>399</v>
      </c>
      <c r="G342">
        <f>YEAR(VLOOKUP(A342,orders!A:D,4,0))</f>
        <v>2013</v>
      </c>
      <c r="H342">
        <f>MONTH(INDEX(orders!D:D,MATCH(A342, orders!A:A,0)))</f>
        <v>12</v>
      </c>
      <c r="I342" t="str">
        <f>VLOOKUP(VLOOKUP(B342,products!A:F,6,0),categories!A:B,2,0)</f>
        <v>Dairy Products</v>
      </c>
      <c r="J342" t="str">
        <f>VLOOKUP(VLOOKUP(A342,orders!A:B,2,0),customers!A:F,6,0)</f>
        <v>Canada</v>
      </c>
      <c r="K342" t="str">
        <f>VLOOKUP(VLOOKUP(A342,orders!A:C,3,0),employees!A:B,2,0)</f>
        <v>Nancy Davolio</v>
      </c>
    </row>
    <row r="343" spans="1:11" x14ac:dyDescent="0.25">
      <c r="A343">
        <v>10377</v>
      </c>
      <c r="B343">
        <v>28</v>
      </c>
      <c r="C343">
        <v>36.4</v>
      </c>
      <c r="D343">
        <v>20</v>
      </c>
      <c r="E343">
        <v>0.15</v>
      </c>
      <c r="F343">
        <f t="shared" si="5"/>
        <v>618.79999999999995</v>
      </c>
      <c r="G343">
        <f>YEAR(VLOOKUP(A343,orders!A:D,4,0))</f>
        <v>2013</v>
      </c>
      <c r="H343">
        <f>MONTH(INDEX(orders!D:D,MATCH(A343, orders!A:A,0)))</f>
        <v>12</v>
      </c>
      <c r="I343" t="str">
        <f>VLOOKUP(VLOOKUP(B343,products!A:F,6,0),categories!A:B,2,0)</f>
        <v>Produce</v>
      </c>
      <c r="J343" t="str">
        <f>VLOOKUP(VLOOKUP(A343,orders!A:B,2,0),customers!A:F,6,0)</f>
        <v>UK</v>
      </c>
      <c r="K343" t="str">
        <f>VLOOKUP(VLOOKUP(A343,orders!A:C,3,0),employees!A:B,2,0)</f>
        <v>Nancy Davolio</v>
      </c>
    </row>
    <row r="344" spans="1:11" x14ac:dyDescent="0.25">
      <c r="A344">
        <v>10377</v>
      </c>
      <c r="B344">
        <v>39</v>
      </c>
      <c r="C344">
        <v>14.4</v>
      </c>
      <c r="D344">
        <v>20</v>
      </c>
      <c r="E344">
        <v>0.15</v>
      </c>
      <c r="F344">
        <f t="shared" si="5"/>
        <v>244.79999999999998</v>
      </c>
      <c r="G344">
        <f>YEAR(VLOOKUP(A344,orders!A:D,4,0))</f>
        <v>2013</v>
      </c>
      <c r="H344">
        <f>MONTH(INDEX(orders!D:D,MATCH(A344, orders!A:A,0)))</f>
        <v>12</v>
      </c>
      <c r="I344" t="str">
        <f>VLOOKUP(VLOOKUP(B344,products!A:F,6,0),categories!A:B,2,0)</f>
        <v>Beverages</v>
      </c>
      <c r="J344" t="str">
        <f>VLOOKUP(VLOOKUP(A344,orders!A:B,2,0),customers!A:F,6,0)</f>
        <v>UK</v>
      </c>
      <c r="K344" t="str">
        <f>VLOOKUP(VLOOKUP(A344,orders!A:C,3,0),employees!A:B,2,0)</f>
        <v>Nancy Davolio</v>
      </c>
    </row>
    <row r="345" spans="1:11" x14ac:dyDescent="0.25">
      <c r="A345">
        <v>10378</v>
      </c>
      <c r="B345">
        <v>71</v>
      </c>
      <c r="C345">
        <v>17.2</v>
      </c>
      <c r="D345">
        <v>6</v>
      </c>
      <c r="E345">
        <v>0</v>
      </c>
      <c r="F345">
        <f t="shared" si="5"/>
        <v>103.19999999999999</v>
      </c>
      <c r="G345">
        <f>YEAR(VLOOKUP(A345,orders!A:D,4,0))</f>
        <v>2013</v>
      </c>
      <c r="H345">
        <f>MONTH(INDEX(orders!D:D,MATCH(A345, orders!A:A,0)))</f>
        <v>12</v>
      </c>
      <c r="I345" t="str">
        <f>VLOOKUP(VLOOKUP(B345,products!A:F,6,0),categories!A:B,2,0)</f>
        <v>Dairy Products</v>
      </c>
      <c r="J345" t="str">
        <f>VLOOKUP(VLOOKUP(A345,orders!A:B,2,0),customers!A:F,6,0)</f>
        <v>Sweden</v>
      </c>
      <c r="K345" t="str">
        <f>VLOOKUP(VLOOKUP(A345,orders!A:C,3,0),employees!A:B,2,0)</f>
        <v>Steven Buchanan</v>
      </c>
    </row>
    <row r="346" spans="1:11" x14ac:dyDescent="0.25">
      <c r="A346">
        <v>10379</v>
      </c>
      <c r="B346">
        <v>41</v>
      </c>
      <c r="C346">
        <v>7.7</v>
      </c>
      <c r="D346">
        <v>8</v>
      </c>
      <c r="E346">
        <v>0.1</v>
      </c>
      <c r="F346">
        <f t="shared" si="5"/>
        <v>55.440000000000005</v>
      </c>
      <c r="G346">
        <f>YEAR(VLOOKUP(A346,orders!A:D,4,0))</f>
        <v>2013</v>
      </c>
      <c r="H346">
        <f>MONTH(INDEX(orders!D:D,MATCH(A346, orders!A:A,0)))</f>
        <v>12</v>
      </c>
      <c r="I346" t="str">
        <f>VLOOKUP(VLOOKUP(B346,products!A:F,6,0),categories!A:B,2,0)</f>
        <v>Seafood</v>
      </c>
      <c r="J346" t="str">
        <f>VLOOKUP(VLOOKUP(A346,orders!A:B,2,0),customers!A:F,6,0)</f>
        <v>Brazil</v>
      </c>
      <c r="K346" t="str">
        <f>VLOOKUP(VLOOKUP(A346,orders!A:C,3,0),employees!A:B,2,0)</f>
        <v>Andrew Fuller</v>
      </c>
    </row>
    <row r="347" spans="1:11" x14ac:dyDescent="0.25">
      <c r="A347">
        <v>10379</v>
      </c>
      <c r="B347">
        <v>63</v>
      </c>
      <c r="C347">
        <v>35.1</v>
      </c>
      <c r="D347">
        <v>16</v>
      </c>
      <c r="E347">
        <v>0.1</v>
      </c>
      <c r="F347">
        <f t="shared" si="5"/>
        <v>505.44000000000005</v>
      </c>
      <c r="G347">
        <f>YEAR(VLOOKUP(A347,orders!A:D,4,0))</f>
        <v>2013</v>
      </c>
      <c r="H347">
        <f>MONTH(INDEX(orders!D:D,MATCH(A347, orders!A:A,0)))</f>
        <v>12</v>
      </c>
      <c r="I347" t="str">
        <f>VLOOKUP(VLOOKUP(B347,products!A:F,6,0),categories!A:B,2,0)</f>
        <v>Condiments</v>
      </c>
      <c r="J347" t="str">
        <f>VLOOKUP(VLOOKUP(A347,orders!A:B,2,0),customers!A:F,6,0)</f>
        <v>Brazil</v>
      </c>
      <c r="K347" t="str">
        <f>VLOOKUP(VLOOKUP(A347,orders!A:C,3,0),employees!A:B,2,0)</f>
        <v>Andrew Fuller</v>
      </c>
    </row>
    <row r="348" spans="1:11" x14ac:dyDescent="0.25">
      <c r="A348">
        <v>10379</v>
      </c>
      <c r="B348">
        <v>65</v>
      </c>
      <c r="C348">
        <v>16.8</v>
      </c>
      <c r="D348">
        <v>20</v>
      </c>
      <c r="E348">
        <v>0.1</v>
      </c>
      <c r="F348">
        <f t="shared" si="5"/>
        <v>302.40000000000003</v>
      </c>
      <c r="G348">
        <f>YEAR(VLOOKUP(A348,orders!A:D,4,0))</f>
        <v>2013</v>
      </c>
      <c r="H348">
        <f>MONTH(INDEX(orders!D:D,MATCH(A348, orders!A:A,0)))</f>
        <v>12</v>
      </c>
      <c r="I348" t="str">
        <f>VLOOKUP(VLOOKUP(B348,products!A:F,6,0),categories!A:B,2,0)</f>
        <v>Condiments</v>
      </c>
      <c r="J348" t="str">
        <f>VLOOKUP(VLOOKUP(A348,orders!A:B,2,0),customers!A:F,6,0)</f>
        <v>Brazil</v>
      </c>
      <c r="K348" t="str">
        <f>VLOOKUP(VLOOKUP(A348,orders!A:C,3,0),employees!A:B,2,0)</f>
        <v>Andrew Fuller</v>
      </c>
    </row>
    <row r="349" spans="1:11" x14ac:dyDescent="0.25">
      <c r="A349">
        <v>10380</v>
      </c>
      <c r="B349">
        <v>30</v>
      </c>
      <c r="C349">
        <v>20.7</v>
      </c>
      <c r="D349">
        <v>18</v>
      </c>
      <c r="E349">
        <v>0.1</v>
      </c>
      <c r="F349">
        <f t="shared" si="5"/>
        <v>335.34</v>
      </c>
      <c r="G349">
        <f>YEAR(VLOOKUP(A349,orders!A:D,4,0))</f>
        <v>2013</v>
      </c>
      <c r="H349">
        <f>MONTH(INDEX(orders!D:D,MATCH(A349, orders!A:A,0)))</f>
        <v>12</v>
      </c>
      <c r="I349" t="str">
        <f>VLOOKUP(VLOOKUP(B349,products!A:F,6,0),categories!A:B,2,0)</f>
        <v>Seafood</v>
      </c>
      <c r="J349" t="str">
        <f>VLOOKUP(VLOOKUP(A349,orders!A:B,2,0),customers!A:F,6,0)</f>
        <v>Ireland</v>
      </c>
      <c r="K349" t="str">
        <f>VLOOKUP(VLOOKUP(A349,orders!A:C,3,0),employees!A:B,2,0)</f>
        <v>Laura Callahan</v>
      </c>
    </row>
    <row r="350" spans="1:11" x14ac:dyDescent="0.25">
      <c r="A350">
        <v>10380</v>
      </c>
      <c r="B350">
        <v>53</v>
      </c>
      <c r="C350">
        <v>26.2</v>
      </c>
      <c r="D350">
        <v>20</v>
      </c>
      <c r="E350">
        <v>0.1</v>
      </c>
      <c r="F350">
        <f t="shared" si="5"/>
        <v>471.6</v>
      </c>
      <c r="G350">
        <f>YEAR(VLOOKUP(A350,orders!A:D,4,0))</f>
        <v>2013</v>
      </c>
      <c r="H350">
        <f>MONTH(INDEX(orders!D:D,MATCH(A350, orders!A:A,0)))</f>
        <v>12</v>
      </c>
      <c r="I350" t="str">
        <f>VLOOKUP(VLOOKUP(B350,products!A:F,6,0),categories!A:B,2,0)</f>
        <v>Meat &amp; Poultry</v>
      </c>
      <c r="J350" t="str">
        <f>VLOOKUP(VLOOKUP(A350,orders!A:B,2,0),customers!A:F,6,0)</f>
        <v>Ireland</v>
      </c>
      <c r="K350" t="str">
        <f>VLOOKUP(VLOOKUP(A350,orders!A:C,3,0),employees!A:B,2,0)</f>
        <v>Laura Callahan</v>
      </c>
    </row>
    <row r="351" spans="1:11" x14ac:dyDescent="0.25">
      <c r="A351">
        <v>10380</v>
      </c>
      <c r="B351">
        <v>60</v>
      </c>
      <c r="C351">
        <v>27.2</v>
      </c>
      <c r="D351">
        <v>6</v>
      </c>
      <c r="E351">
        <v>0.1</v>
      </c>
      <c r="F351">
        <f t="shared" si="5"/>
        <v>146.88</v>
      </c>
      <c r="G351">
        <f>YEAR(VLOOKUP(A351,orders!A:D,4,0))</f>
        <v>2013</v>
      </c>
      <c r="H351">
        <f>MONTH(INDEX(orders!D:D,MATCH(A351, orders!A:A,0)))</f>
        <v>12</v>
      </c>
      <c r="I351" t="str">
        <f>VLOOKUP(VLOOKUP(B351,products!A:F,6,0),categories!A:B,2,0)</f>
        <v>Dairy Products</v>
      </c>
      <c r="J351" t="str">
        <f>VLOOKUP(VLOOKUP(A351,orders!A:B,2,0),customers!A:F,6,0)</f>
        <v>Ireland</v>
      </c>
      <c r="K351" t="str">
        <f>VLOOKUP(VLOOKUP(A351,orders!A:C,3,0),employees!A:B,2,0)</f>
        <v>Laura Callahan</v>
      </c>
    </row>
    <row r="352" spans="1:11" x14ac:dyDescent="0.25">
      <c r="A352">
        <v>10380</v>
      </c>
      <c r="B352">
        <v>70</v>
      </c>
      <c r="C352">
        <v>12</v>
      </c>
      <c r="D352">
        <v>30</v>
      </c>
      <c r="E352">
        <v>0</v>
      </c>
      <c r="F352">
        <f t="shared" si="5"/>
        <v>360</v>
      </c>
      <c r="G352">
        <f>YEAR(VLOOKUP(A352,orders!A:D,4,0))</f>
        <v>2013</v>
      </c>
      <c r="H352">
        <f>MONTH(INDEX(orders!D:D,MATCH(A352, orders!A:A,0)))</f>
        <v>12</v>
      </c>
      <c r="I352" t="str">
        <f>VLOOKUP(VLOOKUP(B352,products!A:F,6,0),categories!A:B,2,0)</f>
        <v>Beverages</v>
      </c>
      <c r="J352" t="str">
        <f>VLOOKUP(VLOOKUP(A352,orders!A:B,2,0),customers!A:F,6,0)</f>
        <v>Ireland</v>
      </c>
      <c r="K352" t="str">
        <f>VLOOKUP(VLOOKUP(A352,orders!A:C,3,0),employees!A:B,2,0)</f>
        <v>Laura Callahan</v>
      </c>
    </row>
    <row r="353" spans="1:11" x14ac:dyDescent="0.25">
      <c r="A353">
        <v>10381</v>
      </c>
      <c r="B353">
        <v>74</v>
      </c>
      <c r="C353">
        <v>8</v>
      </c>
      <c r="D353">
        <v>14</v>
      </c>
      <c r="E353">
        <v>0</v>
      </c>
      <c r="F353">
        <f t="shared" si="5"/>
        <v>112</v>
      </c>
      <c r="G353">
        <f>YEAR(VLOOKUP(A353,orders!A:D,4,0))</f>
        <v>2013</v>
      </c>
      <c r="H353">
        <f>MONTH(INDEX(orders!D:D,MATCH(A353, orders!A:A,0)))</f>
        <v>12</v>
      </c>
      <c r="I353" t="str">
        <f>VLOOKUP(VLOOKUP(B353,products!A:F,6,0),categories!A:B,2,0)</f>
        <v>Produce</v>
      </c>
      <c r="J353" t="str">
        <f>VLOOKUP(VLOOKUP(A353,orders!A:B,2,0),customers!A:F,6,0)</f>
        <v>Venezuela</v>
      </c>
      <c r="K353" t="str">
        <f>VLOOKUP(VLOOKUP(A353,orders!A:C,3,0),employees!A:B,2,0)</f>
        <v>Janet Leverling</v>
      </c>
    </row>
    <row r="354" spans="1:11" x14ac:dyDescent="0.25">
      <c r="A354">
        <v>10382</v>
      </c>
      <c r="B354">
        <v>5</v>
      </c>
      <c r="C354">
        <v>17</v>
      </c>
      <c r="D354">
        <v>32</v>
      </c>
      <c r="E354">
        <v>0</v>
      </c>
      <c r="F354">
        <f t="shared" si="5"/>
        <v>544</v>
      </c>
      <c r="G354">
        <f>YEAR(VLOOKUP(A354,orders!A:D,4,0))</f>
        <v>2013</v>
      </c>
      <c r="H354">
        <f>MONTH(INDEX(orders!D:D,MATCH(A354, orders!A:A,0)))</f>
        <v>12</v>
      </c>
      <c r="I354" t="str">
        <f>VLOOKUP(VLOOKUP(B354,products!A:F,6,0),categories!A:B,2,0)</f>
        <v>Condiments</v>
      </c>
      <c r="J354" t="str">
        <f>VLOOKUP(VLOOKUP(A354,orders!A:B,2,0),customers!A:F,6,0)</f>
        <v>Austria</v>
      </c>
      <c r="K354" t="str">
        <f>VLOOKUP(VLOOKUP(A354,orders!A:C,3,0),employees!A:B,2,0)</f>
        <v>Margaret Peacock</v>
      </c>
    </row>
    <row r="355" spans="1:11" x14ac:dyDescent="0.25">
      <c r="A355">
        <v>10382</v>
      </c>
      <c r="B355">
        <v>18</v>
      </c>
      <c r="C355">
        <v>50</v>
      </c>
      <c r="D355">
        <v>9</v>
      </c>
      <c r="E355">
        <v>0</v>
      </c>
      <c r="F355">
        <f t="shared" si="5"/>
        <v>450</v>
      </c>
      <c r="G355">
        <f>YEAR(VLOOKUP(A355,orders!A:D,4,0))</f>
        <v>2013</v>
      </c>
      <c r="H355">
        <f>MONTH(INDEX(orders!D:D,MATCH(A355, orders!A:A,0)))</f>
        <v>12</v>
      </c>
      <c r="I355" t="str">
        <f>VLOOKUP(VLOOKUP(B355,products!A:F,6,0),categories!A:B,2,0)</f>
        <v>Seafood</v>
      </c>
      <c r="J355" t="str">
        <f>VLOOKUP(VLOOKUP(A355,orders!A:B,2,0),customers!A:F,6,0)</f>
        <v>Austria</v>
      </c>
      <c r="K355" t="str">
        <f>VLOOKUP(VLOOKUP(A355,orders!A:C,3,0),employees!A:B,2,0)</f>
        <v>Margaret Peacock</v>
      </c>
    </row>
    <row r="356" spans="1:11" x14ac:dyDescent="0.25">
      <c r="A356">
        <v>10382</v>
      </c>
      <c r="B356">
        <v>29</v>
      </c>
      <c r="C356">
        <v>99</v>
      </c>
      <c r="D356">
        <v>14</v>
      </c>
      <c r="E356">
        <v>0</v>
      </c>
      <c r="F356">
        <f t="shared" si="5"/>
        <v>1386</v>
      </c>
      <c r="G356">
        <f>YEAR(VLOOKUP(A356,orders!A:D,4,0))</f>
        <v>2013</v>
      </c>
      <c r="H356">
        <f>MONTH(INDEX(orders!D:D,MATCH(A356, orders!A:A,0)))</f>
        <v>12</v>
      </c>
      <c r="I356" t="str">
        <f>VLOOKUP(VLOOKUP(B356,products!A:F,6,0),categories!A:B,2,0)</f>
        <v>Meat &amp; Poultry</v>
      </c>
      <c r="J356" t="str">
        <f>VLOOKUP(VLOOKUP(A356,orders!A:B,2,0),customers!A:F,6,0)</f>
        <v>Austria</v>
      </c>
      <c r="K356" t="str">
        <f>VLOOKUP(VLOOKUP(A356,orders!A:C,3,0),employees!A:B,2,0)</f>
        <v>Margaret Peacock</v>
      </c>
    </row>
    <row r="357" spans="1:11" x14ac:dyDescent="0.25">
      <c r="A357">
        <v>10382</v>
      </c>
      <c r="B357">
        <v>33</v>
      </c>
      <c r="C357">
        <v>2</v>
      </c>
      <c r="D357">
        <v>60</v>
      </c>
      <c r="E357">
        <v>0</v>
      </c>
      <c r="F357">
        <f t="shared" si="5"/>
        <v>120</v>
      </c>
      <c r="G357">
        <f>YEAR(VLOOKUP(A357,orders!A:D,4,0))</f>
        <v>2013</v>
      </c>
      <c r="H357">
        <f>MONTH(INDEX(orders!D:D,MATCH(A357, orders!A:A,0)))</f>
        <v>12</v>
      </c>
      <c r="I357" t="str">
        <f>VLOOKUP(VLOOKUP(B357,products!A:F,6,0),categories!A:B,2,0)</f>
        <v>Dairy Products</v>
      </c>
      <c r="J357" t="str">
        <f>VLOOKUP(VLOOKUP(A357,orders!A:B,2,0),customers!A:F,6,0)</f>
        <v>Austria</v>
      </c>
      <c r="K357" t="str">
        <f>VLOOKUP(VLOOKUP(A357,orders!A:C,3,0),employees!A:B,2,0)</f>
        <v>Margaret Peacock</v>
      </c>
    </row>
    <row r="358" spans="1:11" x14ac:dyDescent="0.25">
      <c r="A358">
        <v>10382</v>
      </c>
      <c r="B358">
        <v>74</v>
      </c>
      <c r="C358">
        <v>8</v>
      </c>
      <c r="D358">
        <v>50</v>
      </c>
      <c r="E358">
        <v>0</v>
      </c>
      <c r="F358">
        <f t="shared" si="5"/>
        <v>400</v>
      </c>
      <c r="G358">
        <f>YEAR(VLOOKUP(A358,orders!A:D,4,0))</f>
        <v>2013</v>
      </c>
      <c r="H358">
        <f>MONTH(INDEX(orders!D:D,MATCH(A358, orders!A:A,0)))</f>
        <v>12</v>
      </c>
      <c r="I358" t="str">
        <f>VLOOKUP(VLOOKUP(B358,products!A:F,6,0),categories!A:B,2,0)</f>
        <v>Produce</v>
      </c>
      <c r="J358" t="str">
        <f>VLOOKUP(VLOOKUP(A358,orders!A:B,2,0),customers!A:F,6,0)</f>
        <v>Austria</v>
      </c>
      <c r="K358" t="str">
        <f>VLOOKUP(VLOOKUP(A358,orders!A:C,3,0),employees!A:B,2,0)</f>
        <v>Margaret Peacock</v>
      </c>
    </row>
    <row r="359" spans="1:11" x14ac:dyDescent="0.25">
      <c r="A359">
        <v>10383</v>
      </c>
      <c r="B359">
        <v>13</v>
      </c>
      <c r="C359">
        <v>4.8</v>
      </c>
      <c r="D359">
        <v>20</v>
      </c>
      <c r="E359">
        <v>0</v>
      </c>
      <c r="F359">
        <f t="shared" si="5"/>
        <v>96</v>
      </c>
      <c r="G359">
        <f>YEAR(VLOOKUP(A359,orders!A:D,4,0))</f>
        <v>2013</v>
      </c>
      <c r="H359">
        <f>MONTH(INDEX(orders!D:D,MATCH(A359, orders!A:A,0)))</f>
        <v>12</v>
      </c>
      <c r="I359" t="str">
        <f>VLOOKUP(VLOOKUP(B359,products!A:F,6,0),categories!A:B,2,0)</f>
        <v>Seafood</v>
      </c>
      <c r="J359" t="str">
        <f>VLOOKUP(VLOOKUP(A359,orders!A:B,2,0),customers!A:F,6,0)</f>
        <v>UK</v>
      </c>
      <c r="K359" t="str">
        <f>VLOOKUP(VLOOKUP(A359,orders!A:C,3,0),employees!A:B,2,0)</f>
        <v>Laura Callahan</v>
      </c>
    </row>
    <row r="360" spans="1:11" x14ac:dyDescent="0.25">
      <c r="A360">
        <v>10383</v>
      </c>
      <c r="B360">
        <v>50</v>
      </c>
      <c r="C360">
        <v>13</v>
      </c>
      <c r="D360">
        <v>15</v>
      </c>
      <c r="E360">
        <v>0</v>
      </c>
      <c r="F360">
        <f t="shared" si="5"/>
        <v>195</v>
      </c>
      <c r="G360">
        <f>YEAR(VLOOKUP(A360,orders!A:D,4,0))</f>
        <v>2013</v>
      </c>
      <c r="H360">
        <f>MONTH(INDEX(orders!D:D,MATCH(A360, orders!A:A,0)))</f>
        <v>12</v>
      </c>
      <c r="I360" t="str">
        <f>VLOOKUP(VLOOKUP(B360,products!A:F,6,0),categories!A:B,2,0)</f>
        <v>Confections</v>
      </c>
      <c r="J360" t="str">
        <f>VLOOKUP(VLOOKUP(A360,orders!A:B,2,0),customers!A:F,6,0)</f>
        <v>UK</v>
      </c>
      <c r="K360" t="str">
        <f>VLOOKUP(VLOOKUP(A360,orders!A:C,3,0),employees!A:B,2,0)</f>
        <v>Laura Callahan</v>
      </c>
    </row>
    <row r="361" spans="1:11" x14ac:dyDescent="0.25">
      <c r="A361">
        <v>10383</v>
      </c>
      <c r="B361">
        <v>56</v>
      </c>
      <c r="C361">
        <v>30.4</v>
      </c>
      <c r="D361">
        <v>20</v>
      </c>
      <c r="E361">
        <v>0</v>
      </c>
      <c r="F361">
        <f t="shared" si="5"/>
        <v>608</v>
      </c>
      <c r="G361">
        <f>YEAR(VLOOKUP(A361,orders!A:D,4,0))</f>
        <v>2013</v>
      </c>
      <c r="H361">
        <f>MONTH(INDEX(orders!D:D,MATCH(A361, orders!A:A,0)))</f>
        <v>12</v>
      </c>
      <c r="I361" t="str">
        <f>VLOOKUP(VLOOKUP(B361,products!A:F,6,0),categories!A:B,2,0)</f>
        <v>Grains &amp; Cereals</v>
      </c>
      <c r="J361" t="str">
        <f>VLOOKUP(VLOOKUP(A361,orders!A:B,2,0),customers!A:F,6,0)</f>
        <v>UK</v>
      </c>
      <c r="K361" t="str">
        <f>VLOOKUP(VLOOKUP(A361,orders!A:C,3,0),employees!A:B,2,0)</f>
        <v>Laura Callahan</v>
      </c>
    </row>
    <row r="362" spans="1:11" x14ac:dyDescent="0.25">
      <c r="A362">
        <v>10384</v>
      </c>
      <c r="B362">
        <v>20</v>
      </c>
      <c r="C362">
        <v>64.8</v>
      </c>
      <c r="D362">
        <v>28</v>
      </c>
      <c r="E362">
        <v>0</v>
      </c>
      <c r="F362">
        <f t="shared" si="5"/>
        <v>1814.3999999999999</v>
      </c>
      <c r="G362">
        <f>YEAR(VLOOKUP(A362,orders!A:D,4,0))</f>
        <v>2013</v>
      </c>
      <c r="H362">
        <f>MONTH(INDEX(orders!D:D,MATCH(A362, orders!A:A,0)))</f>
        <v>12</v>
      </c>
      <c r="I362" t="str">
        <f>VLOOKUP(VLOOKUP(B362,products!A:F,6,0),categories!A:B,2,0)</f>
        <v>Confections</v>
      </c>
      <c r="J362" t="str">
        <f>VLOOKUP(VLOOKUP(A362,orders!A:B,2,0),customers!A:F,6,0)</f>
        <v>Sweden</v>
      </c>
      <c r="K362" t="str">
        <f>VLOOKUP(VLOOKUP(A362,orders!A:C,3,0),employees!A:B,2,0)</f>
        <v>Janet Leverling</v>
      </c>
    </row>
    <row r="363" spans="1:11" x14ac:dyDescent="0.25">
      <c r="A363">
        <v>10384</v>
      </c>
      <c r="B363">
        <v>60</v>
      </c>
      <c r="C363">
        <v>27.2</v>
      </c>
      <c r="D363">
        <v>15</v>
      </c>
      <c r="E363">
        <v>0</v>
      </c>
      <c r="F363">
        <f t="shared" si="5"/>
        <v>408</v>
      </c>
      <c r="G363">
        <f>YEAR(VLOOKUP(A363,orders!A:D,4,0))</f>
        <v>2013</v>
      </c>
      <c r="H363">
        <f>MONTH(INDEX(orders!D:D,MATCH(A363, orders!A:A,0)))</f>
        <v>12</v>
      </c>
      <c r="I363" t="str">
        <f>VLOOKUP(VLOOKUP(B363,products!A:F,6,0),categories!A:B,2,0)</f>
        <v>Dairy Products</v>
      </c>
      <c r="J363" t="str">
        <f>VLOOKUP(VLOOKUP(A363,orders!A:B,2,0),customers!A:F,6,0)</f>
        <v>Sweden</v>
      </c>
      <c r="K363" t="str">
        <f>VLOOKUP(VLOOKUP(A363,orders!A:C,3,0),employees!A:B,2,0)</f>
        <v>Janet Leverling</v>
      </c>
    </row>
    <row r="364" spans="1:11" x14ac:dyDescent="0.25">
      <c r="A364">
        <v>10385</v>
      </c>
      <c r="B364">
        <v>7</v>
      </c>
      <c r="C364">
        <v>24</v>
      </c>
      <c r="D364">
        <v>10</v>
      </c>
      <c r="E364">
        <v>0.2</v>
      </c>
      <c r="F364">
        <f t="shared" si="5"/>
        <v>192</v>
      </c>
      <c r="G364">
        <f>YEAR(VLOOKUP(A364,orders!A:D,4,0))</f>
        <v>2013</v>
      </c>
      <c r="H364">
        <f>MONTH(INDEX(orders!D:D,MATCH(A364, orders!A:A,0)))</f>
        <v>12</v>
      </c>
      <c r="I364" t="str">
        <f>VLOOKUP(VLOOKUP(B364,products!A:F,6,0),categories!A:B,2,0)</f>
        <v>Produce</v>
      </c>
      <c r="J364" t="str">
        <f>VLOOKUP(VLOOKUP(A364,orders!A:B,2,0),customers!A:F,6,0)</f>
        <v>USA</v>
      </c>
      <c r="K364" t="str">
        <f>VLOOKUP(VLOOKUP(A364,orders!A:C,3,0),employees!A:B,2,0)</f>
        <v>Nancy Davolio</v>
      </c>
    </row>
    <row r="365" spans="1:11" x14ac:dyDescent="0.25">
      <c r="A365">
        <v>10385</v>
      </c>
      <c r="B365">
        <v>60</v>
      </c>
      <c r="C365">
        <v>27.2</v>
      </c>
      <c r="D365">
        <v>20</v>
      </c>
      <c r="E365">
        <v>0.2</v>
      </c>
      <c r="F365">
        <f t="shared" si="5"/>
        <v>435.20000000000005</v>
      </c>
      <c r="G365">
        <f>YEAR(VLOOKUP(A365,orders!A:D,4,0))</f>
        <v>2013</v>
      </c>
      <c r="H365">
        <f>MONTH(INDEX(orders!D:D,MATCH(A365, orders!A:A,0)))</f>
        <v>12</v>
      </c>
      <c r="I365" t="str">
        <f>VLOOKUP(VLOOKUP(B365,products!A:F,6,0),categories!A:B,2,0)</f>
        <v>Dairy Products</v>
      </c>
      <c r="J365" t="str">
        <f>VLOOKUP(VLOOKUP(A365,orders!A:B,2,0),customers!A:F,6,0)</f>
        <v>USA</v>
      </c>
      <c r="K365" t="str">
        <f>VLOOKUP(VLOOKUP(A365,orders!A:C,3,0),employees!A:B,2,0)</f>
        <v>Nancy Davolio</v>
      </c>
    </row>
    <row r="366" spans="1:11" x14ac:dyDescent="0.25">
      <c r="A366">
        <v>10385</v>
      </c>
      <c r="B366">
        <v>68</v>
      </c>
      <c r="C366">
        <v>10</v>
      </c>
      <c r="D366">
        <v>8</v>
      </c>
      <c r="E366">
        <v>0.2</v>
      </c>
      <c r="F366">
        <f t="shared" si="5"/>
        <v>64</v>
      </c>
      <c r="G366">
        <f>YEAR(VLOOKUP(A366,orders!A:D,4,0))</f>
        <v>2013</v>
      </c>
      <c r="H366">
        <f>MONTH(INDEX(orders!D:D,MATCH(A366, orders!A:A,0)))</f>
        <v>12</v>
      </c>
      <c r="I366" t="str">
        <f>VLOOKUP(VLOOKUP(B366,products!A:F,6,0),categories!A:B,2,0)</f>
        <v>Confections</v>
      </c>
      <c r="J366" t="str">
        <f>VLOOKUP(VLOOKUP(A366,orders!A:B,2,0),customers!A:F,6,0)</f>
        <v>USA</v>
      </c>
      <c r="K366" t="str">
        <f>VLOOKUP(VLOOKUP(A366,orders!A:C,3,0),employees!A:B,2,0)</f>
        <v>Nancy Davolio</v>
      </c>
    </row>
    <row r="367" spans="1:11" x14ac:dyDescent="0.25">
      <c r="A367">
        <v>10386</v>
      </c>
      <c r="B367">
        <v>24</v>
      </c>
      <c r="C367">
        <v>3.6</v>
      </c>
      <c r="D367">
        <v>15</v>
      </c>
      <c r="E367">
        <v>0</v>
      </c>
      <c r="F367">
        <f t="shared" si="5"/>
        <v>54</v>
      </c>
      <c r="G367">
        <f>YEAR(VLOOKUP(A367,orders!A:D,4,0))</f>
        <v>2013</v>
      </c>
      <c r="H367">
        <f>MONTH(INDEX(orders!D:D,MATCH(A367, orders!A:A,0)))</f>
        <v>12</v>
      </c>
      <c r="I367" t="str">
        <f>VLOOKUP(VLOOKUP(B367,products!A:F,6,0),categories!A:B,2,0)</f>
        <v>Beverages</v>
      </c>
      <c r="J367" t="str">
        <f>VLOOKUP(VLOOKUP(A367,orders!A:B,2,0),customers!A:F,6,0)</f>
        <v>Brazil</v>
      </c>
      <c r="K367" t="str">
        <f>VLOOKUP(VLOOKUP(A367,orders!A:C,3,0),employees!A:B,2,0)</f>
        <v>Anne Dodsworth</v>
      </c>
    </row>
    <row r="368" spans="1:11" x14ac:dyDescent="0.25">
      <c r="A368">
        <v>10386</v>
      </c>
      <c r="B368">
        <v>34</v>
      </c>
      <c r="C368">
        <v>11.2</v>
      </c>
      <c r="D368">
        <v>10</v>
      </c>
      <c r="E368">
        <v>0</v>
      </c>
      <c r="F368">
        <f t="shared" si="5"/>
        <v>112</v>
      </c>
      <c r="G368">
        <f>YEAR(VLOOKUP(A368,orders!A:D,4,0))</f>
        <v>2013</v>
      </c>
      <c r="H368">
        <f>MONTH(INDEX(orders!D:D,MATCH(A368, orders!A:A,0)))</f>
        <v>12</v>
      </c>
      <c r="I368" t="str">
        <f>VLOOKUP(VLOOKUP(B368,products!A:F,6,0),categories!A:B,2,0)</f>
        <v>Beverages</v>
      </c>
      <c r="J368" t="str">
        <f>VLOOKUP(VLOOKUP(A368,orders!A:B,2,0),customers!A:F,6,0)</f>
        <v>Brazil</v>
      </c>
      <c r="K368" t="str">
        <f>VLOOKUP(VLOOKUP(A368,orders!A:C,3,0),employees!A:B,2,0)</f>
        <v>Anne Dodsworth</v>
      </c>
    </row>
    <row r="369" spans="1:11" x14ac:dyDescent="0.25">
      <c r="A369">
        <v>10387</v>
      </c>
      <c r="B369">
        <v>24</v>
      </c>
      <c r="C369">
        <v>3.6</v>
      </c>
      <c r="D369">
        <v>15</v>
      </c>
      <c r="E369">
        <v>0</v>
      </c>
      <c r="F369">
        <f t="shared" si="5"/>
        <v>54</v>
      </c>
      <c r="G369">
        <f>YEAR(VLOOKUP(A369,orders!A:D,4,0))</f>
        <v>2013</v>
      </c>
      <c r="H369">
        <f>MONTH(INDEX(orders!D:D,MATCH(A369, orders!A:A,0)))</f>
        <v>12</v>
      </c>
      <c r="I369" t="str">
        <f>VLOOKUP(VLOOKUP(B369,products!A:F,6,0),categories!A:B,2,0)</f>
        <v>Beverages</v>
      </c>
      <c r="J369" t="str">
        <f>VLOOKUP(VLOOKUP(A369,orders!A:B,2,0),customers!A:F,6,0)</f>
        <v>Norway</v>
      </c>
      <c r="K369" t="str">
        <f>VLOOKUP(VLOOKUP(A369,orders!A:C,3,0),employees!A:B,2,0)</f>
        <v>Nancy Davolio</v>
      </c>
    </row>
    <row r="370" spans="1:11" x14ac:dyDescent="0.25">
      <c r="A370">
        <v>10387</v>
      </c>
      <c r="B370">
        <v>28</v>
      </c>
      <c r="C370">
        <v>36.4</v>
      </c>
      <c r="D370">
        <v>6</v>
      </c>
      <c r="E370">
        <v>0</v>
      </c>
      <c r="F370">
        <f t="shared" si="5"/>
        <v>218.39999999999998</v>
      </c>
      <c r="G370">
        <f>YEAR(VLOOKUP(A370,orders!A:D,4,0))</f>
        <v>2013</v>
      </c>
      <c r="H370">
        <f>MONTH(INDEX(orders!D:D,MATCH(A370, orders!A:A,0)))</f>
        <v>12</v>
      </c>
      <c r="I370" t="str">
        <f>VLOOKUP(VLOOKUP(B370,products!A:F,6,0),categories!A:B,2,0)</f>
        <v>Produce</v>
      </c>
      <c r="J370" t="str">
        <f>VLOOKUP(VLOOKUP(A370,orders!A:B,2,0),customers!A:F,6,0)</f>
        <v>Norway</v>
      </c>
      <c r="K370" t="str">
        <f>VLOOKUP(VLOOKUP(A370,orders!A:C,3,0),employees!A:B,2,0)</f>
        <v>Nancy Davolio</v>
      </c>
    </row>
    <row r="371" spans="1:11" x14ac:dyDescent="0.25">
      <c r="A371">
        <v>10387</v>
      </c>
      <c r="B371">
        <v>59</v>
      </c>
      <c r="C371">
        <v>44</v>
      </c>
      <c r="D371">
        <v>12</v>
      </c>
      <c r="E371">
        <v>0</v>
      </c>
      <c r="F371">
        <f t="shared" si="5"/>
        <v>528</v>
      </c>
      <c r="G371">
        <f>YEAR(VLOOKUP(A371,orders!A:D,4,0))</f>
        <v>2013</v>
      </c>
      <c r="H371">
        <f>MONTH(INDEX(orders!D:D,MATCH(A371, orders!A:A,0)))</f>
        <v>12</v>
      </c>
      <c r="I371" t="str">
        <f>VLOOKUP(VLOOKUP(B371,products!A:F,6,0),categories!A:B,2,0)</f>
        <v>Dairy Products</v>
      </c>
      <c r="J371" t="str">
        <f>VLOOKUP(VLOOKUP(A371,orders!A:B,2,0),customers!A:F,6,0)</f>
        <v>Norway</v>
      </c>
      <c r="K371" t="str">
        <f>VLOOKUP(VLOOKUP(A371,orders!A:C,3,0),employees!A:B,2,0)</f>
        <v>Nancy Davolio</v>
      </c>
    </row>
    <row r="372" spans="1:11" x14ac:dyDescent="0.25">
      <c r="A372">
        <v>10387</v>
      </c>
      <c r="B372">
        <v>71</v>
      </c>
      <c r="C372">
        <v>17.2</v>
      </c>
      <c r="D372">
        <v>15</v>
      </c>
      <c r="E372">
        <v>0</v>
      </c>
      <c r="F372">
        <f t="shared" si="5"/>
        <v>258</v>
      </c>
      <c r="G372">
        <f>YEAR(VLOOKUP(A372,orders!A:D,4,0))</f>
        <v>2013</v>
      </c>
      <c r="H372">
        <f>MONTH(INDEX(orders!D:D,MATCH(A372, orders!A:A,0)))</f>
        <v>12</v>
      </c>
      <c r="I372" t="str">
        <f>VLOOKUP(VLOOKUP(B372,products!A:F,6,0),categories!A:B,2,0)</f>
        <v>Dairy Products</v>
      </c>
      <c r="J372" t="str">
        <f>VLOOKUP(VLOOKUP(A372,orders!A:B,2,0),customers!A:F,6,0)</f>
        <v>Norway</v>
      </c>
      <c r="K372" t="str">
        <f>VLOOKUP(VLOOKUP(A372,orders!A:C,3,0),employees!A:B,2,0)</f>
        <v>Nancy Davolio</v>
      </c>
    </row>
    <row r="373" spans="1:11" x14ac:dyDescent="0.25">
      <c r="A373">
        <v>10388</v>
      </c>
      <c r="B373">
        <v>45</v>
      </c>
      <c r="C373">
        <v>7.6</v>
      </c>
      <c r="D373">
        <v>15</v>
      </c>
      <c r="E373">
        <v>0.2</v>
      </c>
      <c r="F373">
        <f t="shared" si="5"/>
        <v>91.2</v>
      </c>
      <c r="G373">
        <f>YEAR(VLOOKUP(A373,orders!A:D,4,0))</f>
        <v>2013</v>
      </c>
      <c r="H373">
        <f>MONTH(INDEX(orders!D:D,MATCH(A373, orders!A:A,0)))</f>
        <v>12</v>
      </c>
      <c r="I373" t="str">
        <f>VLOOKUP(VLOOKUP(B373,products!A:F,6,0),categories!A:B,2,0)</f>
        <v>Seafood</v>
      </c>
      <c r="J373" t="str">
        <f>VLOOKUP(VLOOKUP(A373,orders!A:B,2,0),customers!A:F,6,0)</f>
        <v>UK</v>
      </c>
      <c r="K373" t="str">
        <f>VLOOKUP(VLOOKUP(A373,orders!A:C,3,0),employees!A:B,2,0)</f>
        <v>Andrew Fuller</v>
      </c>
    </row>
    <row r="374" spans="1:11" x14ac:dyDescent="0.25">
      <c r="A374">
        <v>10388</v>
      </c>
      <c r="B374">
        <v>52</v>
      </c>
      <c r="C374">
        <v>5.6</v>
      </c>
      <c r="D374">
        <v>20</v>
      </c>
      <c r="E374">
        <v>0.2</v>
      </c>
      <c r="F374">
        <f t="shared" si="5"/>
        <v>89.600000000000009</v>
      </c>
      <c r="G374">
        <f>YEAR(VLOOKUP(A374,orders!A:D,4,0))</f>
        <v>2013</v>
      </c>
      <c r="H374">
        <f>MONTH(INDEX(orders!D:D,MATCH(A374, orders!A:A,0)))</f>
        <v>12</v>
      </c>
      <c r="I374" t="str">
        <f>VLOOKUP(VLOOKUP(B374,products!A:F,6,0),categories!A:B,2,0)</f>
        <v>Grains &amp; Cereals</v>
      </c>
      <c r="J374" t="str">
        <f>VLOOKUP(VLOOKUP(A374,orders!A:B,2,0),customers!A:F,6,0)</f>
        <v>UK</v>
      </c>
      <c r="K374" t="str">
        <f>VLOOKUP(VLOOKUP(A374,orders!A:C,3,0),employees!A:B,2,0)</f>
        <v>Andrew Fuller</v>
      </c>
    </row>
    <row r="375" spans="1:11" x14ac:dyDescent="0.25">
      <c r="A375">
        <v>10388</v>
      </c>
      <c r="B375">
        <v>53</v>
      </c>
      <c r="C375">
        <v>26.2</v>
      </c>
      <c r="D375">
        <v>40</v>
      </c>
      <c r="E375">
        <v>0</v>
      </c>
      <c r="F375">
        <f t="shared" si="5"/>
        <v>1048</v>
      </c>
      <c r="G375">
        <f>YEAR(VLOOKUP(A375,orders!A:D,4,0))</f>
        <v>2013</v>
      </c>
      <c r="H375">
        <f>MONTH(INDEX(orders!D:D,MATCH(A375, orders!A:A,0)))</f>
        <v>12</v>
      </c>
      <c r="I375" t="str">
        <f>VLOOKUP(VLOOKUP(B375,products!A:F,6,0),categories!A:B,2,0)</f>
        <v>Meat &amp; Poultry</v>
      </c>
      <c r="J375" t="str">
        <f>VLOOKUP(VLOOKUP(A375,orders!A:B,2,0),customers!A:F,6,0)</f>
        <v>UK</v>
      </c>
      <c r="K375" t="str">
        <f>VLOOKUP(VLOOKUP(A375,orders!A:C,3,0),employees!A:B,2,0)</f>
        <v>Andrew Fuller</v>
      </c>
    </row>
    <row r="376" spans="1:11" x14ac:dyDescent="0.25">
      <c r="A376">
        <v>10389</v>
      </c>
      <c r="B376">
        <v>10</v>
      </c>
      <c r="C376">
        <v>24.8</v>
      </c>
      <c r="D376">
        <v>16</v>
      </c>
      <c r="E376">
        <v>0</v>
      </c>
      <c r="F376">
        <f t="shared" si="5"/>
        <v>396.8</v>
      </c>
      <c r="G376">
        <f>YEAR(VLOOKUP(A376,orders!A:D,4,0))</f>
        <v>2013</v>
      </c>
      <c r="H376">
        <f>MONTH(INDEX(orders!D:D,MATCH(A376, orders!A:A,0)))</f>
        <v>12</v>
      </c>
      <c r="I376" t="str">
        <f>VLOOKUP(VLOOKUP(B376,products!A:F,6,0),categories!A:B,2,0)</f>
        <v>Seafood</v>
      </c>
      <c r="J376" t="str">
        <f>VLOOKUP(VLOOKUP(A376,orders!A:B,2,0),customers!A:F,6,0)</f>
        <v>Canada</v>
      </c>
      <c r="K376" t="str">
        <f>VLOOKUP(VLOOKUP(A376,orders!A:C,3,0),employees!A:B,2,0)</f>
        <v>Margaret Peacock</v>
      </c>
    </row>
    <row r="377" spans="1:11" x14ac:dyDescent="0.25">
      <c r="A377">
        <v>10389</v>
      </c>
      <c r="B377">
        <v>55</v>
      </c>
      <c r="C377">
        <v>19.2</v>
      </c>
      <c r="D377">
        <v>15</v>
      </c>
      <c r="E377">
        <v>0</v>
      </c>
      <c r="F377">
        <f t="shared" si="5"/>
        <v>288</v>
      </c>
      <c r="G377">
        <f>YEAR(VLOOKUP(A377,orders!A:D,4,0))</f>
        <v>2013</v>
      </c>
      <c r="H377">
        <f>MONTH(INDEX(orders!D:D,MATCH(A377, orders!A:A,0)))</f>
        <v>12</v>
      </c>
      <c r="I377" t="str">
        <f>VLOOKUP(VLOOKUP(B377,products!A:F,6,0),categories!A:B,2,0)</f>
        <v>Meat &amp; Poultry</v>
      </c>
      <c r="J377" t="str">
        <f>VLOOKUP(VLOOKUP(A377,orders!A:B,2,0),customers!A:F,6,0)</f>
        <v>Canada</v>
      </c>
      <c r="K377" t="str">
        <f>VLOOKUP(VLOOKUP(A377,orders!A:C,3,0),employees!A:B,2,0)</f>
        <v>Margaret Peacock</v>
      </c>
    </row>
    <row r="378" spans="1:11" x14ac:dyDescent="0.25">
      <c r="A378">
        <v>10389</v>
      </c>
      <c r="B378">
        <v>62</v>
      </c>
      <c r="C378">
        <v>39.4</v>
      </c>
      <c r="D378">
        <v>20</v>
      </c>
      <c r="E378">
        <v>0</v>
      </c>
      <c r="F378">
        <f t="shared" si="5"/>
        <v>788</v>
      </c>
      <c r="G378">
        <f>YEAR(VLOOKUP(A378,orders!A:D,4,0))</f>
        <v>2013</v>
      </c>
      <c r="H378">
        <f>MONTH(INDEX(orders!D:D,MATCH(A378, orders!A:A,0)))</f>
        <v>12</v>
      </c>
      <c r="I378" t="str">
        <f>VLOOKUP(VLOOKUP(B378,products!A:F,6,0),categories!A:B,2,0)</f>
        <v>Confections</v>
      </c>
      <c r="J378" t="str">
        <f>VLOOKUP(VLOOKUP(A378,orders!A:B,2,0),customers!A:F,6,0)</f>
        <v>Canada</v>
      </c>
      <c r="K378" t="str">
        <f>VLOOKUP(VLOOKUP(A378,orders!A:C,3,0),employees!A:B,2,0)</f>
        <v>Margaret Peacock</v>
      </c>
    </row>
    <row r="379" spans="1:11" x14ac:dyDescent="0.25">
      <c r="A379">
        <v>10389</v>
      </c>
      <c r="B379">
        <v>70</v>
      </c>
      <c r="C379">
        <v>12</v>
      </c>
      <c r="D379">
        <v>30</v>
      </c>
      <c r="E379">
        <v>0</v>
      </c>
      <c r="F379">
        <f t="shared" si="5"/>
        <v>360</v>
      </c>
      <c r="G379">
        <f>YEAR(VLOOKUP(A379,orders!A:D,4,0))</f>
        <v>2013</v>
      </c>
      <c r="H379">
        <f>MONTH(INDEX(orders!D:D,MATCH(A379, orders!A:A,0)))</f>
        <v>12</v>
      </c>
      <c r="I379" t="str">
        <f>VLOOKUP(VLOOKUP(B379,products!A:F,6,0),categories!A:B,2,0)</f>
        <v>Beverages</v>
      </c>
      <c r="J379" t="str">
        <f>VLOOKUP(VLOOKUP(A379,orders!A:B,2,0),customers!A:F,6,0)</f>
        <v>Canada</v>
      </c>
      <c r="K379" t="str">
        <f>VLOOKUP(VLOOKUP(A379,orders!A:C,3,0),employees!A:B,2,0)</f>
        <v>Margaret Peacock</v>
      </c>
    </row>
    <row r="380" spans="1:11" x14ac:dyDescent="0.25">
      <c r="A380">
        <v>10390</v>
      </c>
      <c r="B380">
        <v>31</v>
      </c>
      <c r="C380">
        <v>10</v>
      </c>
      <c r="D380">
        <v>60</v>
      </c>
      <c r="E380">
        <v>0.1</v>
      </c>
      <c r="F380">
        <f t="shared" si="5"/>
        <v>540</v>
      </c>
      <c r="G380">
        <f>YEAR(VLOOKUP(A380,orders!A:D,4,0))</f>
        <v>2013</v>
      </c>
      <c r="H380">
        <f>MONTH(INDEX(orders!D:D,MATCH(A380, orders!A:A,0)))</f>
        <v>12</v>
      </c>
      <c r="I380" t="str">
        <f>VLOOKUP(VLOOKUP(B380,products!A:F,6,0),categories!A:B,2,0)</f>
        <v>Dairy Products</v>
      </c>
      <c r="J380" t="str">
        <f>VLOOKUP(VLOOKUP(A380,orders!A:B,2,0),customers!A:F,6,0)</f>
        <v>Austria</v>
      </c>
      <c r="K380" t="str">
        <f>VLOOKUP(VLOOKUP(A380,orders!A:C,3,0),employees!A:B,2,0)</f>
        <v>Michael Suyama</v>
      </c>
    </row>
    <row r="381" spans="1:11" x14ac:dyDescent="0.25">
      <c r="A381">
        <v>10390</v>
      </c>
      <c r="B381">
        <v>35</v>
      </c>
      <c r="C381">
        <v>14.4</v>
      </c>
      <c r="D381">
        <v>40</v>
      </c>
      <c r="E381">
        <v>0.1</v>
      </c>
      <c r="F381">
        <f t="shared" si="5"/>
        <v>518.4</v>
      </c>
      <c r="G381">
        <f>YEAR(VLOOKUP(A381,orders!A:D,4,0))</f>
        <v>2013</v>
      </c>
      <c r="H381">
        <f>MONTH(INDEX(orders!D:D,MATCH(A381, orders!A:A,0)))</f>
        <v>12</v>
      </c>
      <c r="I381" t="str">
        <f>VLOOKUP(VLOOKUP(B381,products!A:F,6,0),categories!A:B,2,0)</f>
        <v>Beverages</v>
      </c>
      <c r="J381" t="str">
        <f>VLOOKUP(VLOOKUP(A381,orders!A:B,2,0),customers!A:F,6,0)</f>
        <v>Austria</v>
      </c>
      <c r="K381" t="str">
        <f>VLOOKUP(VLOOKUP(A381,orders!A:C,3,0),employees!A:B,2,0)</f>
        <v>Michael Suyama</v>
      </c>
    </row>
    <row r="382" spans="1:11" x14ac:dyDescent="0.25">
      <c r="A382">
        <v>10390</v>
      </c>
      <c r="B382">
        <v>46</v>
      </c>
      <c r="C382">
        <v>9.6</v>
      </c>
      <c r="D382">
        <v>45</v>
      </c>
      <c r="E382">
        <v>0</v>
      </c>
      <c r="F382">
        <f t="shared" si="5"/>
        <v>432</v>
      </c>
      <c r="G382">
        <f>YEAR(VLOOKUP(A382,orders!A:D,4,0))</f>
        <v>2013</v>
      </c>
      <c r="H382">
        <f>MONTH(INDEX(orders!D:D,MATCH(A382, orders!A:A,0)))</f>
        <v>12</v>
      </c>
      <c r="I382" t="str">
        <f>VLOOKUP(VLOOKUP(B382,products!A:F,6,0),categories!A:B,2,0)</f>
        <v>Seafood</v>
      </c>
      <c r="J382" t="str">
        <f>VLOOKUP(VLOOKUP(A382,orders!A:B,2,0),customers!A:F,6,0)</f>
        <v>Austria</v>
      </c>
      <c r="K382" t="str">
        <f>VLOOKUP(VLOOKUP(A382,orders!A:C,3,0),employees!A:B,2,0)</f>
        <v>Michael Suyama</v>
      </c>
    </row>
    <row r="383" spans="1:11" x14ac:dyDescent="0.25">
      <c r="A383">
        <v>10390</v>
      </c>
      <c r="B383">
        <v>72</v>
      </c>
      <c r="C383">
        <v>27.8</v>
      </c>
      <c r="D383">
        <v>24</v>
      </c>
      <c r="E383">
        <v>0.1</v>
      </c>
      <c r="F383">
        <f t="shared" si="5"/>
        <v>600.48</v>
      </c>
      <c r="G383">
        <f>YEAR(VLOOKUP(A383,orders!A:D,4,0))</f>
        <v>2013</v>
      </c>
      <c r="H383">
        <f>MONTH(INDEX(orders!D:D,MATCH(A383, orders!A:A,0)))</f>
        <v>12</v>
      </c>
      <c r="I383" t="str">
        <f>VLOOKUP(VLOOKUP(B383,products!A:F,6,0),categories!A:B,2,0)</f>
        <v>Dairy Products</v>
      </c>
      <c r="J383" t="str">
        <f>VLOOKUP(VLOOKUP(A383,orders!A:B,2,0),customers!A:F,6,0)</f>
        <v>Austria</v>
      </c>
      <c r="K383" t="str">
        <f>VLOOKUP(VLOOKUP(A383,orders!A:C,3,0),employees!A:B,2,0)</f>
        <v>Michael Suyama</v>
      </c>
    </row>
    <row r="384" spans="1:11" x14ac:dyDescent="0.25">
      <c r="A384">
        <v>10391</v>
      </c>
      <c r="B384">
        <v>13</v>
      </c>
      <c r="C384">
        <v>4.8</v>
      </c>
      <c r="D384">
        <v>18</v>
      </c>
      <c r="E384">
        <v>0</v>
      </c>
      <c r="F384">
        <f t="shared" si="5"/>
        <v>86.399999999999991</v>
      </c>
      <c r="G384">
        <f>YEAR(VLOOKUP(A384,orders!A:D,4,0))</f>
        <v>2013</v>
      </c>
      <c r="H384">
        <f>MONTH(INDEX(orders!D:D,MATCH(A384, orders!A:A,0)))</f>
        <v>12</v>
      </c>
      <c r="I384" t="str">
        <f>VLOOKUP(VLOOKUP(B384,products!A:F,6,0),categories!A:B,2,0)</f>
        <v>Seafood</v>
      </c>
      <c r="J384" t="str">
        <f>VLOOKUP(VLOOKUP(A384,orders!A:B,2,0),customers!A:F,6,0)</f>
        <v>Germany</v>
      </c>
      <c r="K384" t="str">
        <f>VLOOKUP(VLOOKUP(A384,orders!A:C,3,0),employees!A:B,2,0)</f>
        <v>Janet Leverling</v>
      </c>
    </row>
    <row r="385" spans="1:11" x14ac:dyDescent="0.25">
      <c r="A385">
        <v>10392</v>
      </c>
      <c r="B385">
        <v>69</v>
      </c>
      <c r="C385">
        <v>28.8</v>
      </c>
      <c r="D385">
        <v>50</v>
      </c>
      <c r="E385">
        <v>0</v>
      </c>
      <c r="F385">
        <f t="shared" si="5"/>
        <v>1440</v>
      </c>
      <c r="G385">
        <f>YEAR(VLOOKUP(A385,orders!A:D,4,0))</f>
        <v>2013</v>
      </c>
      <c r="H385">
        <f>MONTH(INDEX(orders!D:D,MATCH(A385, orders!A:A,0)))</f>
        <v>12</v>
      </c>
      <c r="I385" t="str">
        <f>VLOOKUP(VLOOKUP(B385,products!A:F,6,0),categories!A:B,2,0)</f>
        <v>Dairy Products</v>
      </c>
      <c r="J385" t="str">
        <f>VLOOKUP(VLOOKUP(A385,orders!A:B,2,0),customers!A:F,6,0)</f>
        <v>Austria</v>
      </c>
      <c r="K385" t="str">
        <f>VLOOKUP(VLOOKUP(A385,orders!A:C,3,0),employees!A:B,2,0)</f>
        <v>Andrew Fuller</v>
      </c>
    </row>
    <row r="386" spans="1:11" x14ac:dyDescent="0.25">
      <c r="A386">
        <v>10393</v>
      </c>
      <c r="B386">
        <v>2</v>
      </c>
      <c r="C386">
        <v>15.2</v>
      </c>
      <c r="D386">
        <v>25</v>
      </c>
      <c r="E386">
        <v>0.25</v>
      </c>
      <c r="F386">
        <f t="shared" si="5"/>
        <v>285</v>
      </c>
      <c r="G386">
        <f>YEAR(VLOOKUP(A386,orders!A:D,4,0))</f>
        <v>2013</v>
      </c>
      <c r="H386">
        <f>MONTH(INDEX(orders!D:D,MATCH(A386, orders!A:A,0)))</f>
        <v>12</v>
      </c>
      <c r="I386" t="str">
        <f>VLOOKUP(VLOOKUP(B386,products!A:F,6,0),categories!A:B,2,0)</f>
        <v>Beverages</v>
      </c>
      <c r="J386" t="str">
        <f>VLOOKUP(VLOOKUP(A386,orders!A:B,2,0),customers!A:F,6,0)</f>
        <v>USA</v>
      </c>
      <c r="K386" t="str">
        <f>VLOOKUP(VLOOKUP(A386,orders!A:C,3,0),employees!A:B,2,0)</f>
        <v>Nancy Davolio</v>
      </c>
    </row>
    <row r="387" spans="1:11" x14ac:dyDescent="0.25">
      <c r="A387">
        <v>10393</v>
      </c>
      <c r="B387">
        <v>14</v>
      </c>
      <c r="C387">
        <v>18.600000000000001</v>
      </c>
      <c r="D387">
        <v>42</v>
      </c>
      <c r="E387">
        <v>0.25</v>
      </c>
      <c r="F387">
        <f t="shared" ref="F387:F450" si="6">C387*D387*(1-E387)</f>
        <v>585.90000000000009</v>
      </c>
      <c r="G387">
        <f>YEAR(VLOOKUP(A387,orders!A:D,4,0))</f>
        <v>2013</v>
      </c>
      <c r="H387">
        <f>MONTH(INDEX(orders!D:D,MATCH(A387, orders!A:A,0)))</f>
        <v>12</v>
      </c>
      <c r="I387" t="str">
        <f>VLOOKUP(VLOOKUP(B387,products!A:F,6,0),categories!A:B,2,0)</f>
        <v>Produce</v>
      </c>
      <c r="J387" t="str">
        <f>VLOOKUP(VLOOKUP(A387,orders!A:B,2,0),customers!A:F,6,0)</f>
        <v>USA</v>
      </c>
      <c r="K387" t="str">
        <f>VLOOKUP(VLOOKUP(A387,orders!A:C,3,0),employees!A:B,2,0)</f>
        <v>Nancy Davolio</v>
      </c>
    </row>
    <row r="388" spans="1:11" x14ac:dyDescent="0.25">
      <c r="A388">
        <v>10393</v>
      </c>
      <c r="B388">
        <v>25</v>
      </c>
      <c r="C388">
        <v>11.2</v>
      </c>
      <c r="D388">
        <v>7</v>
      </c>
      <c r="E388">
        <v>0.25</v>
      </c>
      <c r="F388">
        <f t="shared" si="6"/>
        <v>58.8</v>
      </c>
      <c r="G388">
        <f>YEAR(VLOOKUP(A388,orders!A:D,4,0))</f>
        <v>2013</v>
      </c>
      <c r="H388">
        <f>MONTH(INDEX(orders!D:D,MATCH(A388, orders!A:A,0)))</f>
        <v>12</v>
      </c>
      <c r="I388" t="str">
        <f>VLOOKUP(VLOOKUP(B388,products!A:F,6,0),categories!A:B,2,0)</f>
        <v>Confections</v>
      </c>
      <c r="J388" t="str">
        <f>VLOOKUP(VLOOKUP(A388,orders!A:B,2,0),customers!A:F,6,0)</f>
        <v>USA</v>
      </c>
      <c r="K388" t="str">
        <f>VLOOKUP(VLOOKUP(A388,orders!A:C,3,0),employees!A:B,2,0)</f>
        <v>Nancy Davolio</v>
      </c>
    </row>
    <row r="389" spans="1:11" x14ac:dyDescent="0.25">
      <c r="A389">
        <v>10393</v>
      </c>
      <c r="B389">
        <v>26</v>
      </c>
      <c r="C389">
        <v>24.9</v>
      </c>
      <c r="D389">
        <v>70</v>
      </c>
      <c r="E389">
        <v>0.25</v>
      </c>
      <c r="F389">
        <f t="shared" si="6"/>
        <v>1307.25</v>
      </c>
      <c r="G389">
        <f>YEAR(VLOOKUP(A389,orders!A:D,4,0))</f>
        <v>2013</v>
      </c>
      <c r="H389">
        <f>MONTH(INDEX(orders!D:D,MATCH(A389, orders!A:A,0)))</f>
        <v>12</v>
      </c>
      <c r="I389" t="str">
        <f>VLOOKUP(VLOOKUP(B389,products!A:F,6,0),categories!A:B,2,0)</f>
        <v>Confections</v>
      </c>
      <c r="J389" t="str">
        <f>VLOOKUP(VLOOKUP(A389,orders!A:B,2,0),customers!A:F,6,0)</f>
        <v>USA</v>
      </c>
      <c r="K389" t="str">
        <f>VLOOKUP(VLOOKUP(A389,orders!A:C,3,0),employees!A:B,2,0)</f>
        <v>Nancy Davolio</v>
      </c>
    </row>
    <row r="390" spans="1:11" x14ac:dyDescent="0.25">
      <c r="A390">
        <v>10393</v>
      </c>
      <c r="B390">
        <v>31</v>
      </c>
      <c r="C390">
        <v>10</v>
      </c>
      <c r="D390">
        <v>32</v>
      </c>
      <c r="E390">
        <v>0</v>
      </c>
      <c r="F390">
        <f t="shared" si="6"/>
        <v>320</v>
      </c>
      <c r="G390">
        <f>YEAR(VLOOKUP(A390,orders!A:D,4,0))</f>
        <v>2013</v>
      </c>
      <c r="H390">
        <f>MONTH(INDEX(orders!D:D,MATCH(A390, orders!A:A,0)))</f>
        <v>12</v>
      </c>
      <c r="I390" t="str">
        <f>VLOOKUP(VLOOKUP(B390,products!A:F,6,0),categories!A:B,2,0)</f>
        <v>Dairy Products</v>
      </c>
      <c r="J390" t="str">
        <f>VLOOKUP(VLOOKUP(A390,orders!A:B,2,0),customers!A:F,6,0)</f>
        <v>USA</v>
      </c>
      <c r="K390" t="str">
        <f>VLOOKUP(VLOOKUP(A390,orders!A:C,3,0),employees!A:B,2,0)</f>
        <v>Nancy Davolio</v>
      </c>
    </row>
    <row r="391" spans="1:11" x14ac:dyDescent="0.25">
      <c r="A391">
        <v>10394</v>
      </c>
      <c r="B391">
        <v>13</v>
      </c>
      <c r="C391">
        <v>4.8</v>
      </c>
      <c r="D391">
        <v>10</v>
      </c>
      <c r="E391">
        <v>0</v>
      </c>
      <c r="F391">
        <f t="shared" si="6"/>
        <v>48</v>
      </c>
      <c r="G391">
        <f>YEAR(VLOOKUP(A391,orders!A:D,4,0))</f>
        <v>2013</v>
      </c>
      <c r="H391">
        <f>MONTH(INDEX(orders!D:D,MATCH(A391, orders!A:A,0)))</f>
        <v>12</v>
      </c>
      <c r="I391" t="str">
        <f>VLOOKUP(VLOOKUP(B391,products!A:F,6,0),categories!A:B,2,0)</f>
        <v>Seafood</v>
      </c>
      <c r="J391" t="str">
        <f>VLOOKUP(VLOOKUP(A391,orders!A:B,2,0),customers!A:F,6,0)</f>
        <v>USA</v>
      </c>
      <c r="K391" t="str">
        <f>VLOOKUP(VLOOKUP(A391,orders!A:C,3,0),employees!A:B,2,0)</f>
        <v>Nancy Davolio</v>
      </c>
    </row>
    <row r="392" spans="1:11" x14ac:dyDescent="0.25">
      <c r="A392">
        <v>10394</v>
      </c>
      <c r="B392">
        <v>62</v>
      </c>
      <c r="C392">
        <v>39.4</v>
      </c>
      <c r="D392">
        <v>10</v>
      </c>
      <c r="E392">
        <v>0</v>
      </c>
      <c r="F392">
        <f t="shared" si="6"/>
        <v>394</v>
      </c>
      <c r="G392">
        <f>YEAR(VLOOKUP(A392,orders!A:D,4,0))</f>
        <v>2013</v>
      </c>
      <c r="H392">
        <f>MONTH(INDEX(orders!D:D,MATCH(A392, orders!A:A,0)))</f>
        <v>12</v>
      </c>
      <c r="I392" t="str">
        <f>VLOOKUP(VLOOKUP(B392,products!A:F,6,0),categories!A:B,2,0)</f>
        <v>Confections</v>
      </c>
      <c r="J392" t="str">
        <f>VLOOKUP(VLOOKUP(A392,orders!A:B,2,0),customers!A:F,6,0)</f>
        <v>USA</v>
      </c>
      <c r="K392" t="str">
        <f>VLOOKUP(VLOOKUP(A392,orders!A:C,3,0),employees!A:B,2,0)</f>
        <v>Nancy Davolio</v>
      </c>
    </row>
    <row r="393" spans="1:11" x14ac:dyDescent="0.25">
      <c r="A393">
        <v>10395</v>
      </c>
      <c r="B393">
        <v>46</v>
      </c>
      <c r="C393">
        <v>9.6</v>
      </c>
      <c r="D393">
        <v>28</v>
      </c>
      <c r="E393">
        <v>0.1</v>
      </c>
      <c r="F393">
        <f t="shared" si="6"/>
        <v>241.92000000000002</v>
      </c>
      <c r="G393">
        <f>YEAR(VLOOKUP(A393,orders!A:D,4,0))</f>
        <v>2013</v>
      </c>
      <c r="H393">
        <f>MONTH(INDEX(orders!D:D,MATCH(A393, orders!A:A,0)))</f>
        <v>12</v>
      </c>
      <c r="I393" t="str">
        <f>VLOOKUP(VLOOKUP(B393,products!A:F,6,0),categories!A:B,2,0)</f>
        <v>Seafood</v>
      </c>
      <c r="J393" t="str">
        <f>VLOOKUP(VLOOKUP(A393,orders!A:B,2,0),customers!A:F,6,0)</f>
        <v>Venezuela</v>
      </c>
      <c r="K393" t="str">
        <f>VLOOKUP(VLOOKUP(A393,orders!A:C,3,0),employees!A:B,2,0)</f>
        <v>Michael Suyama</v>
      </c>
    </row>
    <row r="394" spans="1:11" x14ac:dyDescent="0.25">
      <c r="A394">
        <v>10395</v>
      </c>
      <c r="B394">
        <v>53</v>
      </c>
      <c r="C394">
        <v>26.2</v>
      </c>
      <c r="D394">
        <v>70</v>
      </c>
      <c r="E394">
        <v>0.1</v>
      </c>
      <c r="F394">
        <f t="shared" si="6"/>
        <v>1650.6000000000001</v>
      </c>
      <c r="G394">
        <f>YEAR(VLOOKUP(A394,orders!A:D,4,0))</f>
        <v>2013</v>
      </c>
      <c r="H394">
        <f>MONTH(INDEX(orders!D:D,MATCH(A394, orders!A:A,0)))</f>
        <v>12</v>
      </c>
      <c r="I394" t="str">
        <f>VLOOKUP(VLOOKUP(B394,products!A:F,6,0),categories!A:B,2,0)</f>
        <v>Meat &amp; Poultry</v>
      </c>
      <c r="J394" t="str">
        <f>VLOOKUP(VLOOKUP(A394,orders!A:B,2,0),customers!A:F,6,0)</f>
        <v>Venezuela</v>
      </c>
      <c r="K394" t="str">
        <f>VLOOKUP(VLOOKUP(A394,orders!A:C,3,0),employees!A:B,2,0)</f>
        <v>Michael Suyama</v>
      </c>
    </row>
    <row r="395" spans="1:11" x14ac:dyDescent="0.25">
      <c r="A395">
        <v>10395</v>
      </c>
      <c r="B395">
        <v>69</v>
      </c>
      <c r="C395">
        <v>28.8</v>
      </c>
      <c r="D395">
        <v>8</v>
      </c>
      <c r="E395">
        <v>0</v>
      </c>
      <c r="F395">
        <f t="shared" si="6"/>
        <v>230.4</v>
      </c>
      <c r="G395">
        <f>YEAR(VLOOKUP(A395,orders!A:D,4,0))</f>
        <v>2013</v>
      </c>
      <c r="H395">
        <f>MONTH(INDEX(orders!D:D,MATCH(A395, orders!A:A,0)))</f>
        <v>12</v>
      </c>
      <c r="I395" t="str">
        <f>VLOOKUP(VLOOKUP(B395,products!A:F,6,0),categories!A:B,2,0)</f>
        <v>Dairy Products</v>
      </c>
      <c r="J395" t="str">
        <f>VLOOKUP(VLOOKUP(A395,orders!A:B,2,0),customers!A:F,6,0)</f>
        <v>Venezuela</v>
      </c>
      <c r="K395" t="str">
        <f>VLOOKUP(VLOOKUP(A395,orders!A:C,3,0),employees!A:B,2,0)</f>
        <v>Michael Suyama</v>
      </c>
    </row>
    <row r="396" spans="1:11" x14ac:dyDescent="0.25">
      <c r="A396">
        <v>10396</v>
      </c>
      <c r="B396">
        <v>23</v>
      </c>
      <c r="C396">
        <v>7.2</v>
      </c>
      <c r="D396">
        <v>40</v>
      </c>
      <c r="E396">
        <v>0</v>
      </c>
      <c r="F396">
        <f t="shared" si="6"/>
        <v>288</v>
      </c>
      <c r="G396">
        <f>YEAR(VLOOKUP(A396,orders!A:D,4,0))</f>
        <v>2013</v>
      </c>
      <c r="H396">
        <f>MONTH(INDEX(orders!D:D,MATCH(A396, orders!A:A,0)))</f>
        <v>12</v>
      </c>
      <c r="I396" t="str">
        <f>VLOOKUP(VLOOKUP(B396,products!A:F,6,0),categories!A:B,2,0)</f>
        <v>Grains &amp; Cereals</v>
      </c>
      <c r="J396" t="str">
        <f>VLOOKUP(VLOOKUP(A396,orders!A:B,2,0),customers!A:F,6,0)</f>
        <v>Germany</v>
      </c>
      <c r="K396" t="str">
        <f>VLOOKUP(VLOOKUP(A396,orders!A:C,3,0),employees!A:B,2,0)</f>
        <v>Nancy Davolio</v>
      </c>
    </row>
    <row r="397" spans="1:11" x14ac:dyDescent="0.25">
      <c r="A397">
        <v>10396</v>
      </c>
      <c r="B397">
        <v>71</v>
      </c>
      <c r="C397">
        <v>17.2</v>
      </c>
      <c r="D397">
        <v>60</v>
      </c>
      <c r="E397">
        <v>0</v>
      </c>
      <c r="F397">
        <f t="shared" si="6"/>
        <v>1032</v>
      </c>
      <c r="G397">
        <f>YEAR(VLOOKUP(A397,orders!A:D,4,0))</f>
        <v>2013</v>
      </c>
      <c r="H397">
        <f>MONTH(INDEX(orders!D:D,MATCH(A397, orders!A:A,0)))</f>
        <v>12</v>
      </c>
      <c r="I397" t="str">
        <f>VLOOKUP(VLOOKUP(B397,products!A:F,6,0),categories!A:B,2,0)</f>
        <v>Dairy Products</v>
      </c>
      <c r="J397" t="str">
        <f>VLOOKUP(VLOOKUP(A397,orders!A:B,2,0),customers!A:F,6,0)</f>
        <v>Germany</v>
      </c>
      <c r="K397" t="str">
        <f>VLOOKUP(VLOOKUP(A397,orders!A:C,3,0),employees!A:B,2,0)</f>
        <v>Nancy Davolio</v>
      </c>
    </row>
    <row r="398" spans="1:11" x14ac:dyDescent="0.25">
      <c r="A398">
        <v>10396</v>
      </c>
      <c r="B398">
        <v>72</v>
      </c>
      <c r="C398">
        <v>27.8</v>
      </c>
      <c r="D398">
        <v>21</v>
      </c>
      <c r="E398">
        <v>0</v>
      </c>
      <c r="F398">
        <f t="shared" si="6"/>
        <v>583.80000000000007</v>
      </c>
      <c r="G398">
        <f>YEAR(VLOOKUP(A398,orders!A:D,4,0))</f>
        <v>2013</v>
      </c>
      <c r="H398">
        <f>MONTH(INDEX(orders!D:D,MATCH(A398, orders!A:A,0)))</f>
        <v>12</v>
      </c>
      <c r="I398" t="str">
        <f>VLOOKUP(VLOOKUP(B398,products!A:F,6,0),categories!A:B,2,0)</f>
        <v>Dairy Products</v>
      </c>
      <c r="J398" t="str">
        <f>VLOOKUP(VLOOKUP(A398,orders!A:B,2,0),customers!A:F,6,0)</f>
        <v>Germany</v>
      </c>
      <c r="K398" t="str">
        <f>VLOOKUP(VLOOKUP(A398,orders!A:C,3,0),employees!A:B,2,0)</f>
        <v>Nancy Davolio</v>
      </c>
    </row>
    <row r="399" spans="1:11" x14ac:dyDescent="0.25">
      <c r="A399">
        <v>10397</v>
      </c>
      <c r="B399">
        <v>21</v>
      </c>
      <c r="C399">
        <v>8</v>
      </c>
      <c r="D399">
        <v>10</v>
      </c>
      <c r="E399">
        <v>0.15</v>
      </c>
      <c r="F399">
        <f t="shared" si="6"/>
        <v>68</v>
      </c>
      <c r="G399">
        <f>YEAR(VLOOKUP(A399,orders!A:D,4,0))</f>
        <v>2013</v>
      </c>
      <c r="H399">
        <f>MONTH(INDEX(orders!D:D,MATCH(A399, orders!A:A,0)))</f>
        <v>12</v>
      </c>
      <c r="I399" t="str">
        <f>VLOOKUP(VLOOKUP(B399,products!A:F,6,0),categories!A:B,2,0)</f>
        <v>Confections</v>
      </c>
      <c r="J399" t="str">
        <f>VLOOKUP(VLOOKUP(A399,orders!A:B,2,0),customers!A:F,6,0)</f>
        <v>Portugal</v>
      </c>
      <c r="K399" t="str">
        <f>VLOOKUP(VLOOKUP(A399,orders!A:C,3,0),employees!A:B,2,0)</f>
        <v>Steven Buchanan</v>
      </c>
    </row>
    <row r="400" spans="1:11" x14ac:dyDescent="0.25">
      <c r="A400">
        <v>10397</v>
      </c>
      <c r="B400">
        <v>51</v>
      </c>
      <c r="C400">
        <v>42.4</v>
      </c>
      <c r="D400">
        <v>18</v>
      </c>
      <c r="E400">
        <v>0.15</v>
      </c>
      <c r="F400">
        <f t="shared" si="6"/>
        <v>648.71999999999991</v>
      </c>
      <c r="G400">
        <f>YEAR(VLOOKUP(A400,orders!A:D,4,0))</f>
        <v>2013</v>
      </c>
      <c r="H400">
        <f>MONTH(INDEX(orders!D:D,MATCH(A400, orders!A:A,0)))</f>
        <v>12</v>
      </c>
      <c r="I400" t="str">
        <f>VLOOKUP(VLOOKUP(B400,products!A:F,6,0),categories!A:B,2,0)</f>
        <v>Produce</v>
      </c>
      <c r="J400" t="str">
        <f>VLOOKUP(VLOOKUP(A400,orders!A:B,2,0),customers!A:F,6,0)</f>
        <v>Portugal</v>
      </c>
      <c r="K400" t="str">
        <f>VLOOKUP(VLOOKUP(A400,orders!A:C,3,0),employees!A:B,2,0)</f>
        <v>Steven Buchanan</v>
      </c>
    </row>
    <row r="401" spans="1:11" x14ac:dyDescent="0.25">
      <c r="A401">
        <v>10398</v>
      </c>
      <c r="B401">
        <v>35</v>
      </c>
      <c r="C401">
        <v>14.4</v>
      </c>
      <c r="D401">
        <v>30</v>
      </c>
      <c r="E401">
        <v>0</v>
      </c>
      <c r="F401">
        <f t="shared" si="6"/>
        <v>432</v>
      </c>
      <c r="G401">
        <f>YEAR(VLOOKUP(A401,orders!A:D,4,0))</f>
        <v>2013</v>
      </c>
      <c r="H401">
        <f>MONTH(INDEX(orders!D:D,MATCH(A401, orders!A:A,0)))</f>
        <v>12</v>
      </c>
      <c r="I401" t="str">
        <f>VLOOKUP(VLOOKUP(B401,products!A:F,6,0),categories!A:B,2,0)</f>
        <v>Beverages</v>
      </c>
      <c r="J401" t="str">
        <f>VLOOKUP(VLOOKUP(A401,orders!A:B,2,0),customers!A:F,6,0)</f>
        <v>USA</v>
      </c>
      <c r="K401" t="str">
        <f>VLOOKUP(VLOOKUP(A401,orders!A:C,3,0),employees!A:B,2,0)</f>
        <v>Andrew Fuller</v>
      </c>
    </row>
    <row r="402" spans="1:11" x14ac:dyDescent="0.25">
      <c r="A402">
        <v>10398</v>
      </c>
      <c r="B402">
        <v>55</v>
      </c>
      <c r="C402">
        <v>19.2</v>
      </c>
      <c r="D402">
        <v>120</v>
      </c>
      <c r="E402">
        <v>0.1</v>
      </c>
      <c r="F402">
        <f t="shared" si="6"/>
        <v>2073.6</v>
      </c>
      <c r="G402">
        <f>YEAR(VLOOKUP(A402,orders!A:D,4,0))</f>
        <v>2013</v>
      </c>
      <c r="H402">
        <f>MONTH(INDEX(orders!D:D,MATCH(A402, orders!A:A,0)))</f>
        <v>12</v>
      </c>
      <c r="I402" t="str">
        <f>VLOOKUP(VLOOKUP(B402,products!A:F,6,0),categories!A:B,2,0)</f>
        <v>Meat &amp; Poultry</v>
      </c>
      <c r="J402" t="str">
        <f>VLOOKUP(VLOOKUP(A402,orders!A:B,2,0),customers!A:F,6,0)</f>
        <v>USA</v>
      </c>
      <c r="K402" t="str">
        <f>VLOOKUP(VLOOKUP(A402,orders!A:C,3,0),employees!A:B,2,0)</f>
        <v>Andrew Fuller</v>
      </c>
    </row>
    <row r="403" spans="1:11" x14ac:dyDescent="0.25">
      <c r="A403">
        <v>10399</v>
      </c>
      <c r="B403">
        <v>68</v>
      </c>
      <c r="C403">
        <v>10</v>
      </c>
      <c r="D403">
        <v>60</v>
      </c>
      <c r="E403">
        <v>0</v>
      </c>
      <c r="F403">
        <f t="shared" si="6"/>
        <v>600</v>
      </c>
      <c r="G403">
        <f>YEAR(VLOOKUP(A403,orders!A:D,4,0))</f>
        <v>2013</v>
      </c>
      <c r="H403">
        <f>MONTH(INDEX(orders!D:D,MATCH(A403, orders!A:A,0)))</f>
        <v>12</v>
      </c>
      <c r="I403" t="str">
        <f>VLOOKUP(VLOOKUP(B403,products!A:F,6,0),categories!A:B,2,0)</f>
        <v>Confections</v>
      </c>
      <c r="J403" t="str">
        <f>VLOOKUP(VLOOKUP(A403,orders!A:B,2,0),customers!A:F,6,0)</f>
        <v>Denmark</v>
      </c>
      <c r="K403" t="str">
        <f>VLOOKUP(VLOOKUP(A403,orders!A:C,3,0),employees!A:B,2,0)</f>
        <v>Laura Callahan</v>
      </c>
    </row>
    <row r="404" spans="1:11" x14ac:dyDescent="0.25">
      <c r="A404">
        <v>10399</v>
      </c>
      <c r="B404">
        <v>71</v>
      </c>
      <c r="C404">
        <v>17.2</v>
      </c>
      <c r="D404">
        <v>30</v>
      </c>
      <c r="E404">
        <v>0</v>
      </c>
      <c r="F404">
        <f t="shared" si="6"/>
        <v>516</v>
      </c>
      <c r="G404">
        <f>YEAR(VLOOKUP(A404,orders!A:D,4,0))</f>
        <v>2013</v>
      </c>
      <c r="H404">
        <f>MONTH(INDEX(orders!D:D,MATCH(A404, orders!A:A,0)))</f>
        <v>12</v>
      </c>
      <c r="I404" t="str">
        <f>VLOOKUP(VLOOKUP(B404,products!A:F,6,0),categories!A:B,2,0)</f>
        <v>Dairy Products</v>
      </c>
      <c r="J404" t="str">
        <f>VLOOKUP(VLOOKUP(A404,orders!A:B,2,0),customers!A:F,6,0)</f>
        <v>Denmark</v>
      </c>
      <c r="K404" t="str">
        <f>VLOOKUP(VLOOKUP(A404,orders!A:C,3,0),employees!A:B,2,0)</f>
        <v>Laura Callahan</v>
      </c>
    </row>
    <row r="405" spans="1:11" x14ac:dyDescent="0.25">
      <c r="A405">
        <v>10399</v>
      </c>
      <c r="B405">
        <v>76</v>
      </c>
      <c r="C405">
        <v>14.4</v>
      </c>
      <c r="D405">
        <v>35</v>
      </c>
      <c r="E405">
        <v>0</v>
      </c>
      <c r="F405">
        <f t="shared" si="6"/>
        <v>504</v>
      </c>
      <c r="G405">
        <f>YEAR(VLOOKUP(A405,orders!A:D,4,0))</f>
        <v>2013</v>
      </c>
      <c r="H405">
        <f>MONTH(INDEX(orders!D:D,MATCH(A405, orders!A:A,0)))</f>
        <v>12</v>
      </c>
      <c r="I405" t="str">
        <f>VLOOKUP(VLOOKUP(B405,products!A:F,6,0),categories!A:B,2,0)</f>
        <v>Beverages</v>
      </c>
      <c r="J405" t="str">
        <f>VLOOKUP(VLOOKUP(A405,orders!A:B,2,0),customers!A:F,6,0)</f>
        <v>Denmark</v>
      </c>
      <c r="K405" t="str">
        <f>VLOOKUP(VLOOKUP(A405,orders!A:C,3,0),employees!A:B,2,0)</f>
        <v>Laura Callahan</v>
      </c>
    </row>
    <row r="406" spans="1:11" x14ac:dyDescent="0.25">
      <c r="A406">
        <v>10399</v>
      </c>
      <c r="B406">
        <v>77</v>
      </c>
      <c r="C406">
        <v>10.4</v>
      </c>
      <c r="D406">
        <v>14</v>
      </c>
      <c r="E406">
        <v>0</v>
      </c>
      <c r="F406">
        <f t="shared" si="6"/>
        <v>145.6</v>
      </c>
      <c r="G406">
        <f>YEAR(VLOOKUP(A406,orders!A:D,4,0))</f>
        <v>2013</v>
      </c>
      <c r="H406">
        <f>MONTH(INDEX(orders!D:D,MATCH(A406, orders!A:A,0)))</f>
        <v>12</v>
      </c>
      <c r="I406" t="str">
        <f>VLOOKUP(VLOOKUP(B406,products!A:F,6,0),categories!A:B,2,0)</f>
        <v>Condiments</v>
      </c>
      <c r="J406" t="str">
        <f>VLOOKUP(VLOOKUP(A406,orders!A:B,2,0),customers!A:F,6,0)</f>
        <v>Denmark</v>
      </c>
      <c r="K406" t="str">
        <f>VLOOKUP(VLOOKUP(A406,orders!A:C,3,0),employees!A:B,2,0)</f>
        <v>Laura Callahan</v>
      </c>
    </row>
    <row r="407" spans="1:11" x14ac:dyDescent="0.25">
      <c r="A407">
        <v>10400</v>
      </c>
      <c r="B407">
        <v>29</v>
      </c>
      <c r="C407">
        <v>99</v>
      </c>
      <c r="D407">
        <v>21</v>
      </c>
      <c r="E407">
        <v>0</v>
      </c>
      <c r="F407">
        <f t="shared" si="6"/>
        <v>2079</v>
      </c>
      <c r="G407">
        <f>YEAR(VLOOKUP(A407,orders!A:D,4,0))</f>
        <v>2014</v>
      </c>
      <c r="H407">
        <f>MONTH(INDEX(orders!D:D,MATCH(A407, orders!A:A,0)))</f>
        <v>1</v>
      </c>
      <c r="I407" t="str">
        <f>VLOOKUP(VLOOKUP(B407,products!A:F,6,0),categories!A:B,2,0)</f>
        <v>Meat &amp; Poultry</v>
      </c>
      <c r="J407" t="str">
        <f>VLOOKUP(VLOOKUP(A407,orders!A:B,2,0),customers!A:F,6,0)</f>
        <v>UK</v>
      </c>
      <c r="K407" t="str">
        <f>VLOOKUP(VLOOKUP(A407,orders!A:C,3,0),employees!A:B,2,0)</f>
        <v>Nancy Davolio</v>
      </c>
    </row>
    <row r="408" spans="1:11" x14ac:dyDescent="0.25">
      <c r="A408">
        <v>10400</v>
      </c>
      <c r="B408">
        <v>35</v>
      </c>
      <c r="C408">
        <v>14.4</v>
      </c>
      <c r="D408">
        <v>35</v>
      </c>
      <c r="E408">
        <v>0</v>
      </c>
      <c r="F408">
        <f t="shared" si="6"/>
        <v>504</v>
      </c>
      <c r="G408">
        <f>YEAR(VLOOKUP(A408,orders!A:D,4,0))</f>
        <v>2014</v>
      </c>
      <c r="H408">
        <f>MONTH(INDEX(orders!D:D,MATCH(A408, orders!A:A,0)))</f>
        <v>1</v>
      </c>
      <c r="I408" t="str">
        <f>VLOOKUP(VLOOKUP(B408,products!A:F,6,0),categories!A:B,2,0)</f>
        <v>Beverages</v>
      </c>
      <c r="J408" t="str">
        <f>VLOOKUP(VLOOKUP(A408,orders!A:B,2,0),customers!A:F,6,0)</f>
        <v>UK</v>
      </c>
      <c r="K408" t="str">
        <f>VLOOKUP(VLOOKUP(A408,orders!A:C,3,0),employees!A:B,2,0)</f>
        <v>Nancy Davolio</v>
      </c>
    </row>
    <row r="409" spans="1:11" x14ac:dyDescent="0.25">
      <c r="A409">
        <v>10400</v>
      </c>
      <c r="B409">
        <v>49</v>
      </c>
      <c r="C409">
        <v>16</v>
      </c>
      <c r="D409">
        <v>30</v>
      </c>
      <c r="E409">
        <v>0</v>
      </c>
      <c r="F409">
        <f t="shared" si="6"/>
        <v>480</v>
      </c>
      <c r="G409">
        <f>YEAR(VLOOKUP(A409,orders!A:D,4,0))</f>
        <v>2014</v>
      </c>
      <c r="H409">
        <f>MONTH(INDEX(orders!D:D,MATCH(A409, orders!A:A,0)))</f>
        <v>1</v>
      </c>
      <c r="I409" t="str">
        <f>VLOOKUP(VLOOKUP(B409,products!A:F,6,0),categories!A:B,2,0)</f>
        <v>Confections</v>
      </c>
      <c r="J409" t="str">
        <f>VLOOKUP(VLOOKUP(A409,orders!A:B,2,0),customers!A:F,6,0)</f>
        <v>UK</v>
      </c>
      <c r="K409" t="str">
        <f>VLOOKUP(VLOOKUP(A409,orders!A:C,3,0),employees!A:B,2,0)</f>
        <v>Nancy Davolio</v>
      </c>
    </row>
    <row r="410" spans="1:11" x14ac:dyDescent="0.25">
      <c r="A410">
        <v>10401</v>
      </c>
      <c r="B410">
        <v>30</v>
      </c>
      <c r="C410">
        <v>20.7</v>
      </c>
      <c r="D410">
        <v>18</v>
      </c>
      <c r="E410">
        <v>0</v>
      </c>
      <c r="F410">
        <f t="shared" si="6"/>
        <v>372.59999999999997</v>
      </c>
      <c r="G410">
        <f>YEAR(VLOOKUP(A410,orders!A:D,4,0))</f>
        <v>2014</v>
      </c>
      <c r="H410">
        <f>MONTH(INDEX(orders!D:D,MATCH(A410, orders!A:A,0)))</f>
        <v>1</v>
      </c>
      <c r="I410" t="str">
        <f>VLOOKUP(VLOOKUP(B410,products!A:F,6,0),categories!A:B,2,0)</f>
        <v>Seafood</v>
      </c>
      <c r="J410" t="str">
        <f>VLOOKUP(VLOOKUP(A410,orders!A:B,2,0),customers!A:F,6,0)</f>
        <v>USA</v>
      </c>
      <c r="K410" t="str">
        <f>VLOOKUP(VLOOKUP(A410,orders!A:C,3,0),employees!A:B,2,0)</f>
        <v>Nancy Davolio</v>
      </c>
    </row>
    <row r="411" spans="1:11" x14ac:dyDescent="0.25">
      <c r="A411">
        <v>10401</v>
      </c>
      <c r="B411">
        <v>56</v>
      </c>
      <c r="C411">
        <v>30.4</v>
      </c>
      <c r="D411">
        <v>70</v>
      </c>
      <c r="E411">
        <v>0</v>
      </c>
      <c r="F411">
        <f t="shared" si="6"/>
        <v>2128</v>
      </c>
      <c r="G411">
        <f>YEAR(VLOOKUP(A411,orders!A:D,4,0))</f>
        <v>2014</v>
      </c>
      <c r="H411">
        <f>MONTH(INDEX(orders!D:D,MATCH(A411, orders!A:A,0)))</f>
        <v>1</v>
      </c>
      <c r="I411" t="str">
        <f>VLOOKUP(VLOOKUP(B411,products!A:F,6,0),categories!A:B,2,0)</f>
        <v>Grains &amp; Cereals</v>
      </c>
      <c r="J411" t="str">
        <f>VLOOKUP(VLOOKUP(A411,orders!A:B,2,0),customers!A:F,6,0)</f>
        <v>USA</v>
      </c>
      <c r="K411" t="str">
        <f>VLOOKUP(VLOOKUP(A411,orders!A:C,3,0),employees!A:B,2,0)</f>
        <v>Nancy Davolio</v>
      </c>
    </row>
    <row r="412" spans="1:11" x14ac:dyDescent="0.25">
      <c r="A412">
        <v>10401</v>
      </c>
      <c r="B412">
        <v>65</v>
      </c>
      <c r="C412">
        <v>16.8</v>
      </c>
      <c r="D412">
        <v>20</v>
      </c>
      <c r="E412">
        <v>0</v>
      </c>
      <c r="F412">
        <f t="shared" si="6"/>
        <v>336</v>
      </c>
      <c r="G412">
        <f>YEAR(VLOOKUP(A412,orders!A:D,4,0))</f>
        <v>2014</v>
      </c>
      <c r="H412">
        <f>MONTH(INDEX(orders!D:D,MATCH(A412, orders!A:A,0)))</f>
        <v>1</v>
      </c>
      <c r="I412" t="str">
        <f>VLOOKUP(VLOOKUP(B412,products!A:F,6,0),categories!A:B,2,0)</f>
        <v>Condiments</v>
      </c>
      <c r="J412" t="str">
        <f>VLOOKUP(VLOOKUP(A412,orders!A:B,2,0),customers!A:F,6,0)</f>
        <v>USA</v>
      </c>
      <c r="K412" t="str">
        <f>VLOOKUP(VLOOKUP(A412,orders!A:C,3,0),employees!A:B,2,0)</f>
        <v>Nancy Davolio</v>
      </c>
    </row>
    <row r="413" spans="1:11" x14ac:dyDescent="0.25">
      <c r="A413">
        <v>10401</v>
      </c>
      <c r="B413">
        <v>71</v>
      </c>
      <c r="C413">
        <v>17.2</v>
      </c>
      <c r="D413">
        <v>60</v>
      </c>
      <c r="E413">
        <v>0</v>
      </c>
      <c r="F413">
        <f t="shared" si="6"/>
        <v>1032</v>
      </c>
      <c r="G413">
        <f>YEAR(VLOOKUP(A413,orders!A:D,4,0))</f>
        <v>2014</v>
      </c>
      <c r="H413">
        <f>MONTH(INDEX(orders!D:D,MATCH(A413, orders!A:A,0)))</f>
        <v>1</v>
      </c>
      <c r="I413" t="str">
        <f>VLOOKUP(VLOOKUP(B413,products!A:F,6,0),categories!A:B,2,0)</f>
        <v>Dairy Products</v>
      </c>
      <c r="J413" t="str">
        <f>VLOOKUP(VLOOKUP(A413,orders!A:B,2,0),customers!A:F,6,0)</f>
        <v>USA</v>
      </c>
      <c r="K413" t="str">
        <f>VLOOKUP(VLOOKUP(A413,orders!A:C,3,0),employees!A:B,2,0)</f>
        <v>Nancy Davolio</v>
      </c>
    </row>
    <row r="414" spans="1:11" x14ac:dyDescent="0.25">
      <c r="A414">
        <v>10402</v>
      </c>
      <c r="B414">
        <v>23</v>
      </c>
      <c r="C414">
        <v>7.2</v>
      </c>
      <c r="D414">
        <v>60</v>
      </c>
      <c r="E414">
        <v>0</v>
      </c>
      <c r="F414">
        <f t="shared" si="6"/>
        <v>432</v>
      </c>
      <c r="G414">
        <f>YEAR(VLOOKUP(A414,orders!A:D,4,0))</f>
        <v>2014</v>
      </c>
      <c r="H414">
        <f>MONTH(INDEX(orders!D:D,MATCH(A414, orders!A:A,0)))</f>
        <v>1</v>
      </c>
      <c r="I414" t="str">
        <f>VLOOKUP(VLOOKUP(B414,products!A:F,6,0),categories!A:B,2,0)</f>
        <v>Grains &amp; Cereals</v>
      </c>
      <c r="J414" t="str">
        <f>VLOOKUP(VLOOKUP(A414,orders!A:B,2,0),customers!A:F,6,0)</f>
        <v>Austria</v>
      </c>
      <c r="K414" t="str">
        <f>VLOOKUP(VLOOKUP(A414,orders!A:C,3,0),employees!A:B,2,0)</f>
        <v>Laura Callahan</v>
      </c>
    </row>
    <row r="415" spans="1:11" x14ac:dyDescent="0.25">
      <c r="A415">
        <v>10402</v>
      </c>
      <c r="B415">
        <v>63</v>
      </c>
      <c r="C415">
        <v>35.1</v>
      </c>
      <c r="D415">
        <v>65</v>
      </c>
      <c r="E415">
        <v>0</v>
      </c>
      <c r="F415">
        <f t="shared" si="6"/>
        <v>2281.5</v>
      </c>
      <c r="G415">
        <f>YEAR(VLOOKUP(A415,orders!A:D,4,0))</f>
        <v>2014</v>
      </c>
      <c r="H415">
        <f>MONTH(INDEX(orders!D:D,MATCH(A415, orders!A:A,0)))</f>
        <v>1</v>
      </c>
      <c r="I415" t="str">
        <f>VLOOKUP(VLOOKUP(B415,products!A:F,6,0),categories!A:B,2,0)</f>
        <v>Condiments</v>
      </c>
      <c r="J415" t="str">
        <f>VLOOKUP(VLOOKUP(A415,orders!A:B,2,0),customers!A:F,6,0)</f>
        <v>Austria</v>
      </c>
      <c r="K415" t="str">
        <f>VLOOKUP(VLOOKUP(A415,orders!A:C,3,0),employees!A:B,2,0)</f>
        <v>Laura Callahan</v>
      </c>
    </row>
    <row r="416" spans="1:11" x14ac:dyDescent="0.25">
      <c r="A416">
        <v>10403</v>
      </c>
      <c r="B416">
        <v>16</v>
      </c>
      <c r="C416">
        <v>13.9</v>
      </c>
      <c r="D416">
        <v>21</v>
      </c>
      <c r="E416">
        <v>0.15</v>
      </c>
      <c r="F416">
        <f t="shared" si="6"/>
        <v>248.11500000000001</v>
      </c>
      <c r="G416">
        <f>YEAR(VLOOKUP(A416,orders!A:D,4,0))</f>
        <v>2014</v>
      </c>
      <c r="H416">
        <f>MONTH(INDEX(orders!D:D,MATCH(A416, orders!A:A,0)))</f>
        <v>1</v>
      </c>
      <c r="I416" t="str">
        <f>VLOOKUP(VLOOKUP(B416,products!A:F,6,0),categories!A:B,2,0)</f>
        <v>Confections</v>
      </c>
      <c r="J416" t="str">
        <f>VLOOKUP(VLOOKUP(A416,orders!A:B,2,0),customers!A:F,6,0)</f>
        <v>Austria</v>
      </c>
      <c r="K416" t="str">
        <f>VLOOKUP(VLOOKUP(A416,orders!A:C,3,0),employees!A:B,2,0)</f>
        <v>Margaret Peacock</v>
      </c>
    </row>
    <row r="417" spans="1:11" x14ac:dyDescent="0.25">
      <c r="A417">
        <v>10403</v>
      </c>
      <c r="B417">
        <v>48</v>
      </c>
      <c r="C417">
        <v>10.199999999999999</v>
      </c>
      <c r="D417">
        <v>70</v>
      </c>
      <c r="E417">
        <v>0.15</v>
      </c>
      <c r="F417">
        <f t="shared" si="6"/>
        <v>606.9</v>
      </c>
      <c r="G417">
        <f>YEAR(VLOOKUP(A417,orders!A:D,4,0))</f>
        <v>2014</v>
      </c>
      <c r="H417">
        <f>MONTH(INDEX(orders!D:D,MATCH(A417, orders!A:A,0)))</f>
        <v>1</v>
      </c>
      <c r="I417" t="str">
        <f>VLOOKUP(VLOOKUP(B417,products!A:F,6,0),categories!A:B,2,0)</f>
        <v>Confections</v>
      </c>
      <c r="J417" t="str">
        <f>VLOOKUP(VLOOKUP(A417,orders!A:B,2,0),customers!A:F,6,0)</f>
        <v>Austria</v>
      </c>
      <c r="K417" t="str">
        <f>VLOOKUP(VLOOKUP(A417,orders!A:C,3,0),employees!A:B,2,0)</f>
        <v>Margaret Peacock</v>
      </c>
    </row>
    <row r="418" spans="1:11" x14ac:dyDescent="0.25">
      <c r="A418">
        <v>10404</v>
      </c>
      <c r="B418">
        <v>26</v>
      </c>
      <c r="C418">
        <v>24.9</v>
      </c>
      <c r="D418">
        <v>30</v>
      </c>
      <c r="E418">
        <v>0.05</v>
      </c>
      <c r="F418">
        <f t="shared" si="6"/>
        <v>709.65</v>
      </c>
      <c r="G418">
        <f>YEAR(VLOOKUP(A418,orders!A:D,4,0))</f>
        <v>2014</v>
      </c>
      <c r="H418">
        <f>MONTH(INDEX(orders!D:D,MATCH(A418, orders!A:A,0)))</f>
        <v>1</v>
      </c>
      <c r="I418" t="str">
        <f>VLOOKUP(VLOOKUP(B418,products!A:F,6,0),categories!A:B,2,0)</f>
        <v>Confections</v>
      </c>
      <c r="J418" t="str">
        <f>VLOOKUP(VLOOKUP(A418,orders!A:B,2,0),customers!A:F,6,0)</f>
        <v>Italy</v>
      </c>
      <c r="K418" t="str">
        <f>VLOOKUP(VLOOKUP(A418,orders!A:C,3,0),employees!A:B,2,0)</f>
        <v>Andrew Fuller</v>
      </c>
    </row>
    <row r="419" spans="1:11" x14ac:dyDescent="0.25">
      <c r="A419">
        <v>10404</v>
      </c>
      <c r="B419">
        <v>42</v>
      </c>
      <c r="C419">
        <v>11.2</v>
      </c>
      <c r="D419">
        <v>40</v>
      </c>
      <c r="E419">
        <v>0.05</v>
      </c>
      <c r="F419">
        <f t="shared" si="6"/>
        <v>425.59999999999997</v>
      </c>
      <c r="G419">
        <f>YEAR(VLOOKUP(A419,orders!A:D,4,0))</f>
        <v>2014</v>
      </c>
      <c r="H419">
        <f>MONTH(INDEX(orders!D:D,MATCH(A419, orders!A:A,0)))</f>
        <v>1</v>
      </c>
      <c r="I419" t="str">
        <f>VLOOKUP(VLOOKUP(B419,products!A:F,6,0),categories!A:B,2,0)</f>
        <v>Grains &amp; Cereals</v>
      </c>
      <c r="J419" t="str">
        <f>VLOOKUP(VLOOKUP(A419,orders!A:B,2,0),customers!A:F,6,0)</f>
        <v>Italy</v>
      </c>
      <c r="K419" t="str">
        <f>VLOOKUP(VLOOKUP(A419,orders!A:C,3,0),employees!A:B,2,0)</f>
        <v>Andrew Fuller</v>
      </c>
    </row>
    <row r="420" spans="1:11" x14ac:dyDescent="0.25">
      <c r="A420">
        <v>10404</v>
      </c>
      <c r="B420">
        <v>49</v>
      </c>
      <c r="C420">
        <v>16</v>
      </c>
      <c r="D420">
        <v>30</v>
      </c>
      <c r="E420">
        <v>0.05</v>
      </c>
      <c r="F420">
        <f t="shared" si="6"/>
        <v>456</v>
      </c>
      <c r="G420">
        <f>YEAR(VLOOKUP(A420,orders!A:D,4,0))</f>
        <v>2014</v>
      </c>
      <c r="H420">
        <f>MONTH(INDEX(orders!D:D,MATCH(A420, orders!A:A,0)))</f>
        <v>1</v>
      </c>
      <c r="I420" t="str">
        <f>VLOOKUP(VLOOKUP(B420,products!A:F,6,0),categories!A:B,2,0)</f>
        <v>Confections</v>
      </c>
      <c r="J420" t="str">
        <f>VLOOKUP(VLOOKUP(A420,orders!A:B,2,0),customers!A:F,6,0)</f>
        <v>Italy</v>
      </c>
      <c r="K420" t="str">
        <f>VLOOKUP(VLOOKUP(A420,orders!A:C,3,0),employees!A:B,2,0)</f>
        <v>Andrew Fuller</v>
      </c>
    </row>
    <row r="421" spans="1:11" x14ac:dyDescent="0.25">
      <c r="A421">
        <v>10405</v>
      </c>
      <c r="B421">
        <v>3</v>
      </c>
      <c r="C421">
        <v>8</v>
      </c>
      <c r="D421">
        <v>50</v>
      </c>
      <c r="E421">
        <v>0</v>
      </c>
      <c r="F421">
        <f t="shared" si="6"/>
        <v>400</v>
      </c>
      <c r="G421">
        <f>YEAR(VLOOKUP(A421,orders!A:D,4,0))</f>
        <v>2014</v>
      </c>
      <c r="H421">
        <f>MONTH(INDEX(orders!D:D,MATCH(A421, orders!A:A,0)))</f>
        <v>1</v>
      </c>
      <c r="I421" t="str">
        <f>VLOOKUP(VLOOKUP(B421,products!A:F,6,0),categories!A:B,2,0)</f>
        <v>Condiments</v>
      </c>
      <c r="J421" t="str">
        <f>VLOOKUP(VLOOKUP(A421,orders!A:B,2,0),customers!A:F,6,0)</f>
        <v>Venezuela</v>
      </c>
      <c r="K421" t="str">
        <f>VLOOKUP(VLOOKUP(A421,orders!A:C,3,0),employees!A:B,2,0)</f>
        <v>Nancy Davolio</v>
      </c>
    </row>
    <row r="422" spans="1:11" x14ac:dyDescent="0.25">
      <c r="A422">
        <v>10406</v>
      </c>
      <c r="B422">
        <v>1</v>
      </c>
      <c r="C422">
        <v>14.4</v>
      </c>
      <c r="D422">
        <v>10</v>
      </c>
      <c r="E422">
        <v>0</v>
      </c>
      <c r="F422">
        <f t="shared" si="6"/>
        <v>144</v>
      </c>
      <c r="G422">
        <f>YEAR(VLOOKUP(A422,orders!A:D,4,0))</f>
        <v>2014</v>
      </c>
      <c r="H422">
        <f>MONTH(INDEX(orders!D:D,MATCH(A422, orders!A:A,0)))</f>
        <v>1</v>
      </c>
      <c r="I422" t="str">
        <f>VLOOKUP(VLOOKUP(B422,products!A:F,6,0),categories!A:B,2,0)</f>
        <v>Beverages</v>
      </c>
      <c r="J422" t="str">
        <f>VLOOKUP(VLOOKUP(A422,orders!A:B,2,0),customers!A:F,6,0)</f>
        <v>Brazil</v>
      </c>
      <c r="K422" t="str">
        <f>VLOOKUP(VLOOKUP(A422,orders!A:C,3,0),employees!A:B,2,0)</f>
        <v>Robert King</v>
      </c>
    </row>
    <row r="423" spans="1:11" x14ac:dyDescent="0.25">
      <c r="A423">
        <v>10406</v>
      </c>
      <c r="B423">
        <v>21</v>
      </c>
      <c r="C423">
        <v>8</v>
      </c>
      <c r="D423">
        <v>30</v>
      </c>
      <c r="E423">
        <v>0.1</v>
      </c>
      <c r="F423">
        <f t="shared" si="6"/>
        <v>216</v>
      </c>
      <c r="G423">
        <f>YEAR(VLOOKUP(A423,orders!A:D,4,0))</f>
        <v>2014</v>
      </c>
      <c r="H423">
        <f>MONTH(INDEX(orders!D:D,MATCH(A423, orders!A:A,0)))</f>
        <v>1</v>
      </c>
      <c r="I423" t="str">
        <f>VLOOKUP(VLOOKUP(B423,products!A:F,6,0),categories!A:B,2,0)</f>
        <v>Confections</v>
      </c>
      <c r="J423" t="str">
        <f>VLOOKUP(VLOOKUP(A423,orders!A:B,2,0),customers!A:F,6,0)</f>
        <v>Brazil</v>
      </c>
      <c r="K423" t="str">
        <f>VLOOKUP(VLOOKUP(A423,orders!A:C,3,0),employees!A:B,2,0)</f>
        <v>Robert King</v>
      </c>
    </row>
    <row r="424" spans="1:11" x14ac:dyDescent="0.25">
      <c r="A424">
        <v>10406</v>
      </c>
      <c r="B424">
        <v>28</v>
      </c>
      <c r="C424">
        <v>36.4</v>
      </c>
      <c r="D424">
        <v>42</v>
      </c>
      <c r="E424">
        <v>0.1</v>
      </c>
      <c r="F424">
        <f t="shared" si="6"/>
        <v>1375.92</v>
      </c>
      <c r="G424">
        <f>YEAR(VLOOKUP(A424,orders!A:D,4,0))</f>
        <v>2014</v>
      </c>
      <c r="H424">
        <f>MONTH(INDEX(orders!D:D,MATCH(A424, orders!A:A,0)))</f>
        <v>1</v>
      </c>
      <c r="I424" t="str">
        <f>VLOOKUP(VLOOKUP(B424,products!A:F,6,0),categories!A:B,2,0)</f>
        <v>Produce</v>
      </c>
      <c r="J424" t="str">
        <f>VLOOKUP(VLOOKUP(A424,orders!A:B,2,0),customers!A:F,6,0)</f>
        <v>Brazil</v>
      </c>
      <c r="K424" t="str">
        <f>VLOOKUP(VLOOKUP(A424,orders!A:C,3,0),employees!A:B,2,0)</f>
        <v>Robert King</v>
      </c>
    </row>
    <row r="425" spans="1:11" x14ac:dyDescent="0.25">
      <c r="A425">
        <v>10406</v>
      </c>
      <c r="B425">
        <v>36</v>
      </c>
      <c r="C425">
        <v>15.2</v>
      </c>
      <c r="D425">
        <v>5</v>
      </c>
      <c r="E425">
        <v>0.1</v>
      </c>
      <c r="F425">
        <f t="shared" si="6"/>
        <v>68.400000000000006</v>
      </c>
      <c r="G425">
        <f>YEAR(VLOOKUP(A425,orders!A:D,4,0))</f>
        <v>2014</v>
      </c>
      <c r="H425">
        <f>MONTH(INDEX(orders!D:D,MATCH(A425, orders!A:A,0)))</f>
        <v>1</v>
      </c>
      <c r="I425" t="str">
        <f>VLOOKUP(VLOOKUP(B425,products!A:F,6,0),categories!A:B,2,0)</f>
        <v>Seafood</v>
      </c>
      <c r="J425" t="str">
        <f>VLOOKUP(VLOOKUP(A425,orders!A:B,2,0),customers!A:F,6,0)</f>
        <v>Brazil</v>
      </c>
      <c r="K425" t="str">
        <f>VLOOKUP(VLOOKUP(A425,orders!A:C,3,0),employees!A:B,2,0)</f>
        <v>Robert King</v>
      </c>
    </row>
    <row r="426" spans="1:11" x14ac:dyDescent="0.25">
      <c r="A426">
        <v>10406</v>
      </c>
      <c r="B426">
        <v>40</v>
      </c>
      <c r="C426">
        <v>14.7</v>
      </c>
      <c r="D426">
        <v>2</v>
      </c>
      <c r="E426">
        <v>0.1</v>
      </c>
      <c r="F426">
        <f t="shared" si="6"/>
        <v>26.46</v>
      </c>
      <c r="G426">
        <f>YEAR(VLOOKUP(A426,orders!A:D,4,0))</f>
        <v>2014</v>
      </c>
      <c r="H426">
        <f>MONTH(INDEX(orders!D:D,MATCH(A426, orders!A:A,0)))</f>
        <v>1</v>
      </c>
      <c r="I426" t="str">
        <f>VLOOKUP(VLOOKUP(B426,products!A:F,6,0),categories!A:B,2,0)</f>
        <v>Seafood</v>
      </c>
      <c r="J426" t="str">
        <f>VLOOKUP(VLOOKUP(A426,orders!A:B,2,0),customers!A:F,6,0)</f>
        <v>Brazil</v>
      </c>
      <c r="K426" t="str">
        <f>VLOOKUP(VLOOKUP(A426,orders!A:C,3,0),employees!A:B,2,0)</f>
        <v>Robert King</v>
      </c>
    </row>
    <row r="427" spans="1:11" x14ac:dyDescent="0.25">
      <c r="A427">
        <v>10407</v>
      </c>
      <c r="B427">
        <v>11</v>
      </c>
      <c r="C427">
        <v>16.8</v>
      </c>
      <c r="D427">
        <v>30</v>
      </c>
      <c r="E427">
        <v>0</v>
      </c>
      <c r="F427">
        <f t="shared" si="6"/>
        <v>504</v>
      </c>
      <c r="G427">
        <f>YEAR(VLOOKUP(A427,orders!A:D,4,0))</f>
        <v>2014</v>
      </c>
      <c r="H427">
        <f>MONTH(INDEX(orders!D:D,MATCH(A427, orders!A:A,0)))</f>
        <v>1</v>
      </c>
      <c r="I427" t="str">
        <f>VLOOKUP(VLOOKUP(B427,products!A:F,6,0),categories!A:B,2,0)</f>
        <v>Dairy Products</v>
      </c>
      <c r="J427" t="str">
        <f>VLOOKUP(VLOOKUP(A427,orders!A:B,2,0),customers!A:F,6,0)</f>
        <v>Germany</v>
      </c>
      <c r="K427" t="str">
        <f>VLOOKUP(VLOOKUP(A427,orders!A:C,3,0),employees!A:B,2,0)</f>
        <v>Andrew Fuller</v>
      </c>
    </row>
    <row r="428" spans="1:11" x14ac:dyDescent="0.25">
      <c r="A428">
        <v>10407</v>
      </c>
      <c r="B428">
        <v>69</v>
      </c>
      <c r="C428">
        <v>28.8</v>
      </c>
      <c r="D428">
        <v>15</v>
      </c>
      <c r="E428">
        <v>0</v>
      </c>
      <c r="F428">
        <f t="shared" si="6"/>
        <v>432</v>
      </c>
      <c r="G428">
        <f>YEAR(VLOOKUP(A428,orders!A:D,4,0))</f>
        <v>2014</v>
      </c>
      <c r="H428">
        <f>MONTH(INDEX(orders!D:D,MATCH(A428, orders!A:A,0)))</f>
        <v>1</v>
      </c>
      <c r="I428" t="str">
        <f>VLOOKUP(VLOOKUP(B428,products!A:F,6,0),categories!A:B,2,0)</f>
        <v>Dairy Products</v>
      </c>
      <c r="J428" t="str">
        <f>VLOOKUP(VLOOKUP(A428,orders!A:B,2,0),customers!A:F,6,0)</f>
        <v>Germany</v>
      </c>
      <c r="K428" t="str">
        <f>VLOOKUP(VLOOKUP(A428,orders!A:C,3,0),employees!A:B,2,0)</f>
        <v>Andrew Fuller</v>
      </c>
    </row>
    <row r="429" spans="1:11" x14ac:dyDescent="0.25">
      <c r="A429">
        <v>10407</v>
      </c>
      <c r="B429">
        <v>71</v>
      </c>
      <c r="C429">
        <v>17.2</v>
      </c>
      <c r="D429">
        <v>15</v>
      </c>
      <c r="E429">
        <v>0</v>
      </c>
      <c r="F429">
        <f t="shared" si="6"/>
        <v>258</v>
      </c>
      <c r="G429">
        <f>YEAR(VLOOKUP(A429,orders!A:D,4,0))</f>
        <v>2014</v>
      </c>
      <c r="H429">
        <f>MONTH(INDEX(orders!D:D,MATCH(A429, orders!A:A,0)))</f>
        <v>1</v>
      </c>
      <c r="I429" t="str">
        <f>VLOOKUP(VLOOKUP(B429,products!A:F,6,0),categories!A:B,2,0)</f>
        <v>Dairy Products</v>
      </c>
      <c r="J429" t="str">
        <f>VLOOKUP(VLOOKUP(A429,orders!A:B,2,0),customers!A:F,6,0)</f>
        <v>Germany</v>
      </c>
      <c r="K429" t="str">
        <f>VLOOKUP(VLOOKUP(A429,orders!A:C,3,0),employees!A:B,2,0)</f>
        <v>Andrew Fuller</v>
      </c>
    </row>
    <row r="430" spans="1:11" x14ac:dyDescent="0.25">
      <c r="A430">
        <v>10408</v>
      </c>
      <c r="B430">
        <v>37</v>
      </c>
      <c r="C430">
        <v>20.8</v>
      </c>
      <c r="D430">
        <v>10</v>
      </c>
      <c r="E430">
        <v>0</v>
      </c>
      <c r="F430">
        <f t="shared" si="6"/>
        <v>208</v>
      </c>
      <c r="G430">
        <f>YEAR(VLOOKUP(A430,orders!A:D,4,0))</f>
        <v>2014</v>
      </c>
      <c r="H430">
        <f>MONTH(INDEX(orders!D:D,MATCH(A430, orders!A:A,0)))</f>
        <v>1</v>
      </c>
      <c r="I430" t="str">
        <f>VLOOKUP(VLOOKUP(B430,products!A:F,6,0),categories!A:B,2,0)</f>
        <v>Seafood</v>
      </c>
      <c r="J430" t="str">
        <f>VLOOKUP(VLOOKUP(A430,orders!A:B,2,0),customers!A:F,6,0)</f>
        <v>France</v>
      </c>
      <c r="K430" t="str">
        <f>VLOOKUP(VLOOKUP(A430,orders!A:C,3,0),employees!A:B,2,0)</f>
        <v>Laura Callahan</v>
      </c>
    </row>
    <row r="431" spans="1:11" x14ac:dyDescent="0.25">
      <c r="A431">
        <v>10408</v>
      </c>
      <c r="B431">
        <v>54</v>
      </c>
      <c r="C431">
        <v>5.9</v>
      </c>
      <c r="D431">
        <v>6</v>
      </c>
      <c r="E431">
        <v>0</v>
      </c>
      <c r="F431">
        <f t="shared" si="6"/>
        <v>35.400000000000006</v>
      </c>
      <c r="G431">
        <f>YEAR(VLOOKUP(A431,orders!A:D,4,0))</f>
        <v>2014</v>
      </c>
      <c r="H431">
        <f>MONTH(INDEX(orders!D:D,MATCH(A431, orders!A:A,0)))</f>
        <v>1</v>
      </c>
      <c r="I431" t="str">
        <f>VLOOKUP(VLOOKUP(B431,products!A:F,6,0),categories!A:B,2,0)</f>
        <v>Meat &amp; Poultry</v>
      </c>
      <c r="J431" t="str">
        <f>VLOOKUP(VLOOKUP(A431,orders!A:B,2,0),customers!A:F,6,0)</f>
        <v>France</v>
      </c>
      <c r="K431" t="str">
        <f>VLOOKUP(VLOOKUP(A431,orders!A:C,3,0),employees!A:B,2,0)</f>
        <v>Laura Callahan</v>
      </c>
    </row>
    <row r="432" spans="1:11" x14ac:dyDescent="0.25">
      <c r="A432">
        <v>10408</v>
      </c>
      <c r="B432">
        <v>62</v>
      </c>
      <c r="C432">
        <v>39.4</v>
      </c>
      <c r="D432">
        <v>35</v>
      </c>
      <c r="E432">
        <v>0</v>
      </c>
      <c r="F432">
        <f t="shared" si="6"/>
        <v>1379</v>
      </c>
      <c r="G432">
        <f>YEAR(VLOOKUP(A432,orders!A:D,4,0))</f>
        <v>2014</v>
      </c>
      <c r="H432">
        <f>MONTH(INDEX(orders!D:D,MATCH(A432, orders!A:A,0)))</f>
        <v>1</v>
      </c>
      <c r="I432" t="str">
        <f>VLOOKUP(VLOOKUP(B432,products!A:F,6,0),categories!A:B,2,0)</f>
        <v>Confections</v>
      </c>
      <c r="J432" t="str">
        <f>VLOOKUP(VLOOKUP(A432,orders!A:B,2,0),customers!A:F,6,0)</f>
        <v>France</v>
      </c>
      <c r="K432" t="str">
        <f>VLOOKUP(VLOOKUP(A432,orders!A:C,3,0),employees!A:B,2,0)</f>
        <v>Laura Callahan</v>
      </c>
    </row>
    <row r="433" spans="1:11" x14ac:dyDescent="0.25">
      <c r="A433">
        <v>10409</v>
      </c>
      <c r="B433">
        <v>14</v>
      </c>
      <c r="C433">
        <v>18.600000000000001</v>
      </c>
      <c r="D433">
        <v>12</v>
      </c>
      <c r="E433">
        <v>0</v>
      </c>
      <c r="F433">
        <f t="shared" si="6"/>
        <v>223.20000000000002</v>
      </c>
      <c r="G433">
        <f>YEAR(VLOOKUP(A433,orders!A:D,4,0))</f>
        <v>2014</v>
      </c>
      <c r="H433">
        <f>MONTH(INDEX(orders!D:D,MATCH(A433, orders!A:A,0)))</f>
        <v>1</v>
      </c>
      <c r="I433" t="str">
        <f>VLOOKUP(VLOOKUP(B433,products!A:F,6,0),categories!A:B,2,0)</f>
        <v>Produce</v>
      </c>
      <c r="J433" t="str">
        <f>VLOOKUP(VLOOKUP(A433,orders!A:B,2,0),customers!A:F,6,0)</f>
        <v>Argentina</v>
      </c>
      <c r="K433" t="str">
        <f>VLOOKUP(VLOOKUP(A433,orders!A:C,3,0),employees!A:B,2,0)</f>
        <v>Janet Leverling</v>
      </c>
    </row>
    <row r="434" spans="1:11" x14ac:dyDescent="0.25">
      <c r="A434">
        <v>10409</v>
      </c>
      <c r="B434">
        <v>21</v>
      </c>
      <c r="C434">
        <v>8</v>
      </c>
      <c r="D434">
        <v>12</v>
      </c>
      <c r="E434">
        <v>0</v>
      </c>
      <c r="F434">
        <f t="shared" si="6"/>
        <v>96</v>
      </c>
      <c r="G434">
        <f>YEAR(VLOOKUP(A434,orders!A:D,4,0))</f>
        <v>2014</v>
      </c>
      <c r="H434">
        <f>MONTH(INDEX(orders!D:D,MATCH(A434, orders!A:A,0)))</f>
        <v>1</v>
      </c>
      <c r="I434" t="str">
        <f>VLOOKUP(VLOOKUP(B434,products!A:F,6,0),categories!A:B,2,0)</f>
        <v>Confections</v>
      </c>
      <c r="J434" t="str">
        <f>VLOOKUP(VLOOKUP(A434,orders!A:B,2,0),customers!A:F,6,0)</f>
        <v>Argentina</v>
      </c>
      <c r="K434" t="str">
        <f>VLOOKUP(VLOOKUP(A434,orders!A:C,3,0),employees!A:B,2,0)</f>
        <v>Janet Leverling</v>
      </c>
    </row>
    <row r="435" spans="1:11" x14ac:dyDescent="0.25">
      <c r="A435">
        <v>10410</v>
      </c>
      <c r="B435">
        <v>33</v>
      </c>
      <c r="C435">
        <v>2</v>
      </c>
      <c r="D435">
        <v>49</v>
      </c>
      <c r="E435">
        <v>0</v>
      </c>
      <c r="F435">
        <f t="shared" si="6"/>
        <v>98</v>
      </c>
      <c r="G435">
        <f>YEAR(VLOOKUP(A435,orders!A:D,4,0))</f>
        <v>2014</v>
      </c>
      <c r="H435">
        <f>MONTH(INDEX(orders!D:D,MATCH(A435, orders!A:A,0)))</f>
        <v>1</v>
      </c>
      <c r="I435" t="str">
        <f>VLOOKUP(VLOOKUP(B435,products!A:F,6,0),categories!A:B,2,0)</f>
        <v>Dairy Products</v>
      </c>
      <c r="J435" t="str">
        <f>VLOOKUP(VLOOKUP(A435,orders!A:B,2,0),customers!A:F,6,0)</f>
        <v>Canada</v>
      </c>
      <c r="K435" t="str">
        <f>VLOOKUP(VLOOKUP(A435,orders!A:C,3,0),employees!A:B,2,0)</f>
        <v>Janet Leverling</v>
      </c>
    </row>
    <row r="436" spans="1:11" x14ac:dyDescent="0.25">
      <c r="A436">
        <v>10410</v>
      </c>
      <c r="B436">
        <v>59</v>
      </c>
      <c r="C436">
        <v>44</v>
      </c>
      <c r="D436">
        <v>16</v>
      </c>
      <c r="E436">
        <v>0</v>
      </c>
      <c r="F436">
        <f t="shared" si="6"/>
        <v>704</v>
      </c>
      <c r="G436">
        <f>YEAR(VLOOKUP(A436,orders!A:D,4,0))</f>
        <v>2014</v>
      </c>
      <c r="H436">
        <f>MONTH(INDEX(orders!D:D,MATCH(A436, orders!A:A,0)))</f>
        <v>1</v>
      </c>
      <c r="I436" t="str">
        <f>VLOOKUP(VLOOKUP(B436,products!A:F,6,0),categories!A:B,2,0)</f>
        <v>Dairy Products</v>
      </c>
      <c r="J436" t="str">
        <f>VLOOKUP(VLOOKUP(A436,orders!A:B,2,0),customers!A:F,6,0)</f>
        <v>Canada</v>
      </c>
      <c r="K436" t="str">
        <f>VLOOKUP(VLOOKUP(A436,orders!A:C,3,0),employees!A:B,2,0)</f>
        <v>Janet Leverling</v>
      </c>
    </row>
    <row r="437" spans="1:11" x14ac:dyDescent="0.25">
      <c r="A437">
        <v>10411</v>
      </c>
      <c r="B437">
        <v>41</v>
      </c>
      <c r="C437">
        <v>7.7</v>
      </c>
      <c r="D437">
        <v>25</v>
      </c>
      <c r="E437">
        <v>0.2</v>
      </c>
      <c r="F437">
        <f t="shared" si="6"/>
        <v>154</v>
      </c>
      <c r="G437">
        <f>YEAR(VLOOKUP(A437,orders!A:D,4,0))</f>
        <v>2014</v>
      </c>
      <c r="H437">
        <f>MONTH(INDEX(orders!D:D,MATCH(A437, orders!A:A,0)))</f>
        <v>1</v>
      </c>
      <c r="I437" t="str">
        <f>VLOOKUP(VLOOKUP(B437,products!A:F,6,0),categories!A:B,2,0)</f>
        <v>Seafood</v>
      </c>
      <c r="J437" t="str">
        <f>VLOOKUP(VLOOKUP(A437,orders!A:B,2,0),customers!A:F,6,0)</f>
        <v>Canada</v>
      </c>
      <c r="K437" t="str">
        <f>VLOOKUP(VLOOKUP(A437,orders!A:C,3,0),employees!A:B,2,0)</f>
        <v>Anne Dodsworth</v>
      </c>
    </row>
    <row r="438" spans="1:11" x14ac:dyDescent="0.25">
      <c r="A438">
        <v>10411</v>
      </c>
      <c r="B438">
        <v>44</v>
      </c>
      <c r="C438">
        <v>15.5</v>
      </c>
      <c r="D438">
        <v>40</v>
      </c>
      <c r="E438">
        <v>0.2</v>
      </c>
      <c r="F438">
        <f t="shared" si="6"/>
        <v>496</v>
      </c>
      <c r="G438">
        <f>YEAR(VLOOKUP(A438,orders!A:D,4,0))</f>
        <v>2014</v>
      </c>
      <c r="H438">
        <f>MONTH(INDEX(orders!D:D,MATCH(A438, orders!A:A,0)))</f>
        <v>1</v>
      </c>
      <c r="I438" t="str">
        <f>VLOOKUP(VLOOKUP(B438,products!A:F,6,0),categories!A:B,2,0)</f>
        <v>Condiments</v>
      </c>
      <c r="J438" t="str">
        <f>VLOOKUP(VLOOKUP(A438,orders!A:B,2,0),customers!A:F,6,0)</f>
        <v>Canada</v>
      </c>
      <c r="K438" t="str">
        <f>VLOOKUP(VLOOKUP(A438,orders!A:C,3,0),employees!A:B,2,0)</f>
        <v>Anne Dodsworth</v>
      </c>
    </row>
    <row r="439" spans="1:11" x14ac:dyDescent="0.25">
      <c r="A439">
        <v>10411</v>
      </c>
      <c r="B439">
        <v>59</v>
      </c>
      <c r="C439">
        <v>44</v>
      </c>
      <c r="D439">
        <v>9</v>
      </c>
      <c r="E439">
        <v>0.2</v>
      </c>
      <c r="F439">
        <f t="shared" si="6"/>
        <v>316.8</v>
      </c>
      <c r="G439">
        <f>YEAR(VLOOKUP(A439,orders!A:D,4,0))</f>
        <v>2014</v>
      </c>
      <c r="H439">
        <f>MONTH(INDEX(orders!D:D,MATCH(A439, orders!A:A,0)))</f>
        <v>1</v>
      </c>
      <c r="I439" t="str">
        <f>VLOOKUP(VLOOKUP(B439,products!A:F,6,0),categories!A:B,2,0)</f>
        <v>Dairy Products</v>
      </c>
      <c r="J439" t="str">
        <f>VLOOKUP(VLOOKUP(A439,orders!A:B,2,0),customers!A:F,6,0)</f>
        <v>Canada</v>
      </c>
      <c r="K439" t="str">
        <f>VLOOKUP(VLOOKUP(A439,orders!A:C,3,0),employees!A:B,2,0)</f>
        <v>Anne Dodsworth</v>
      </c>
    </row>
    <row r="440" spans="1:11" x14ac:dyDescent="0.25">
      <c r="A440">
        <v>10412</v>
      </c>
      <c r="B440">
        <v>14</v>
      </c>
      <c r="C440">
        <v>18.600000000000001</v>
      </c>
      <c r="D440">
        <v>20</v>
      </c>
      <c r="E440">
        <v>0.1</v>
      </c>
      <c r="F440">
        <f t="shared" si="6"/>
        <v>334.8</v>
      </c>
      <c r="G440">
        <f>YEAR(VLOOKUP(A440,orders!A:D,4,0))</f>
        <v>2014</v>
      </c>
      <c r="H440">
        <f>MONTH(INDEX(orders!D:D,MATCH(A440, orders!A:A,0)))</f>
        <v>1</v>
      </c>
      <c r="I440" t="str">
        <f>VLOOKUP(VLOOKUP(B440,products!A:F,6,0),categories!A:B,2,0)</f>
        <v>Produce</v>
      </c>
      <c r="J440" t="str">
        <f>VLOOKUP(VLOOKUP(A440,orders!A:B,2,0),customers!A:F,6,0)</f>
        <v>Finland</v>
      </c>
      <c r="K440" t="str">
        <f>VLOOKUP(VLOOKUP(A440,orders!A:C,3,0),employees!A:B,2,0)</f>
        <v>Laura Callahan</v>
      </c>
    </row>
    <row r="441" spans="1:11" x14ac:dyDescent="0.25">
      <c r="A441">
        <v>10413</v>
      </c>
      <c r="B441">
        <v>1</v>
      </c>
      <c r="C441">
        <v>14.4</v>
      </c>
      <c r="D441">
        <v>24</v>
      </c>
      <c r="E441">
        <v>0</v>
      </c>
      <c r="F441">
        <f t="shared" si="6"/>
        <v>345.6</v>
      </c>
      <c r="G441">
        <f>YEAR(VLOOKUP(A441,orders!A:D,4,0))</f>
        <v>2014</v>
      </c>
      <c r="H441">
        <f>MONTH(INDEX(orders!D:D,MATCH(A441, orders!A:A,0)))</f>
        <v>1</v>
      </c>
      <c r="I441" t="str">
        <f>VLOOKUP(VLOOKUP(B441,products!A:F,6,0),categories!A:B,2,0)</f>
        <v>Beverages</v>
      </c>
      <c r="J441" t="str">
        <f>VLOOKUP(VLOOKUP(A441,orders!A:B,2,0),customers!A:F,6,0)</f>
        <v>France</v>
      </c>
      <c r="K441" t="str">
        <f>VLOOKUP(VLOOKUP(A441,orders!A:C,3,0),employees!A:B,2,0)</f>
        <v>Janet Leverling</v>
      </c>
    </row>
    <row r="442" spans="1:11" x14ac:dyDescent="0.25">
      <c r="A442">
        <v>10413</v>
      </c>
      <c r="B442">
        <v>62</v>
      </c>
      <c r="C442">
        <v>39.4</v>
      </c>
      <c r="D442">
        <v>40</v>
      </c>
      <c r="E442">
        <v>0</v>
      </c>
      <c r="F442">
        <f t="shared" si="6"/>
        <v>1576</v>
      </c>
      <c r="G442">
        <f>YEAR(VLOOKUP(A442,orders!A:D,4,0))</f>
        <v>2014</v>
      </c>
      <c r="H442">
        <f>MONTH(INDEX(orders!D:D,MATCH(A442, orders!A:A,0)))</f>
        <v>1</v>
      </c>
      <c r="I442" t="str">
        <f>VLOOKUP(VLOOKUP(B442,products!A:F,6,0),categories!A:B,2,0)</f>
        <v>Confections</v>
      </c>
      <c r="J442" t="str">
        <f>VLOOKUP(VLOOKUP(A442,orders!A:B,2,0),customers!A:F,6,0)</f>
        <v>France</v>
      </c>
      <c r="K442" t="str">
        <f>VLOOKUP(VLOOKUP(A442,orders!A:C,3,0),employees!A:B,2,0)</f>
        <v>Janet Leverling</v>
      </c>
    </row>
    <row r="443" spans="1:11" x14ac:dyDescent="0.25">
      <c r="A443">
        <v>10413</v>
      </c>
      <c r="B443">
        <v>76</v>
      </c>
      <c r="C443">
        <v>14.4</v>
      </c>
      <c r="D443">
        <v>14</v>
      </c>
      <c r="E443">
        <v>0</v>
      </c>
      <c r="F443">
        <f t="shared" si="6"/>
        <v>201.6</v>
      </c>
      <c r="G443">
        <f>YEAR(VLOOKUP(A443,orders!A:D,4,0))</f>
        <v>2014</v>
      </c>
      <c r="H443">
        <f>MONTH(INDEX(orders!D:D,MATCH(A443, orders!A:A,0)))</f>
        <v>1</v>
      </c>
      <c r="I443" t="str">
        <f>VLOOKUP(VLOOKUP(B443,products!A:F,6,0),categories!A:B,2,0)</f>
        <v>Beverages</v>
      </c>
      <c r="J443" t="str">
        <f>VLOOKUP(VLOOKUP(A443,orders!A:B,2,0),customers!A:F,6,0)</f>
        <v>France</v>
      </c>
      <c r="K443" t="str">
        <f>VLOOKUP(VLOOKUP(A443,orders!A:C,3,0),employees!A:B,2,0)</f>
        <v>Janet Leverling</v>
      </c>
    </row>
    <row r="444" spans="1:11" x14ac:dyDescent="0.25">
      <c r="A444">
        <v>10414</v>
      </c>
      <c r="B444">
        <v>19</v>
      </c>
      <c r="C444">
        <v>7.3</v>
      </c>
      <c r="D444">
        <v>18</v>
      </c>
      <c r="E444">
        <v>0.05</v>
      </c>
      <c r="F444">
        <f t="shared" si="6"/>
        <v>124.83</v>
      </c>
      <c r="G444">
        <f>YEAR(VLOOKUP(A444,orders!A:D,4,0))</f>
        <v>2014</v>
      </c>
      <c r="H444">
        <f>MONTH(INDEX(orders!D:D,MATCH(A444, orders!A:A,0)))</f>
        <v>1</v>
      </c>
      <c r="I444" t="str">
        <f>VLOOKUP(VLOOKUP(B444,products!A:F,6,0),categories!A:B,2,0)</f>
        <v>Confections</v>
      </c>
      <c r="J444" t="str">
        <f>VLOOKUP(VLOOKUP(A444,orders!A:B,2,0),customers!A:F,6,0)</f>
        <v>Brazil</v>
      </c>
      <c r="K444" t="str">
        <f>VLOOKUP(VLOOKUP(A444,orders!A:C,3,0),employees!A:B,2,0)</f>
        <v>Andrew Fuller</v>
      </c>
    </row>
    <row r="445" spans="1:11" x14ac:dyDescent="0.25">
      <c r="A445">
        <v>10414</v>
      </c>
      <c r="B445">
        <v>33</v>
      </c>
      <c r="C445">
        <v>2</v>
      </c>
      <c r="D445">
        <v>50</v>
      </c>
      <c r="E445">
        <v>0</v>
      </c>
      <c r="F445">
        <f t="shared" si="6"/>
        <v>100</v>
      </c>
      <c r="G445">
        <f>YEAR(VLOOKUP(A445,orders!A:D,4,0))</f>
        <v>2014</v>
      </c>
      <c r="H445">
        <f>MONTH(INDEX(orders!D:D,MATCH(A445, orders!A:A,0)))</f>
        <v>1</v>
      </c>
      <c r="I445" t="str">
        <f>VLOOKUP(VLOOKUP(B445,products!A:F,6,0),categories!A:B,2,0)</f>
        <v>Dairy Products</v>
      </c>
      <c r="J445" t="str">
        <f>VLOOKUP(VLOOKUP(A445,orders!A:B,2,0),customers!A:F,6,0)</f>
        <v>Brazil</v>
      </c>
      <c r="K445" t="str">
        <f>VLOOKUP(VLOOKUP(A445,orders!A:C,3,0),employees!A:B,2,0)</f>
        <v>Andrew Fuller</v>
      </c>
    </row>
    <row r="446" spans="1:11" x14ac:dyDescent="0.25">
      <c r="A446">
        <v>10415</v>
      </c>
      <c r="B446">
        <v>17</v>
      </c>
      <c r="C446">
        <v>31.2</v>
      </c>
      <c r="D446">
        <v>2</v>
      </c>
      <c r="E446">
        <v>0</v>
      </c>
      <c r="F446">
        <f t="shared" si="6"/>
        <v>62.4</v>
      </c>
      <c r="G446">
        <f>YEAR(VLOOKUP(A446,orders!A:D,4,0))</f>
        <v>2014</v>
      </c>
      <c r="H446">
        <f>MONTH(INDEX(orders!D:D,MATCH(A446, orders!A:A,0)))</f>
        <v>1</v>
      </c>
      <c r="I446" t="str">
        <f>VLOOKUP(VLOOKUP(B446,products!A:F,6,0),categories!A:B,2,0)</f>
        <v>Meat &amp; Poultry</v>
      </c>
      <c r="J446" t="str">
        <f>VLOOKUP(VLOOKUP(A446,orders!A:B,2,0),customers!A:F,6,0)</f>
        <v>USA</v>
      </c>
      <c r="K446" t="str">
        <f>VLOOKUP(VLOOKUP(A446,orders!A:C,3,0),employees!A:B,2,0)</f>
        <v>Janet Leverling</v>
      </c>
    </row>
    <row r="447" spans="1:11" x14ac:dyDescent="0.25">
      <c r="A447">
        <v>10415</v>
      </c>
      <c r="B447">
        <v>33</v>
      </c>
      <c r="C447">
        <v>2</v>
      </c>
      <c r="D447">
        <v>20</v>
      </c>
      <c r="E447">
        <v>0</v>
      </c>
      <c r="F447">
        <f t="shared" si="6"/>
        <v>40</v>
      </c>
      <c r="G447">
        <f>YEAR(VLOOKUP(A447,orders!A:D,4,0))</f>
        <v>2014</v>
      </c>
      <c r="H447">
        <f>MONTH(INDEX(orders!D:D,MATCH(A447, orders!A:A,0)))</f>
        <v>1</v>
      </c>
      <c r="I447" t="str">
        <f>VLOOKUP(VLOOKUP(B447,products!A:F,6,0),categories!A:B,2,0)</f>
        <v>Dairy Products</v>
      </c>
      <c r="J447" t="str">
        <f>VLOOKUP(VLOOKUP(A447,orders!A:B,2,0),customers!A:F,6,0)</f>
        <v>USA</v>
      </c>
      <c r="K447" t="str">
        <f>VLOOKUP(VLOOKUP(A447,orders!A:C,3,0),employees!A:B,2,0)</f>
        <v>Janet Leverling</v>
      </c>
    </row>
    <row r="448" spans="1:11" x14ac:dyDescent="0.25">
      <c r="A448">
        <v>10416</v>
      </c>
      <c r="B448">
        <v>19</v>
      </c>
      <c r="C448">
        <v>7.3</v>
      </c>
      <c r="D448">
        <v>20</v>
      </c>
      <c r="E448">
        <v>0</v>
      </c>
      <c r="F448">
        <f t="shared" si="6"/>
        <v>146</v>
      </c>
      <c r="G448">
        <f>YEAR(VLOOKUP(A448,orders!A:D,4,0))</f>
        <v>2014</v>
      </c>
      <c r="H448">
        <f>MONTH(INDEX(orders!D:D,MATCH(A448, orders!A:A,0)))</f>
        <v>1</v>
      </c>
      <c r="I448" t="str">
        <f>VLOOKUP(VLOOKUP(B448,products!A:F,6,0),categories!A:B,2,0)</f>
        <v>Confections</v>
      </c>
      <c r="J448" t="str">
        <f>VLOOKUP(VLOOKUP(A448,orders!A:B,2,0),customers!A:F,6,0)</f>
        <v>Finland</v>
      </c>
      <c r="K448" t="str">
        <f>VLOOKUP(VLOOKUP(A448,orders!A:C,3,0),employees!A:B,2,0)</f>
        <v>Laura Callahan</v>
      </c>
    </row>
    <row r="449" spans="1:11" x14ac:dyDescent="0.25">
      <c r="A449">
        <v>10416</v>
      </c>
      <c r="B449">
        <v>53</v>
      </c>
      <c r="C449">
        <v>26.2</v>
      </c>
      <c r="D449">
        <v>10</v>
      </c>
      <c r="E449">
        <v>0</v>
      </c>
      <c r="F449">
        <f t="shared" si="6"/>
        <v>262</v>
      </c>
      <c r="G449">
        <f>YEAR(VLOOKUP(A449,orders!A:D,4,0))</f>
        <v>2014</v>
      </c>
      <c r="H449">
        <f>MONTH(INDEX(orders!D:D,MATCH(A449, orders!A:A,0)))</f>
        <v>1</v>
      </c>
      <c r="I449" t="str">
        <f>VLOOKUP(VLOOKUP(B449,products!A:F,6,0),categories!A:B,2,0)</f>
        <v>Meat &amp; Poultry</v>
      </c>
      <c r="J449" t="str">
        <f>VLOOKUP(VLOOKUP(A449,orders!A:B,2,0),customers!A:F,6,0)</f>
        <v>Finland</v>
      </c>
      <c r="K449" t="str">
        <f>VLOOKUP(VLOOKUP(A449,orders!A:C,3,0),employees!A:B,2,0)</f>
        <v>Laura Callahan</v>
      </c>
    </row>
    <row r="450" spans="1:11" x14ac:dyDescent="0.25">
      <c r="A450">
        <v>10416</v>
      </c>
      <c r="B450">
        <v>57</v>
      </c>
      <c r="C450">
        <v>15.6</v>
      </c>
      <c r="D450">
        <v>20</v>
      </c>
      <c r="E450">
        <v>0</v>
      </c>
      <c r="F450">
        <f t="shared" si="6"/>
        <v>312</v>
      </c>
      <c r="G450">
        <f>YEAR(VLOOKUP(A450,orders!A:D,4,0))</f>
        <v>2014</v>
      </c>
      <c r="H450">
        <f>MONTH(INDEX(orders!D:D,MATCH(A450, orders!A:A,0)))</f>
        <v>1</v>
      </c>
      <c r="I450" t="str">
        <f>VLOOKUP(VLOOKUP(B450,products!A:F,6,0),categories!A:B,2,0)</f>
        <v>Grains &amp; Cereals</v>
      </c>
      <c r="J450" t="str">
        <f>VLOOKUP(VLOOKUP(A450,orders!A:B,2,0),customers!A:F,6,0)</f>
        <v>Finland</v>
      </c>
      <c r="K450" t="str">
        <f>VLOOKUP(VLOOKUP(A450,orders!A:C,3,0),employees!A:B,2,0)</f>
        <v>Laura Callahan</v>
      </c>
    </row>
    <row r="451" spans="1:11" x14ac:dyDescent="0.25">
      <c r="A451">
        <v>10417</v>
      </c>
      <c r="B451">
        <v>38</v>
      </c>
      <c r="C451">
        <v>210.8</v>
      </c>
      <c r="D451">
        <v>50</v>
      </c>
      <c r="E451">
        <v>0</v>
      </c>
      <c r="F451">
        <f t="shared" ref="F451:F514" si="7">C451*D451*(1-E451)</f>
        <v>10540</v>
      </c>
      <c r="G451">
        <f>YEAR(VLOOKUP(A451,orders!A:D,4,0))</f>
        <v>2014</v>
      </c>
      <c r="H451">
        <f>MONTH(INDEX(orders!D:D,MATCH(A451, orders!A:A,0)))</f>
        <v>1</v>
      </c>
      <c r="I451" t="str">
        <f>VLOOKUP(VLOOKUP(B451,products!A:F,6,0),categories!A:B,2,0)</f>
        <v>Beverages</v>
      </c>
      <c r="J451" t="str">
        <f>VLOOKUP(VLOOKUP(A451,orders!A:B,2,0),customers!A:F,6,0)</f>
        <v>Denmark</v>
      </c>
      <c r="K451" t="str">
        <f>VLOOKUP(VLOOKUP(A451,orders!A:C,3,0),employees!A:B,2,0)</f>
        <v>Margaret Peacock</v>
      </c>
    </row>
    <row r="452" spans="1:11" x14ac:dyDescent="0.25">
      <c r="A452">
        <v>10417</v>
      </c>
      <c r="B452">
        <v>46</v>
      </c>
      <c r="C452">
        <v>9.6</v>
      </c>
      <c r="D452">
        <v>2</v>
      </c>
      <c r="E452">
        <v>0.25</v>
      </c>
      <c r="F452">
        <f t="shared" si="7"/>
        <v>14.399999999999999</v>
      </c>
      <c r="G452">
        <f>YEAR(VLOOKUP(A452,orders!A:D,4,0))</f>
        <v>2014</v>
      </c>
      <c r="H452">
        <f>MONTH(INDEX(orders!D:D,MATCH(A452, orders!A:A,0)))</f>
        <v>1</v>
      </c>
      <c r="I452" t="str">
        <f>VLOOKUP(VLOOKUP(B452,products!A:F,6,0),categories!A:B,2,0)</f>
        <v>Seafood</v>
      </c>
      <c r="J452" t="str">
        <f>VLOOKUP(VLOOKUP(A452,orders!A:B,2,0),customers!A:F,6,0)</f>
        <v>Denmark</v>
      </c>
      <c r="K452" t="str">
        <f>VLOOKUP(VLOOKUP(A452,orders!A:C,3,0),employees!A:B,2,0)</f>
        <v>Margaret Peacock</v>
      </c>
    </row>
    <row r="453" spans="1:11" x14ac:dyDescent="0.25">
      <c r="A453">
        <v>10417</v>
      </c>
      <c r="B453">
        <v>68</v>
      </c>
      <c r="C453">
        <v>10</v>
      </c>
      <c r="D453">
        <v>36</v>
      </c>
      <c r="E453">
        <v>0.25</v>
      </c>
      <c r="F453">
        <f t="shared" si="7"/>
        <v>270</v>
      </c>
      <c r="G453">
        <f>YEAR(VLOOKUP(A453,orders!A:D,4,0))</f>
        <v>2014</v>
      </c>
      <c r="H453">
        <f>MONTH(INDEX(orders!D:D,MATCH(A453, orders!A:A,0)))</f>
        <v>1</v>
      </c>
      <c r="I453" t="str">
        <f>VLOOKUP(VLOOKUP(B453,products!A:F,6,0),categories!A:B,2,0)</f>
        <v>Confections</v>
      </c>
      <c r="J453" t="str">
        <f>VLOOKUP(VLOOKUP(A453,orders!A:B,2,0),customers!A:F,6,0)</f>
        <v>Denmark</v>
      </c>
      <c r="K453" t="str">
        <f>VLOOKUP(VLOOKUP(A453,orders!A:C,3,0),employees!A:B,2,0)</f>
        <v>Margaret Peacock</v>
      </c>
    </row>
    <row r="454" spans="1:11" x14ac:dyDescent="0.25">
      <c r="A454">
        <v>10417</v>
      </c>
      <c r="B454">
        <v>77</v>
      </c>
      <c r="C454">
        <v>10.4</v>
      </c>
      <c r="D454">
        <v>35</v>
      </c>
      <c r="E454">
        <v>0</v>
      </c>
      <c r="F454">
        <f t="shared" si="7"/>
        <v>364</v>
      </c>
      <c r="G454">
        <f>YEAR(VLOOKUP(A454,orders!A:D,4,0))</f>
        <v>2014</v>
      </c>
      <c r="H454">
        <f>MONTH(INDEX(orders!D:D,MATCH(A454, orders!A:A,0)))</f>
        <v>1</v>
      </c>
      <c r="I454" t="str">
        <f>VLOOKUP(VLOOKUP(B454,products!A:F,6,0),categories!A:B,2,0)</f>
        <v>Condiments</v>
      </c>
      <c r="J454" t="str">
        <f>VLOOKUP(VLOOKUP(A454,orders!A:B,2,0),customers!A:F,6,0)</f>
        <v>Denmark</v>
      </c>
      <c r="K454" t="str">
        <f>VLOOKUP(VLOOKUP(A454,orders!A:C,3,0),employees!A:B,2,0)</f>
        <v>Margaret Peacock</v>
      </c>
    </row>
    <row r="455" spans="1:11" x14ac:dyDescent="0.25">
      <c r="A455">
        <v>10418</v>
      </c>
      <c r="B455">
        <v>2</v>
      </c>
      <c r="C455">
        <v>15.2</v>
      </c>
      <c r="D455">
        <v>60</v>
      </c>
      <c r="E455">
        <v>0</v>
      </c>
      <c r="F455">
        <f t="shared" si="7"/>
        <v>912</v>
      </c>
      <c r="G455">
        <f>YEAR(VLOOKUP(A455,orders!A:D,4,0))</f>
        <v>2014</v>
      </c>
      <c r="H455">
        <f>MONTH(INDEX(orders!D:D,MATCH(A455, orders!A:A,0)))</f>
        <v>1</v>
      </c>
      <c r="I455" t="str">
        <f>VLOOKUP(VLOOKUP(B455,products!A:F,6,0),categories!A:B,2,0)</f>
        <v>Beverages</v>
      </c>
      <c r="J455" t="str">
        <f>VLOOKUP(VLOOKUP(A455,orders!A:B,2,0),customers!A:F,6,0)</f>
        <v>Germany</v>
      </c>
      <c r="K455" t="str">
        <f>VLOOKUP(VLOOKUP(A455,orders!A:C,3,0),employees!A:B,2,0)</f>
        <v>Margaret Peacock</v>
      </c>
    </row>
    <row r="456" spans="1:11" x14ac:dyDescent="0.25">
      <c r="A456">
        <v>10418</v>
      </c>
      <c r="B456">
        <v>47</v>
      </c>
      <c r="C456">
        <v>7.6</v>
      </c>
      <c r="D456">
        <v>55</v>
      </c>
      <c r="E456">
        <v>0</v>
      </c>
      <c r="F456">
        <f t="shared" si="7"/>
        <v>418</v>
      </c>
      <c r="G456">
        <f>YEAR(VLOOKUP(A456,orders!A:D,4,0))</f>
        <v>2014</v>
      </c>
      <c r="H456">
        <f>MONTH(INDEX(orders!D:D,MATCH(A456, orders!A:A,0)))</f>
        <v>1</v>
      </c>
      <c r="I456" t="str">
        <f>VLOOKUP(VLOOKUP(B456,products!A:F,6,0),categories!A:B,2,0)</f>
        <v>Confections</v>
      </c>
      <c r="J456" t="str">
        <f>VLOOKUP(VLOOKUP(A456,orders!A:B,2,0),customers!A:F,6,0)</f>
        <v>Germany</v>
      </c>
      <c r="K456" t="str">
        <f>VLOOKUP(VLOOKUP(A456,orders!A:C,3,0),employees!A:B,2,0)</f>
        <v>Margaret Peacock</v>
      </c>
    </row>
    <row r="457" spans="1:11" x14ac:dyDescent="0.25">
      <c r="A457">
        <v>10418</v>
      </c>
      <c r="B457">
        <v>61</v>
      </c>
      <c r="C457">
        <v>22.8</v>
      </c>
      <c r="D457">
        <v>16</v>
      </c>
      <c r="E457">
        <v>0</v>
      </c>
      <c r="F457">
        <f t="shared" si="7"/>
        <v>364.8</v>
      </c>
      <c r="G457">
        <f>YEAR(VLOOKUP(A457,orders!A:D,4,0))</f>
        <v>2014</v>
      </c>
      <c r="H457">
        <f>MONTH(INDEX(orders!D:D,MATCH(A457, orders!A:A,0)))</f>
        <v>1</v>
      </c>
      <c r="I457" t="str">
        <f>VLOOKUP(VLOOKUP(B457,products!A:F,6,0),categories!A:B,2,0)</f>
        <v>Condiments</v>
      </c>
      <c r="J457" t="str">
        <f>VLOOKUP(VLOOKUP(A457,orders!A:B,2,0),customers!A:F,6,0)</f>
        <v>Germany</v>
      </c>
      <c r="K457" t="str">
        <f>VLOOKUP(VLOOKUP(A457,orders!A:C,3,0),employees!A:B,2,0)</f>
        <v>Margaret Peacock</v>
      </c>
    </row>
    <row r="458" spans="1:11" x14ac:dyDescent="0.25">
      <c r="A458">
        <v>10418</v>
      </c>
      <c r="B458">
        <v>74</v>
      </c>
      <c r="C458">
        <v>8</v>
      </c>
      <c r="D458">
        <v>15</v>
      </c>
      <c r="E458">
        <v>0</v>
      </c>
      <c r="F458">
        <f t="shared" si="7"/>
        <v>120</v>
      </c>
      <c r="G458">
        <f>YEAR(VLOOKUP(A458,orders!A:D,4,0))</f>
        <v>2014</v>
      </c>
      <c r="H458">
        <f>MONTH(INDEX(orders!D:D,MATCH(A458, orders!A:A,0)))</f>
        <v>1</v>
      </c>
      <c r="I458" t="str">
        <f>VLOOKUP(VLOOKUP(B458,products!A:F,6,0),categories!A:B,2,0)</f>
        <v>Produce</v>
      </c>
      <c r="J458" t="str">
        <f>VLOOKUP(VLOOKUP(A458,orders!A:B,2,0),customers!A:F,6,0)</f>
        <v>Germany</v>
      </c>
      <c r="K458" t="str">
        <f>VLOOKUP(VLOOKUP(A458,orders!A:C,3,0),employees!A:B,2,0)</f>
        <v>Margaret Peacock</v>
      </c>
    </row>
    <row r="459" spans="1:11" x14ac:dyDescent="0.25">
      <c r="A459">
        <v>10419</v>
      </c>
      <c r="B459">
        <v>60</v>
      </c>
      <c r="C459">
        <v>27.2</v>
      </c>
      <c r="D459">
        <v>60</v>
      </c>
      <c r="E459">
        <v>0.05</v>
      </c>
      <c r="F459">
        <f t="shared" si="7"/>
        <v>1550.3999999999999</v>
      </c>
      <c r="G459">
        <f>YEAR(VLOOKUP(A459,orders!A:D,4,0))</f>
        <v>2014</v>
      </c>
      <c r="H459">
        <f>MONTH(INDEX(orders!D:D,MATCH(A459, orders!A:A,0)))</f>
        <v>1</v>
      </c>
      <c r="I459" t="str">
        <f>VLOOKUP(VLOOKUP(B459,products!A:F,6,0),categories!A:B,2,0)</f>
        <v>Dairy Products</v>
      </c>
      <c r="J459" t="str">
        <f>VLOOKUP(VLOOKUP(A459,orders!A:B,2,0),customers!A:F,6,0)</f>
        <v>Switzerland</v>
      </c>
      <c r="K459" t="str">
        <f>VLOOKUP(VLOOKUP(A459,orders!A:C,3,0),employees!A:B,2,0)</f>
        <v>Margaret Peacock</v>
      </c>
    </row>
    <row r="460" spans="1:11" x14ac:dyDescent="0.25">
      <c r="A460">
        <v>10419</v>
      </c>
      <c r="B460">
        <v>69</v>
      </c>
      <c r="C460">
        <v>28.8</v>
      </c>
      <c r="D460">
        <v>20</v>
      </c>
      <c r="E460">
        <v>0.05</v>
      </c>
      <c r="F460">
        <f t="shared" si="7"/>
        <v>547.19999999999993</v>
      </c>
      <c r="G460">
        <f>YEAR(VLOOKUP(A460,orders!A:D,4,0))</f>
        <v>2014</v>
      </c>
      <c r="H460">
        <f>MONTH(INDEX(orders!D:D,MATCH(A460, orders!A:A,0)))</f>
        <v>1</v>
      </c>
      <c r="I460" t="str">
        <f>VLOOKUP(VLOOKUP(B460,products!A:F,6,0),categories!A:B,2,0)</f>
        <v>Dairy Products</v>
      </c>
      <c r="J460" t="str">
        <f>VLOOKUP(VLOOKUP(A460,orders!A:B,2,0),customers!A:F,6,0)</f>
        <v>Switzerland</v>
      </c>
      <c r="K460" t="str">
        <f>VLOOKUP(VLOOKUP(A460,orders!A:C,3,0),employees!A:B,2,0)</f>
        <v>Margaret Peacock</v>
      </c>
    </row>
    <row r="461" spans="1:11" x14ac:dyDescent="0.25">
      <c r="A461">
        <v>10420</v>
      </c>
      <c r="B461">
        <v>9</v>
      </c>
      <c r="C461">
        <v>77.599999999999994</v>
      </c>
      <c r="D461">
        <v>20</v>
      </c>
      <c r="E461">
        <v>0.1</v>
      </c>
      <c r="F461">
        <f t="shared" si="7"/>
        <v>1396.8</v>
      </c>
      <c r="G461">
        <f>YEAR(VLOOKUP(A461,orders!A:D,4,0))</f>
        <v>2014</v>
      </c>
      <c r="H461">
        <f>MONTH(INDEX(orders!D:D,MATCH(A461, orders!A:A,0)))</f>
        <v>1</v>
      </c>
      <c r="I461" t="str">
        <f>VLOOKUP(VLOOKUP(B461,products!A:F,6,0),categories!A:B,2,0)</f>
        <v>Meat &amp; Poultry</v>
      </c>
      <c r="J461" t="str">
        <f>VLOOKUP(VLOOKUP(A461,orders!A:B,2,0),customers!A:F,6,0)</f>
        <v>Brazil</v>
      </c>
      <c r="K461" t="str">
        <f>VLOOKUP(VLOOKUP(A461,orders!A:C,3,0),employees!A:B,2,0)</f>
        <v>Janet Leverling</v>
      </c>
    </row>
    <row r="462" spans="1:11" x14ac:dyDescent="0.25">
      <c r="A462">
        <v>10420</v>
      </c>
      <c r="B462">
        <v>13</v>
      </c>
      <c r="C462">
        <v>4.8</v>
      </c>
      <c r="D462">
        <v>2</v>
      </c>
      <c r="E462">
        <v>0.1</v>
      </c>
      <c r="F462">
        <f t="shared" si="7"/>
        <v>8.64</v>
      </c>
      <c r="G462">
        <f>YEAR(VLOOKUP(A462,orders!A:D,4,0))</f>
        <v>2014</v>
      </c>
      <c r="H462">
        <f>MONTH(INDEX(orders!D:D,MATCH(A462, orders!A:A,0)))</f>
        <v>1</v>
      </c>
      <c r="I462" t="str">
        <f>VLOOKUP(VLOOKUP(B462,products!A:F,6,0),categories!A:B,2,0)</f>
        <v>Seafood</v>
      </c>
      <c r="J462" t="str">
        <f>VLOOKUP(VLOOKUP(A462,orders!A:B,2,0),customers!A:F,6,0)</f>
        <v>Brazil</v>
      </c>
      <c r="K462" t="str">
        <f>VLOOKUP(VLOOKUP(A462,orders!A:C,3,0),employees!A:B,2,0)</f>
        <v>Janet Leverling</v>
      </c>
    </row>
    <row r="463" spans="1:11" x14ac:dyDescent="0.25">
      <c r="A463">
        <v>10420</v>
      </c>
      <c r="B463">
        <v>70</v>
      </c>
      <c r="C463">
        <v>12</v>
      </c>
      <c r="D463">
        <v>8</v>
      </c>
      <c r="E463">
        <v>0.1</v>
      </c>
      <c r="F463">
        <f t="shared" si="7"/>
        <v>86.4</v>
      </c>
      <c r="G463">
        <f>YEAR(VLOOKUP(A463,orders!A:D,4,0))</f>
        <v>2014</v>
      </c>
      <c r="H463">
        <f>MONTH(INDEX(orders!D:D,MATCH(A463, orders!A:A,0)))</f>
        <v>1</v>
      </c>
      <c r="I463" t="str">
        <f>VLOOKUP(VLOOKUP(B463,products!A:F,6,0),categories!A:B,2,0)</f>
        <v>Beverages</v>
      </c>
      <c r="J463" t="str">
        <f>VLOOKUP(VLOOKUP(A463,orders!A:B,2,0),customers!A:F,6,0)</f>
        <v>Brazil</v>
      </c>
      <c r="K463" t="str">
        <f>VLOOKUP(VLOOKUP(A463,orders!A:C,3,0),employees!A:B,2,0)</f>
        <v>Janet Leverling</v>
      </c>
    </row>
    <row r="464" spans="1:11" x14ac:dyDescent="0.25">
      <c r="A464">
        <v>10420</v>
      </c>
      <c r="B464">
        <v>73</v>
      </c>
      <c r="C464">
        <v>12</v>
      </c>
      <c r="D464">
        <v>20</v>
      </c>
      <c r="E464">
        <v>0.1</v>
      </c>
      <c r="F464">
        <f t="shared" si="7"/>
        <v>216</v>
      </c>
      <c r="G464">
        <f>YEAR(VLOOKUP(A464,orders!A:D,4,0))</f>
        <v>2014</v>
      </c>
      <c r="H464">
        <f>MONTH(INDEX(orders!D:D,MATCH(A464, orders!A:A,0)))</f>
        <v>1</v>
      </c>
      <c r="I464" t="str">
        <f>VLOOKUP(VLOOKUP(B464,products!A:F,6,0),categories!A:B,2,0)</f>
        <v>Seafood</v>
      </c>
      <c r="J464" t="str">
        <f>VLOOKUP(VLOOKUP(A464,orders!A:B,2,0),customers!A:F,6,0)</f>
        <v>Brazil</v>
      </c>
      <c r="K464" t="str">
        <f>VLOOKUP(VLOOKUP(A464,orders!A:C,3,0),employees!A:B,2,0)</f>
        <v>Janet Leverling</v>
      </c>
    </row>
    <row r="465" spans="1:11" x14ac:dyDescent="0.25">
      <c r="A465">
        <v>10421</v>
      </c>
      <c r="B465">
        <v>19</v>
      </c>
      <c r="C465">
        <v>7.3</v>
      </c>
      <c r="D465">
        <v>4</v>
      </c>
      <c r="E465">
        <v>0.15</v>
      </c>
      <c r="F465">
        <f t="shared" si="7"/>
        <v>24.82</v>
      </c>
      <c r="G465">
        <f>YEAR(VLOOKUP(A465,orders!A:D,4,0))</f>
        <v>2014</v>
      </c>
      <c r="H465">
        <f>MONTH(INDEX(orders!D:D,MATCH(A465, orders!A:A,0)))</f>
        <v>1</v>
      </c>
      <c r="I465" t="str">
        <f>VLOOKUP(VLOOKUP(B465,products!A:F,6,0),categories!A:B,2,0)</f>
        <v>Confections</v>
      </c>
      <c r="J465" t="str">
        <f>VLOOKUP(VLOOKUP(A465,orders!A:B,2,0),customers!A:F,6,0)</f>
        <v>Brazil</v>
      </c>
      <c r="K465" t="str">
        <f>VLOOKUP(VLOOKUP(A465,orders!A:C,3,0),employees!A:B,2,0)</f>
        <v>Laura Callahan</v>
      </c>
    </row>
    <row r="466" spans="1:11" x14ac:dyDescent="0.25">
      <c r="A466">
        <v>10421</v>
      </c>
      <c r="B466">
        <v>26</v>
      </c>
      <c r="C466">
        <v>24.9</v>
      </c>
      <c r="D466">
        <v>30</v>
      </c>
      <c r="E466">
        <v>0</v>
      </c>
      <c r="F466">
        <f t="shared" si="7"/>
        <v>747</v>
      </c>
      <c r="G466">
        <f>YEAR(VLOOKUP(A466,orders!A:D,4,0))</f>
        <v>2014</v>
      </c>
      <c r="H466">
        <f>MONTH(INDEX(orders!D:D,MATCH(A466, orders!A:A,0)))</f>
        <v>1</v>
      </c>
      <c r="I466" t="str">
        <f>VLOOKUP(VLOOKUP(B466,products!A:F,6,0),categories!A:B,2,0)</f>
        <v>Confections</v>
      </c>
      <c r="J466" t="str">
        <f>VLOOKUP(VLOOKUP(A466,orders!A:B,2,0),customers!A:F,6,0)</f>
        <v>Brazil</v>
      </c>
      <c r="K466" t="str">
        <f>VLOOKUP(VLOOKUP(A466,orders!A:C,3,0),employees!A:B,2,0)</f>
        <v>Laura Callahan</v>
      </c>
    </row>
    <row r="467" spans="1:11" x14ac:dyDescent="0.25">
      <c r="A467">
        <v>10421</v>
      </c>
      <c r="B467">
        <v>53</v>
      </c>
      <c r="C467">
        <v>26.2</v>
      </c>
      <c r="D467">
        <v>15</v>
      </c>
      <c r="E467">
        <v>0.15</v>
      </c>
      <c r="F467">
        <f t="shared" si="7"/>
        <v>334.05</v>
      </c>
      <c r="G467">
        <f>YEAR(VLOOKUP(A467,orders!A:D,4,0))</f>
        <v>2014</v>
      </c>
      <c r="H467">
        <f>MONTH(INDEX(orders!D:D,MATCH(A467, orders!A:A,0)))</f>
        <v>1</v>
      </c>
      <c r="I467" t="str">
        <f>VLOOKUP(VLOOKUP(B467,products!A:F,6,0),categories!A:B,2,0)</f>
        <v>Meat &amp; Poultry</v>
      </c>
      <c r="J467" t="str">
        <f>VLOOKUP(VLOOKUP(A467,orders!A:B,2,0),customers!A:F,6,0)</f>
        <v>Brazil</v>
      </c>
      <c r="K467" t="str">
        <f>VLOOKUP(VLOOKUP(A467,orders!A:C,3,0),employees!A:B,2,0)</f>
        <v>Laura Callahan</v>
      </c>
    </row>
    <row r="468" spans="1:11" x14ac:dyDescent="0.25">
      <c r="A468">
        <v>10421</v>
      </c>
      <c r="B468">
        <v>77</v>
      </c>
      <c r="C468">
        <v>10.4</v>
      </c>
      <c r="D468">
        <v>10</v>
      </c>
      <c r="E468">
        <v>0.15</v>
      </c>
      <c r="F468">
        <f t="shared" si="7"/>
        <v>88.399999999999991</v>
      </c>
      <c r="G468">
        <f>YEAR(VLOOKUP(A468,orders!A:D,4,0))</f>
        <v>2014</v>
      </c>
      <c r="H468">
        <f>MONTH(INDEX(orders!D:D,MATCH(A468, orders!A:A,0)))</f>
        <v>1</v>
      </c>
      <c r="I468" t="str">
        <f>VLOOKUP(VLOOKUP(B468,products!A:F,6,0),categories!A:B,2,0)</f>
        <v>Condiments</v>
      </c>
      <c r="J468" t="str">
        <f>VLOOKUP(VLOOKUP(A468,orders!A:B,2,0),customers!A:F,6,0)</f>
        <v>Brazil</v>
      </c>
      <c r="K468" t="str">
        <f>VLOOKUP(VLOOKUP(A468,orders!A:C,3,0),employees!A:B,2,0)</f>
        <v>Laura Callahan</v>
      </c>
    </row>
    <row r="469" spans="1:11" x14ac:dyDescent="0.25">
      <c r="A469">
        <v>10422</v>
      </c>
      <c r="B469">
        <v>26</v>
      </c>
      <c r="C469">
        <v>24.9</v>
      </c>
      <c r="D469">
        <v>2</v>
      </c>
      <c r="E469">
        <v>0</v>
      </c>
      <c r="F469">
        <f t="shared" si="7"/>
        <v>49.8</v>
      </c>
      <c r="G469">
        <f>YEAR(VLOOKUP(A469,orders!A:D,4,0))</f>
        <v>2014</v>
      </c>
      <c r="H469">
        <f>MONTH(INDEX(orders!D:D,MATCH(A469, orders!A:A,0)))</f>
        <v>1</v>
      </c>
      <c r="I469" t="str">
        <f>VLOOKUP(VLOOKUP(B469,products!A:F,6,0),categories!A:B,2,0)</f>
        <v>Confections</v>
      </c>
      <c r="J469" t="str">
        <f>VLOOKUP(VLOOKUP(A469,orders!A:B,2,0),customers!A:F,6,0)</f>
        <v>Italy</v>
      </c>
      <c r="K469" t="str">
        <f>VLOOKUP(VLOOKUP(A469,orders!A:C,3,0),employees!A:B,2,0)</f>
        <v>Andrew Fuller</v>
      </c>
    </row>
    <row r="470" spans="1:11" x14ac:dyDescent="0.25">
      <c r="A470">
        <v>10423</v>
      </c>
      <c r="B470">
        <v>31</v>
      </c>
      <c r="C470">
        <v>10</v>
      </c>
      <c r="D470">
        <v>14</v>
      </c>
      <c r="E470">
        <v>0</v>
      </c>
      <c r="F470">
        <f t="shared" si="7"/>
        <v>140</v>
      </c>
      <c r="G470">
        <f>YEAR(VLOOKUP(A470,orders!A:D,4,0))</f>
        <v>2014</v>
      </c>
      <c r="H470">
        <f>MONTH(INDEX(orders!D:D,MATCH(A470, orders!A:A,0)))</f>
        <v>1</v>
      </c>
      <c r="I470" t="str">
        <f>VLOOKUP(VLOOKUP(B470,products!A:F,6,0),categories!A:B,2,0)</f>
        <v>Dairy Products</v>
      </c>
      <c r="J470" t="str">
        <f>VLOOKUP(VLOOKUP(A470,orders!A:B,2,0),customers!A:F,6,0)</f>
        <v>Brazil</v>
      </c>
      <c r="K470" t="str">
        <f>VLOOKUP(VLOOKUP(A470,orders!A:C,3,0),employees!A:B,2,0)</f>
        <v>Michael Suyama</v>
      </c>
    </row>
    <row r="471" spans="1:11" x14ac:dyDescent="0.25">
      <c r="A471">
        <v>10423</v>
      </c>
      <c r="B471">
        <v>59</v>
      </c>
      <c r="C471">
        <v>44</v>
      </c>
      <c r="D471">
        <v>20</v>
      </c>
      <c r="E471">
        <v>0</v>
      </c>
      <c r="F471">
        <f t="shared" si="7"/>
        <v>880</v>
      </c>
      <c r="G471">
        <f>YEAR(VLOOKUP(A471,orders!A:D,4,0))</f>
        <v>2014</v>
      </c>
      <c r="H471">
        <f>MONTH(INDEX(orders!D:D,MATCH(A471, orders!A:A,0)))</f>
        <v>1</v>
      </c>
      <c r="I471" t="str">
        <f>VLOOKUP(VLOOKUP(B471,products!A:F,6,0),categories!A:B,2,0)</f>
        <v>Dairy Products</v>
      </c>
      <c r="J471" t="str">
        <f>VLOOKUP(VLOOKUP(A471,orders!A:B,2,0),customers!A:F,6,0)</f>
        <v>Brazil</v>
      </c>
      <c r="K471" t="str">
        <f>VLOOKUP(VLOOKUP(A471,orders!A:C,3,0),employees!A:B,2,0)</f>
        <v>Michael Suyama</v>
      </c>
    </row>
    <row r="472" spans="1:11" x14ac:dyDescent="0.25">
      <c r="A472">
        <v>10424</v>
      </c>
      <c r="B472">
        <v>35</v>
      </c>
      <c r="C472">
        <v>14.4</v>
      </c>
      <c r="D472">
        <v>60</v>
      </c>
      <c r="E472">
        <v>0.2</v>
      </c>
      <c r="F472">
        <f t="shared" si="7"/>
        <v>691.2</v>
      </c>
      <c r="G472">
        <f>YEAR(VLOOKUP(A472,orders!A:D,4,0))</f>
        <v>2014</v>
      </c>
      <c r="H472">
        <f>MONTH(INDEX(orders!D:D,MATCH(A472, orders!A:A,0)))</f>
        <v>1</v>
      </c>
      <c r="I472" t="str">
        <f>VLOOKUP(VLOOKUP(B472,products!A:F,6,0),categories!A:B,2,0)</f>
        <v>Beverages</v>
      </c>
      <c r="J472" t="str">
        <f>VLOOKUP(VLOOKUP(A472,orders!A:B,2,0),customers!A:F,6,0)</f>
        <v>Canada</v>
      </c>
      <c r="K472" t="str">
        <f>VLOOKUP(VLOOKUP(A472,orders!A:C,3,0),employees!A:B,2,0)</f>
        <v>Robert King</v>
      </c>
    </row>
    <row r="473" spans="1:11" x14ac:dyDescent="0.25">
      <c r="A473">
        <v>10424</v>
      </c>
      <c r="B473">
        <v>38</v>
      </c>
      <c r="C473">
        <v>210.8</v>
      </c>
      <c r="D473">
        <v>49</v>
      </c>
      <c r="E473">
        <v>0.2</v>
      </c>
      <c r="F473">
        <f t="shared" si="7"/>
        <v>8263.36</v>
      </c>
      <c r="G473">
        <f>YEAR(VLOOKUP(A473,orders!A:D,4,0))</f>
        <v>2014</v>
      </c>
      <c r="H473">
        <f>MONTH(INDEX(orders!D:D,MATCH(A473, orders!A:A,0)))</f>
        <v>1</v>
      </c>
      <c r="I473" t="str">
        <f>VLOOKUP(VLOOKUP(B473,products!A:F,6,0),categories!A:B,2,0)</f>
        <v>Beverages</v>
      </c>
      <c r="J473" t="str">
        <f>VLOOKUP(VLOOKUP(A473,orders!A:B,2,0),customers!A:F,6,0)</f>
        <v>Canada</v>
      </c>
      <c r="K473" t="str">
        <f>VLOOKUP(VLOOKUP(A473,orders!A:C,3,0),employees!A:B,2,0)</f>
        <v>Robert King</v>
      </c>
    </row>
    <row r="474" spans="1:11" x14ac:dyDescent="0.25">
      <c r="A474">
        <v>10424</v>
      </c>
      <c r="B474">
        <v>68</v>
      </c>
      <c r="C474">
        <v>10</v>
      </c>
      <c r="D474">
        <v>30</v>
      </c>
      <c r="E474">
        <v>0.2</v>
      </c>
      <c r="F474">
        <f t="shared" si="7"/>
        <v>240</v>
      </c>
      <c r="G474">
        <f>YEAR(VLOOKUP(A474,orders!A:D,4,0))</f>
        <v>2014</v>
      </c>
      <c r="H474">
        <f>MONTH(INDEX(orders!D:D,MATCH(A474, orders!A:A,0)))</f>
        <v>1</v>
      </c>
      <c r="I474" t="str">
        <f>VLOOKUP(VLOOKUP(B474,products!A:F,6,0),categories!A:B,2,0)</f>
        <v>Confections</v>
      </c>
      <c r="J474" t="str">
        <f>VLOOKUP(VLOOKUP(A474,orders!A:B,2,0),customers!A:F,6,0)</f>
        <v>Canada</v>
      </c>
      <c r="K474" t="str">
        <f>VLOOKUP(VLOOKUP(A474,orders!A:C,3,0),employees!A:B,2,0)</f>
        <v>Robert King</v>
      </c>
    </row>
    <row r="475" spans="1:11" x14ac:dyDescent="0.25">
      <c r="A475">
        <v>10425</v>
      </c>
      <c r="B475">
        <v>55</v>
      </c>
      <c r="C475">
        <v>19.2</v>
      </c>
      <c r="D475">
        <v>10</v>
      </c>
      <c r="E475">
        <v>0.25</v>
      </c>
      <c r="F475">
        <f t="shared" si="7"/>
        <v>144</v>
      </c>
      <c r="G475">
        <f>YEAR(VLOOKUP(A475,orders!A:D,4,0))</f>
        <v>2014</v>
      </c>
      <c r="H475">
        <f>MONTH(INDEX(orders!D:D,MATCH(A475, orders!A:A,0)))</f>
        <v>1</v>
      </c>
      <c r="I475" t="str">
        <f>VLOOKUP(VLOOKUP(B475,products!A:F,6,0),categories!A:B,2,0)</f>
        <v>Meat &amp; Poultry</v>
      </c>
      <c r="J475" t="str">
        <f>VLOOKUP(VLOOKUP(A475,orders!A:B,2,0),customers!A:F,6,0)</f>
        <v>France</v>
      </c>
      <c r="K475" t="str">
        <f>VLOOKUP(VLOOKUP(A475,orders!A:C,3,0),employees!A:B,2,0)</f>
        <v>Michael Suyama</v>
      </c>
    </row>
    <row r="476" spans="1:11" x14ac:dyDescent="0.25">
      <c r="A476">
        <v>10425</v>
      </c>
      <c r="B476">
        <v>76</v>
      </c>
      <c r="C476">
        <v>14.4</v>
      </c>
      <c r="D476">
        <v>20</v>
      </c>
      <c r="E476">
        <v>0.25</v>
      </c>
      <c r="F476">
        <f t="shared" si="7"/>
        <v>216</v>
      </c>
      <c r="G476">
        <f>YEAR(VLOOKUP(A476,orders!A:D,4,0))</f>
        <v>2014</v>
      </c>
      <c r="H476">
        <f>MONTH(INDEX(orders!D:D,MATCH(A476, orders!A:A,0)))</f>
        <v>1</v>
      </c>
      <c r="I476" t="str">
        <f>VLOOKUP(VLOOKUP(B476,products!A:F,6,0),categories!A:B,2,0)</f>
        <v>Beverages</v>
      </c>
      <c r="J476" t="str">
        <f>VLOOKUP(VLOOKUP(A476,orders!A:B,2,0),customers!A:F,6,0)</f>
        <v>France</v>
      </c>
      <c r="K476" t="str">
        <f>VLOOKUP(VLOOKUP(A476,orders!A:C,3,0),employees!A:B,2,0)</f>
        <v>Michael Suyama</v>
      </c>
    </row>
    <row r="477" spans="1:11" x14ac:dyDescent="0.25">
      <c r="A477">
        <v>10426</v>
      </c>
      <c r="B477">
        <v>56</v>
      </c>
      <c r="C477">
        <v>30.4</v>
      </c>
      <c r="D477">
        <v>5</v>
      </c>
      <c r="E477">
        <v>0</v>
      </c>
      <c r="F477">
        <f t="shared" si="7"/>
        <v>152</v>
      </c>
      <c r="G477">
        <f>YEAR(VLOOKUP(A477,orders!A:D,4,0))</f>
        <v>2014</v>
      </c>
      <c r="H477">
        <f>MONTH(INDEX(orders!D:D,MATCH(A477, orders!A:A,0)))</f>
        <v>1</v>
      </c>
      <c r="I477" t="str">
        <f>VLOOKUP(VLOOKUP(B477,products!A:F,6,0),categories!A:B,2,0)</f>
        <v>Grains &amp; Cereals</v>
      </c>
      <c r="J477" t="str">
        <f>VLOOKUP(VLOOKUP(A477,orders!A:B,2,0),customers!A:F,6,0)</f>
        <v>Spain</v>
      </c>
      <c r="K477" t="str">
        <f>VLOOKUP(VLOOKUP(A477,orders!A:C,3,0),employees!A:B,2,0)</f>
        <v>Margaret Peacock</v>
      </c>
    </row>
    <row r="478" spans="1:11" x14ac:dyDescent="0.25">
      <c r="A478">
        <v>10426</v>
      </c>
      <c r="B478">
        <v>64</v>
      </c>
      <c r="C478">
        <v>26.6</v>
      </c>
      <c r="D478">
        <v>7</v>
      </c>
      <c r="E478">
        <v>0</v>
      </c>
      <c r="F478">
        <f t="shared" si="7"/>
        <v>186.20000000000002</v>
      </c>
      <c r="G478">
        <f>YEAR(VLOOKUP(A478,orders!A:D,4,0))</f>
        <v>2014</v>
      </c>
      <c r="H478">
        <f>MONTH(INDEX(orders!D:D,MATCH(A478, orders!A:A,0)))</f>
        <v>1</v>
      </c>
      <c r="I478" t="str">
        <f>VLOOKUP(VLOOKUP(B478,products!A:F,6,0),categories!A:B,2,0)</f>
        <v>Grains &amp; Cereals</v>
      </c>
      <c r="J478" t="str">
        <f>VLOOKUP(VLOOKUP(A478,orders!A:B,2,0),customers!A:F,6,0)</f>
        <v>Spain</v>
      </c>
      <c r="K478" t="str">
        <f>VLOOKUP(VLOOKUP(A478,orders!A:C,3,0),employees!A:B,2,0)</f>
        <v>Margaret Peacock</v>
      </c>
    </row>
    <row r="479" spans="1:11" x14ac:dyDescent="0.25">
      <c r="A479">
        <v>10427</v>
      </c>
      <c r="B479">
        <v>14</v>
      </c>
      <c r="C479">
        <v>18.600000000000001</v>
      </c>
      <c r="D479">
        <v>35</v>
      </c>
      <c r="E479">
        <v>0</v>
      </c>
      <c r="F479">
        <f t="shared" si="7"/>
        <v>651</v>
      </c>
      <c r="G479">
        <f>YEAR(VLOOKUP(A479,orders!A:D,4,0))</f>
        <v>2014</v>
      </c>
      <c r="H479">
        <f>MONTH(INDEX(orders!D:D,MATCH(A479, orders!A:A,0)))</f>
        <v>1</v>
      </c>
      <c r="I479" t="str">
        <f>VLOOKUP(VLOOKUP(B479,products!A:F,6,0),categories!A:B,2,0)</f>
        <v>Produce</v>
      </c>
      <c r="J479" t="str">
        <f>VLOOKUP(VLOOKUP(A479,orders!A:B,2,0),customers!A:F,6,0)</f>
        <v>Austria</v>
      </c>
      <c r="K479" t="str">
        <f>VLOOKUP(VLOOKUP(A479,orders!A:C,3,0),employees!A:B,2,0)</f>
        <v>Margaret Peacock</v>
      </c>
    </row>
    <row r="480" spans="1:11" x14ac:dyDescent="0.25">
      <c r="A480">
        <v>10428</v>
      </c>
      <c r="B480">
        <v>46</v>
      </c>
      <c r="C480">
        <v>9.6</v>
      </c>
      <c r="D480">
        <v>20</v>
      </c>
      <c r="E480">
        <v>0</v>
      </c>
      <c r="F480">
        <f t="shared" si="7"/>
        <v>192</v>
      </c>
      <c r="G480">
        <f>YEAR(VLOOKUP(A480,orders!A:D,4,0))</f>
        <v>2014</v>
      </c>
      <c r="H480">
        <f>MONTH(INDEX(orders!D:D,MATCH(A480, orders!A:A,0)))</f>
        <v>1</v>
      </c>
      <c r="I480" t="str">
        <f>VLOOKUP(VLOOKUP(B480,products!A:F,6,0),categories!A:B,2,0)</f>
        <v>Seafood</v>
      </c>
      <c r="J480" t="str">
        <f>VLOOKUP(VLOOKUP(A480,orders!A:B,2,0),customers!A:F,6,0)</f>
        <v>Italy</v>
      </c>
      <c r="K480" t="str">
        <f>VLOOKUP(VLOOKUP(A480,orders!A:C,3,0),employees!A:B,2,0)</f>
        <v>Robert King</v>
      </c>
    </row>
    <row r="481" spans="1:11" x14ac:dyDescent="0.25">
      <c r="A481">
        <v>10429</v>
      </c>
      <c r="B481">
        <v>50</v>
      </c>
      <c r="C481">
        <v>13</v>
      </c>
      <c r="D481">
        <v>40</v>
      </c>
      <c r="E481">
        <v>0</v>
      </c>
      <c r="F481">
        <f t="shared" si="7"/>
        <v>520</v>
      </c>
      <c r="G481">
        <f>YEAR(VLOOKUP(A481,orders!A:D,4,0))</f>
        <v>2014</v>
      </c>
      <c r="H481">
        <f>MONTH(INDEX(orders!D:D,MATCH(A481, orders!A:A,0)))</f>
        <v>1</v>
      </c>
      <c r="I481" t="str">
        <f>VLOOKUP(VLOOKUP(B481,products!A:F,6,0),categories!A:B,2,0)</f>
        <v>Confections</v>
      </c>
      <c r="J481" t="str">
        <f>VLOOKUP(VLOOKUP(A481,orders!A:B,2,0),customers!A:F,6,0)</f>
        <v>Ireland</v>
      </c>
      <c r="K481" t="str">
        <f>VLOOKUP(VLOOKUP(A481,orders!A:C,3,0),employees!A:B,2,0)</f>
        <v>Janet Leverling</v>
      </c>
    </row>
    <row r="482" spans="1:11" x14ac:dyDescent="0.25">
      <c r="A482">
        <v>10429</v>
      </c>
      <c r="B482">
        <v>63</v>
      </c>
      <c r="C482">
        <v>35.1</v>
      </c>
      <c r="D482">
        <v>35</v>
      </c>
      <c r="E482">
        <v>0.25</v>
      </c>
      <c r="F482">
        <f t="shared" si="7"/>
        <v>921.375</v>
      </c>
      <c r="G482">
        <f>YEAR(VLOOKUP(A482,orders!A:D,4,0))</f>
        <v>2014</v>
      </c>
      <c r="H482">
        <f>MONTH(INDEX(orders!D:D,MATCH(A482, orders!A:A,0)))</f>
        <v>1</v>
      </c>
      <c r="I482" t="str">
        <f>VLOOKUP(VLOOKUP(B482,products!A:F,6,0),categories!A:B,2,0)</f>
        <v>Condiments</v>
      </c>
      <c r="J482" t="str">
        <f>VLOOKUP(VLOOKUP(A482,orders!A:B,2,0),customers!A:F,6,0)</f>
        <v>Ireland</v>
      </c>
      <c r="K482" t="str">
        <f>VLOOKUP(VLOOKUP(A482,orders!A:C,3,0),employees!A:B,2,0)</f>
        <v>Janet Leverling</v>
      </c>
    </row>
    <row r="483" spans="1:11" x14ac:dyDescent="0.25">
      <c r="A483">
        <v>10430</v>
      </c>
      <c r="B483">
        <v>17</v>
      </c>
      <c r="C483">
        <v>31.2</v>
      </c>
      <c r="D483">
        <v>45</v>
      </c>
      <c r="E483">
        <v>0.2</v>
      </c>
      <c r="F483">
        <f t="shared" si="7"/>
        <v>1123.2</v>
      </c>
      <c r="G483">
        <f>YEAR(VLOOKUP(A483,orders!A:D,4,0))</f>
        <v>2014</v>
      </c>
      <c r="H483">
        <f>MONTH(INDEX(orders!D:D,MATCH(A483, orders!A:A,0)))</f>
        <v>1</v>
      </c>
      <c r="I483" t="str">
        <f>VLOOKUP(VLOOKUP(B483,products!A:F,6,0),categories!A:B,2,0)</f>
        <v>Meat &amp; Poultry</v>
      </c>
      <c r="J483" t="str">
        <f>VLOOKUP(VLOOKUP(A483,orders!A:B,2,0),customers!A:F,6,0)</f>
        <v>Austria</v>
      </c>
      <c r="K483" t="str">
        <f>VLOOKUP(VLOOKUP(A483,orders!A:C,3,0),employees!A:B,2,0)</f>
        <v>Margaret Peacock</v>
      </c>
    </row>
    <row r="484" spans="1:11" x14ac:dyDescent="0.25">
      <c r="A484">
        <v>10430</v>
      </c>
      <c r="B484">
        <v>21</v>
      </c>
      <c r="C484">
        <v>8</v>
      </c>
      <c r="D484">
        <v>50</v>
      </c>
      <c r="E484">
        <v>0</v>
      </c>
      <c r="F484">
        <f t="shared" si="7"/>
        <v>400</v>
      </c>
      <c r="G484">
        <f>YEAR(VLOOKUP(A484,orders!A:D,4,0))</f>
        <v>2014</v>
      </c>
      <c r="H484">
        <f>MONTH(INDEX(orders!D:D,MATCH(A484, orders!A:A,0)))</f>
        <v>1</v>
      </c>
      <c r="I484" t="str">
        <f>VLOOKUP(VLOOKUP(B484,products!A:F,6,0),categories!A:B,2,0)</f>
        <v>Confections</v>
      </c>
      <c r="J484" t="str">
        <f>VLOOKUP(VLOOKUP(A484,orders!A:B,2,0),customers!A:F,6,0)</f>
        <v>Austria</v>
      </c>
      <c r="K484" t="str">
        <f>VLOOKUP(VLOOKUP(A484,orders!A:C,3,0),employees!A:B,2,0)</f>
        <v>Margaret Peacock</v>
      </c>
    </row>
    <row r="485" spans="1:11" x14ac:dyDescent="0.25">
      <c r="A485">
        <v>10430</v>
      </c>
      <c r="B485">
        <v>56</v>
      </c>
      <c r="C485">
        <v>30.4</v>
      </c>
      <c r="D485">
        <v>30</v>
      </c>
      <c r="E485">
        <v>0</v>
      </c>
      <c r="F485">
        <f t="shared" si="7"/>
        <v>912</v>
      </c>
      <c r="G485">
        <f>YEAR(VLOOKUP(A485,orders!A:D,4,0))</f>
        <v>2014</v>
      </c>
      <c r="H485">
        <f>MONTH(INDEX(orders!D:D,MATCH(A485, orders!A:A,0)))</f>
        <v>1</v>
      </c>
      <c r="I485" t="str">
        <f>VLOOKUP(VLOOKUP(B485,products!A:F,6,0),categories!A:B,2,0)</f>
        <v>Grains &amp; Cereals</v>
      </c>
      <c r="J485" t="str">
        <f>VLOOKUP(VLOOKUP(A485,orders!A:B,2,0),customers!A:F,6,0)</f>
        <v>Austria</v>
      </c>
      <c r="K485" t="str">
        <f>VLOOKUP(VLOOKUP(A485,orders!A:C,3,0),employees!A:B,2,0)</f>
        <v>Margaret Peacock</v>
      </c>
    </row>
    <row r="486" spans="1:11" x14ac:dyDescent="0.25">
      <c r="A486">
        <v>10430</v>
      </c>
      <c r="B486">
        <v>59</v>
      </c>
      <c r="C486">
        <v>44</v>
      </c>
      <c r="D486">
        <v>70</v>
      </c>
      <c r="E486">
        <v>0.2</v>
      </c>
      <c r="F486">
        <f t="shared" si="7"/>
        <v>2464</v>
      </c>
      <c r="G486">
        <f>YEAR(VLOOKUP(A486,orders!A:D,4,0))</f>
        <v>2014</v>
      </c>
      <c r="H486">
        <f>MONTH(INDEX(orders!D:D,MATCH(A486, orders!A:A,0)))</f>
        <v>1</v>
      </c>
      <c r="I486" t="str">
        <f>VLOOKUP(VLOOKUP(B486,products!A:F,6,0),categories!A:B,2,0)</f>
        <v>Dairy Products</v>
      </c>
      <c r="J486" t="str">
        <f>VLOOKUP(VLOOKUP(A486,orders!A:B,2,0),customers!A:F,6,0)</f>
        <v>Austria</v>
      </c>
      <c r="K486" t="str">
        <f>VLOOKUP(VLOOKUP(A486,orders!A:C,3,0),employees!A:B,2,0)</f>
        <v>Margaret Peacock</v>
      </c>
    </row>
    <row r="487" spans="1:11" x14ac:dyDescent="0.25">
      <c r="A487">
        <v>10431</v>
      </c>
      <c r="B487">
        <v>17</v>
      </c>
      <c r="C487">
        <v>31.2</v>
      </c>
      <c r="D487">
        <v>50</v>
      </c>
      <c r="E487">
        <v>0.25</v>
      </c>
      <c r="F487">
        <f t="shared" si="7"/>
        <v>1170</v>
      </c>
      <c r="G487">
        <f>YEAR(VLOOKUP(A487,orders!A:D,4,0))</f>
        <v>2014</v>
      </c>
      <c r="H487">
        <f>MONTH(INDEX(orders!D:D,MATCH(A487, orders!A:A,0)))</f>
        <v>1</v>
      </c>
      <c r="I487" t="str">
        <f>VLOOKUP(VLOOKUP(B487,products!A:F,6,0),categories!A:B,2,0)</f>
        <v>Meat &amp; Poultry</v>
      </c>
      <c r="J487" t="str">
        <f>VLOOKUP(VLOOKUP(A487,orders!A:B,2,0),customers!A:F,6,0)</f>
        <v>Canada</v>
      </c>
      <c r="K487" t="str">
        <f>VLOOKUP(VLOOKUP(A487,orders!A:C,3,0),employees!A:B,2,0)</f>
        <v>Margaret Peacock</v>
      </c>
    </row>
    <row r="488" spans="1:11" x14ac:dyDescent="0.25">
      <c r="A488">
        <v>10431</v>
      </c>
      <c r="B488">
        <v>40</v>
      </c>
      <c r="C488">
        <v>14.7</v>
      </c>
      <c r="D488">
        <v>50</v>
      </c>
      <c r="E488">
        <v>0.25</v>
      </c>
      <c r="F488">
        <f t="shared" si="7"/>
        <v>551.25</v>
      </c>
      <c r="G488">
        <f>YEAR(VLOOKUP(A488,orders!A:D,4,0))</f>
        <v>2014</v>
      </c>
      <c r="H488">
        <f>MONTH(INDEX(orders!D:D,MATCH(A488, orders!A:A,0)))</f>
        <v>1</v>
      </c>
      <c r="I488" t="str">
        <f>VLOOKUP(VLOOKUP(B488,products!A:F,6,0),categories!A:B,2,0)</f>
        <v>Seafood</v>
      </c>
      <c r="J488" t="str">
        <f>VLOOKUP(VLOOKUP(A488,orders!A:B,2,0),customers!A:F,6,0)</f>
        <v>Canada</v>
      </c>
      <c r="K488" t="str">
        <f>VLOOKUP(VLOOKUP(A488,orders!A:C,3,0),employees!A:B,2,0)</f>
        <v>Margaret Peacock</v>
      </c>
    </row>
    <row r="489" spans="1:11" x14ac:dyDescent="0.25">
      <c r="A489">
        <v>10431</v>
      </c>
      <c r="B489">
        <v>47</v>
      </c>
      <c r="C489">
        <v>7.6</v>
      </c>
      <c r="D489">
        <v>30</v>
      </c>
      <c r="E489">
        <v>0.25</v>
      </c>
      <c r="F489">
        <f t="shared" si="7"/>
        <v>171</v>
      </c>
      <c r="G489">
        <f>YEAR(VLOOKUP(A489,orders!A:D,4,0))</f>
        <v>2014</v>
      </c>
      <c r="H489">
        <f>MONTH(INDEX(orders!D:D,MATCH(A489, orders!A:A,0)))</f>
        <v>1</v>
      </c>
      <c r="I489" t="str">
        <f>VLOOKUP(VLOOKUP(B489,products!A:F,6,0),categories!A:B,2,0)</f>
        <v>Confections</v>
      </c>
      <c r="J489" t="str">
        <f>VLOOKUP(VLOOKUP(A489,orders!A:B,2,0),customers!A:F,6,0)</f>
        <v>Canada</v>
      </c>
      <c r="K489" t="str">
        <f>VLOOKUP(VLOOKUP(A489,orders!A:C,3,0),employees!A:B,2,0)</f>
        <v>Margaret Peacock</v>
      </c>
    </row>
    <row r="490" spans="1:11" x14ac:dyDescent="0.25">
      <c r="A490">
        <v>10432</v>
      </c>
      <c r="B490">
        <v>26</v>
      </c>
      <c r="C490">
        <v>24.9</v>
      </c>
      <c r="D490">
        <v>10</v>
      </c>
      <c r="E490">
        <v>0</v>
      </c>
      <c r="F490">
        <f t="shared" si="7"/>
        <v>249</v>
      </c>
      <c r="G490">
        <f>YEAR(VLOOKUP(A490,orders!A:D,4,0))</f>
        <v>2014</v>
      </c>
      <c r="H490">
        <f>MONTH(INDEX(orders!D:D,MATCH(A490, orders!A:A,0)))</f>
        <v>1</v>
      </c>
      <c r="I490" t="str">
        <f>VLOOKUP(VLOOKUP(B490,products!A:F,6,0),categories!A:B,2,0)</f>
        <v>Confections</v>
      </c>
      <c r="J490" t="str">
        <f>VLOOKUP(VLOOKUP(A490,orders!A:B,2,0),customers!A:F,6,0)</f>
        <v>USA</v>
      </c>
      <c r="K490" t="str">
        <f>VLOOKUP(VLOOKUP(A490,orders!A:C,3,0),employees!A:B,2,0)</f>
        <v>Janet Leverling</v>
      </c>
    </row>
    <row r="491" spans="1:11" x14ac:dyDescent="0.25">
      <c r="A491">
        <v>10432</v>
      </c>
      <c r="B491">
        <v>54</v>
      </c>
      <c r="C491">
        <v>5.9</v>
      </c>
      <c r="D491">
        <v>40</v>
      </c>
      <c r="E491">
        <v>0</v>
      </c>
      <c r="F491">
        <f t="shared" si="7"/>
        <v>236</v>
      </c>
      <c r="G491">
        <f>YEAR(VLOOKUP(A491,orders!A:D,4,0))</f>
        <v>2014</v>
      </c>
      <c r="H491">
        <f>MONTH(INDEX(orders!D:D,MATCH(A491, orders!A:A,0)))</f>
        <v>1</v>
      </c>
      <c r="I491" t="str">
        <f>VLOOKUP(VLOOKUP(B491,products!A:F,6,0),categories!A:B,2,0)</f>
        <v>Meat &amp; Poultry</v>
      </c>
      <c r="J491" t="str">
        <f>VLOOKUP(VLOOKUP(A491,orders!A:B,2,0),customers!A:F,6,0)</f>
        <v>USA</v>
      </c>
      <c r="K491" t="str">
        <f>VLOOKUP(VLOOKUP(A491,orders!A:C,3,0),employees!A:B,2,0)</f>
        <v>Janet Leverling</v>
      </c>
    </row>
    <row r="492" spans="1:11" x14ac:dyDescent="0.25">
      <c r="A492">
        <v>10433</v>
      </c>
      <c r="B492">
        <v>56</v>
      </c>
      <c r="C492">
        <v>30.4</v>
      </c>
      <c r="D492">
        <v>28</v>
      </c>
      <c r="E492">
        <v>0</v>
      </c>
      <c r="F492">
        <f t="shared" si="7"/>
        <v>851.19999999999993</v>
      </c>
      <c r="G492">
        <f>YEAR(VLOOKUP(A492,orders!A:D,4,0))</f>
        <v>2014</v>
      </c>
      <c r="H492">
        <f>MONTH(INDEX(orders!D:D,MATCH(A492, orders!A:A,0)))</f>
        <v>2</v>
      </c>
      <c r="I492" t="str">
        <f>VLOOKUP(VLOOKUP(B492,products!A:F,6,0),categories!A:B,2,0)</f>
        <v>Grains &amp; Cereals</v>
      </c>
      <c r="J492" t="str">
        <f>VLOOKUP(VLOOKUP(A492,orders!A:B,2,0),customers!A:F,6,0)</f>
        <v>Portugal</v>
      </c>
      <c r="K492" t="str">
        <f>VLOOKUP(VLOOKUP(A492,orders!A:C,3,0),employees!A:B,2,0)</f>
        <v>Janet Leverling</v>
      </c>
    </row>
    <row r="493" spans="1:11" x14ac:dyDescent="0.25">
      <c r="A493">
        <v>10434</v>
      </c>
      <c r="B493">
        <v>11</v>
      </c>
      <c r="C493">
        <v>16.8</v>
      </c>
      <c r="D493">
        <v>6</v>
      </c>
      <c r="E493">
        <v>0</v>
      </c>
      <c r="F493">
        <f t="shared" si="7"/>
        <v>100.80000000000001</v>
      </c>
      <c r="G493">
        <f>YEAR(VLOOKUP(A493,orders!A:D,4,0))</f>
        <v>2014</v>
      </c>
      <c r="H493">
        <f>MONTH(INDEX(orders!D:D,MATCH(A493, orders!A:A,0)))</f>
        <v>2</v>
      </c>
      <c r="I493" t="str">
        <f>VLOOKUP(VLOOKUP(B493,products!A:F,6,0),categories!A:B,2,0)</f>
        <v>Dairy Products</v>
      </c>
      <c r="J493" t="str">
        <f>VLOOKUP(VLOOKUP(A493,orders!A:B,2,0),customers!A:F,6,0)</f>
        <v>Sweden</v>
      </c>
      <c r="K493" t="str">
        <f>VLOOKUP(VLOOKUP(A493,orders!A:C,3,0),employees!A:B,2,0)</f>
        <v>Janet Leverling</v>
      </c>
    </row>
    <row r="494" spans="1:11" x14ac:dyDescent="0.25">
      <c r="A494">
        <v>10434</v>
      </c>
      <c r="B494">
        <v>76</v>
      </c>
      <c r="C494">
        <v>14.4</v>
      </c>
      <c r="D494">
        <v>18</v>
      </c>
      <c r="E494">
        <v>0.15</v>
      </c>
      <c r="F494">
        <f t="shared" si="7"/>
        <v>220.32</v>
      </c>
      <c r="G494">
        <f>YEAR(VLOOKUP(A494,orders!A:D,4,0))</f>
        <v>2014</v>
      </c>
      <c r="H494">
        <f>MONTH(INDEX(orders!D:D,MATCH(A494, orders!A:A,0)))</f>
        <v>2</v>
      </c>
      <c r="I494" t="str">
        <f>VLOOKUP(VLOOKUP(B494,products!A:F,6,0),categories!A:B,2,0)</f>
        <v>Beverages</v>
      </c>
      <c r="J494" t="str">
        <f>VLOOKUP(VLOOKUP(A494,orders!A:B,2,0),customers!A:F,6,0)</f>
        <v>Sweden</v>
      </c>
      <c r="K494" t="str">
        <f>VLOOKUP(VLOOKUP(A494,orders!A:C,3,0),employees!A:B,2,0)</f>
        <v>Janet Leverling</v>
      </c>
    </row>
    <row r="495" spans="1:11" x14ac:dyDescent="0.25">
      <c r="A495">
        <v>10435</v>
      </c>
      <c r="B495">
        <v>2</v>
      </c>
      <c r="C495">
        <v>15.2</v>
      </c>
      <c r="D495">
        <v>10</v>
      </c>
      <c r="E495">
        <v>0</v>
      </c>
      <c r="F495">
        <f t="shared" si="7"/>
        <v>152</v>
      </c>
      <c r="G495">
        <f>YEAR(VLOOKUP(A495,orders!A:D,4,0))</f>
        <v>2014</v>
      </c>
      <c r="H495">
        <f>MONTH(INDEX(orders!D:D,MATCH(A495, orders!A:A,0)))</f>
        <v>2</v>
      </c>
      <c r="I495" t="str">
        <f>VLOOKUP(VLOOKUP(B495,products!A:F,6,0),categories!A:B,2,0)</f>
        <v>Beverages</v>
      </c>
      <c r="J495" t="str">
        <f>VLOOKUP(VLOOKUP(A495,orders!A:B,2,0),customers!A:F,6,0)</f>
        <v>UK</v>
      </c>
      <c r="K495" t="str">
        <f>VLOOKUP(VLOOKUP(A495,orders!A:C,3,0),employees!A:B,2,0)</f>
        <v>Laura Callahan</v>
      </c>
    </row>
    <row r="496" spans="1:11" x14ac:dyDescent="0.25">
      <c r="A496">
        <v>10435</v>
      </c>
      <c r="B496">
        <v>22</v>
      </c>
      <c r="C496">
        <v>16.8</v>
      </c>
      <c r="D496">
        <v>12</v>
      </c>
      <c r="E496">
        <v>0</v>
      </c>
      <c r="F496">
        <f t="shared" si="7"/>
        <v>201.60000000000002</v>
      </c>
      <c r="G496">
        <f>YEAR(VLOOKUP(A496,orders!A:D,4,0))</f>
        <v>2014</v>
      </c>
      <c r="H496">
        <f>MONTH(INDEX(orders!D:D,MATCH(A496, orders!A:A,0)))</f>
        <v>2</v>
      </c>
      <c r="I496" t="str">
        <f>VLOOKUP(VLOOKUP(B496,products!A:F,6,0),categories!A:B,2,0)</f>
        <v>Grains &amp; Cereals</v>
      </c>
      <c r="J496" t="str">
        <f>VLOOKUP(VLOOKUP(A496,orders!A:B,2,0),customers!A:F,6,0)</f>
        <v>UK</v>
      </c>
      <c r="K496" t="str">
        <f>VLOOKUP(VLOOKUP(A496,orders!A:C,3,0),employees!A:B,2,0)</f>
        <v>Laura Callahan</v>
      </c>
    </row>
    <row r="497" spans="1:11" x14ac:dyDescent="0.25">
      <c r="A497">
        <v>10435</v>
      </c>
      <c r="B497">
        <v>72</v>
      </c>
      <c r="C497">
        <v>27.8</v>
      </c>
      <c r="D497">
        <v>10</v>
      </c>
      <c r="E497">
        <v>0</v>
      </c>
      <c r="F497">
        <f t="shared" si="7"/>
        <v>278</v>
      </c>
      <c r="G497">
        <f>YEAR(VLOOKUP(A497,orders!A:D,4,0))</f>
        <v>2014</v>
      </c>
      <c r="H497">
        <f>MONTH(INDEX(orders!D:D,MATCH(A497, orders!A:A,0)))</f>
        <v>2</v>
      </c>
      <c r="I497" t="str">
        <f>VLOOKUP(VLOOKUP(B497,products!A:F,6,0),categories!A:B,2,0)</f>
        <v>Dairy Products</v>
      </c>
      <c r="J497" t="str">
        <f>VLOOKUP(VLOOKUP(A497,orders!A:B,2,0),customers!A:F,6,0)</f>
        <v>UK</v>
      </c>
      <c r="K497" t="str">
        <f>VLOOKUP(VLOOKUP(A497,orders!A:C,3,0),employees!A:B,2,0)</f>
        <v>Laura Callahan</v>
      </c>
    </row>
    <row r="498" spans="1:11" x14ac:dyDescent="0.25">
      <c r="A498">
        <v>10436</v>
      </c>
      <c r="B498">
        <v>46</v>
      </c>
      <c r="C498">
        <v>9.6</v>
      </c>
      <c r="D498">
        <v>5</v>
      </c>
      <c r="E498">
        <v>0</v>
      </c>
      <c r="F498">
        <f t="shared" si="7"/>
        <v>48</v>
      </c>
      <c r="G498">
        <f>YEAR(VLOOKUP(A498,orders!A:D,4,0))</f>
        <v>2014</v>
      </c>
      <c r="H498">
        <f>MONTH(INDEX(orders!D:D,MATCH(A498, orders!A:A,0)))</f>
        <v>2</v>
      </c>
      <c r="I498" t="str">
        <f>VLOOKUP(VLOOKUP(B498,products!A:F,6,0),categories!A:B,2,0)</f>
        <v>Seafood</v>
      </c>
      <c r="J498" t="str">
        <f>VLOOKUP(VLOOKUP(A498,orders!A:B,2,0),customers!A:F,6,0)</f>
        <v>France</v>
      </c>
      <c r="K498" t="str">
        <f>VLOOKUP(VLOOKUP(A498,orders!A:C,3,0),employees!A:B,2,0)</f>
        <v>Janet Leverling</v>
      </c>
    </row>
    <row r="499" spans="1:11" x14ac:dyDescent="0.25">
      <c r="A499">
        <v>10436</v>
      </c>
      <c r="B499">
        <v>56</v>
      </c>
      <c r="C499">
        <v>30.4</v>
      </c>
      <c r="D499">
        <v>40</v>
      </c>
      <c r="E499">
        <v>0.1</v>
      </c>
      <c r="F499">
        <f t="shared" si="7"/>
        <v>1094.4000000000001</v>
      </c>
      <c r="G499">
        <f>YEAR(VLOOKUP(A499,orders!A:D,4,0))</f>
        <v>2014</v>
      </c>
      <c r="H499">
        <f>MONTH(INDEX(orders!D:D,MATCH(A499, orders!A:A,0)))</f>
        <v>2</v>
      </c>
      <c r="I499" t="str">
        <f>VLOOKUP(VLOOKUP(B499,products!A:F,6,0),categories!A:B,2,0)</f>
        <v>Grains &amp; Cereals</v>
      </c>
      <c r="J499" t="str">
        <f>VLOOKUP(VLOOKUP(A499,orders!A:B,2,0),customers!A:F,6,0)</f>
        <v>France</v>
      </c>
      <c r="K499" t="str">
        <f>VLOOKUP(VLOOKUP(A499,orders!A:C,3,0),employees!A:B,2,0)</f>
        <v>Janet Leverling</v>
      </c>
    </row>
    <row r="500" spans="1:11" x14ac:dyDescent="0.25">
      <c r="A500">
        <v>10436</v>
      </c>
      <c r="B500">
        <v>64</v>
      </c>
      <c r="C500">
        <v>26.6</v>
      </c>
      <c r="D500">
        <v>30</v>
      </c>
      <c r="E500">
        <v>0.1</v>
      </c>
      <c r="F500">
        <f t="shared" si="7"/>
        <v>718.2</v>
      </c>
      <c r="G500">
        <f>YEAR(VLOOKUP(A500,orders!A:D,4,0))</f>
        <v>2014</v>
      </c>
      <c r="H500">
        <f>MONTH(INDEX(orders!D:D,MATCH(A500, orders!A:A,0)))</f>
        <v>2</v>
      </c>
      <c r="I500" t="str">
        <f>VLOOKUP(VLOOKUP(B500,products!A:F,6,0),categories!A:B,2,0)</f>
        <v>Grains &amp; Cereals</v>
      </c>
      <c r="J500" t="str">
        <f>VLOOKUP(VLOOKUP(A500,orders!A:B,2,0),customers!A:F,6,0)</f>
        <v>France</v>
      </c>
      <c r="K500" t="str">
        <f>VLOOKUP(VLOOKUP(A500,orders!A:C,3,0),employees!A:B,2,0)</f>
        <v>Janet Leverling</v>
      </c>
    </row>
    <row r="501" spans="1:11" x14ac:dyDescent="0.25">
      <c r="A501">
        <v>10436</v>
      </c>
      <c r="B501">
        <v>75</v>
      </c>
      <c r="C501">
        <v>6.2</v>
      </c>
      <c r="D501">
        <v>24</v>
      </c>
      <c r="E501">
        <v>0.1</v>
      </c>
      <c r="F501">
        <f t="shared" si="7"/>
        <v>133.92000000000002</v>
      </c>
      <c r="G501">
        <f>YEAR(VLOOKUP(A501,orders!A:D,4,0))</f>
        <v>2014</v>
      </c>
      <c r="H501">
        <f>MONTH(INDEX(orders!D:D,MATCH(A501, orders!A:A,0)))</f>
        <v>2</v>
      </c>
      <c r="I501" t="str">
        <f>VLOOKUP(VLOOKUP(B501,products!A:F,6,0),categories!A:B,2,0)</f>
        <v>Beverages</v>
      </c>
      <c r="J501" t="str">
        <f>VLOOKUP(VLOOKUP(A501,orders!A:B,2,0),customers!A:F,6,0)</f>
        <v>France</v>
      </c>
      <c r="K501" t="str">
        <f>VLOOKUP(VLOOKUP(A501,orders!A:C,3,0),employees!A:B,2,0)</f>
        <v>Janet Leverling</v>
      </c>
    </row>
    <row r="502" spans="1:11" x14ac:dyDescent="0.25">
      <c r="A502">
        <v>10437</v>
      </c>
      <c r="B502">
        <v>53</v>
      </c>
      <c r="C502">
        <v>26.2</v>
      </c>
      <c r="D502">
        <v>15</v>
      </c>
      <c r="E502">
        <v>0</v>
      </c>
      <c r="F502">
        <f t="shared" si="7"/>
        <v>393</v>
      </c>
      <c r="G502">
        <f>YEAR(VLOOKUP(A502,orders!A:D,4,0))</f>
        <v>2014</v>
      </c>
      <c r="H502">
        <f>MONTH(INDEX(orders!D:D,MATCH(A502, orders!A:A,0)))</f>
        <v>2</v>
      </c>
      <c r="I502" t="str">
        <f>VLOOKUP(VLOOKUP(B502,products!A:F,6,0),categories!A:B,2,0)</f>
        <v>Meat &amp; Poultry</v>
      </c>
      <c r="J502" t="str">
        <f>VLOOKUP(VLOOKUP(A502,orders!A:B,2,0),customers!A:F,6,0)</f>
        <v>Finland</v>
      </c>
      <c r="K502" t="str">
        <f>VLOOKUP(VLOOKUP(A502,orders!A:C,3,0),employees!A:B,2,0)</f>
        <v>Laura Callahan</v>
      </c>
    </row>
    <row r="503" spans="1:11" x14ac:dyDescent="0.25">
      <c r="A503">
        <v>10438</v>
      </c>
      <c r="B503">
        <v>19</v>
      </c>
      <c r="C503">
        <v>7.3</v>
      </c>
      <c r="D503">
        <v>15</v>
      </c>
      <c r="E503">
        <v>0.2</v>
      </c>
      <c r="F503">
        <f t="shared" si="7"/>
        <v>87.600000000000009</v>
      </c>
      <c r="G503">
        <f>YEAR(VLOOKUP(A503,orders!A:D,4,0))</f>
        <v>2014</v>
      </c>
      <c r="H503">
        <f>MONTH(INDEX(orders!D:D,MATCH(A503, orders!A:A,0)))</f>
        <v>2</v>
      </c>
      <c r="I503" t="str">
        <f>VLOOKUP(VLOOKUP(B503,products!A:F,6,0),categories!A:B,2,0)</f>
        <v>Confections</v>
      </c>
      <c r="J503" t="str">
        <f>VLOOKUP(VLOOKUP(A503,orders!A:B,2,0),customers!A:F,6,0)</f>
        <v>Germany</v>
      </c>
      <c r="K503" t="str">
        <f>VLOOKUP(VLOOKUP(A503,orders!A:C,3,0),employees!A:B,2,0)</f>
        <v>Janet Leverling</v>
      </c>
    </row>
    <row r="504" spans="1:11" x14ac:dyDescent="0.25">
      <c r="A504">
        <v>10438</v>
      </c>
      <c r="B504">
        <v>34</v>
      </c>
      <c r="C504">
        <v>11.2</v>
      </c>
      <c r="D504">
        <v>20</v>
      </c>
      <c r="E504">
        <v>0.2</v>
      </c>
      <c r="F504">
        <f t="shared" si="7"/>
        <v>179.20000000000002</v>
      </c>
      <c r="G504">
        <f>YEAR(VLOOKUP(A504,orders!A:D,4,0))</f>
        <v>2014</v>
      </c>
      <c r="H504">
        <f>MONTH(INDEX(orders!D:D,MATCH(A504, orders!A:A,0)))</f>
        <v>2</v>
      </c>
      <c r="I504" t="str">
        <f>VLOOKUP(VLOOKUP(B504,products!A:F,6,0),categories!A:B,2,0)</f>
        <v>Beverages</v>
      </c>
      <c r="J504" t="str">
        <f>VLOOKUP(VLOOKUP(A504,orders!A:B,2,0),customers!A:F,6,0)</f>
        <v>Germany</v>
      </c>
      <c r="K504" t="str">
        <f>VLOOKUP(VLOOKUP(A504,orders!A:C,3,0),employees!A:B,2,0)</f>
        <v>Janet Leverling</v>
      </c>
    </row>
    <row r="505" spans="1:11" x14ac:dyDescent="0.25">
      <c r="A505">
        <v>10438</v>
      </c>
      <c r="B505">
        <v>57</v>
      </c>
      <c r="C505">
        <v>15.6</v>
      </c>
      <c r="D505">
        <v>15</v>
      </c>
      <c r="E505">
        <v>0.2</v>
      </c>
      <c r="F505">
        <f t="shared" si="7"/>
        <v>187.20000000000002</v>
      </c>
      <c r="G505">
        <f>YEAR(VLOOKUP(A505,orders!A:D,4,0))</f>
        <v>2014</v>
      </c>
      <c r="H505">
        <f>MONTH(INDEX(orders!D:D,MATCH(A505, orders!A:A,0)))</f>
        <v>2</v>
      </c>
      <c r="I505" t="str">
        <f>VLOOKUP(VLOOKUP(B505,products!A:F,6,0),categories!A:B,2,0)</f>
        <v>Grains &amp; Cereals</v>
      </c>
      <c r="J505" t="str">
        <f>VLOOKUP(VLOOKUP(A505,orders!A:B,2,0),customers!A:F,6,0)</f>
        <v>Germany</v>
      </c>
      <c r="K505" t="str">
        <f>VLOOKUP(VLOOKUP(A505,orders!A:C,3,0),employees!A:B,2,0)</f>
        <v>Janet Leverling</v>
      </c>
    </row>
    <row r="506" spans="1:11" x14ac:dyDescent="0.25">
      <c r="A506">
        <v>10439</v>
      </c>
      <c r="B506">
        <v>12</v>
      </c>
      <c r="C506">
        <v>30.4</v>
      </c>
      <c r="D506">
        <v>15</v>
      </c>
      <c r="E506">
        <v>0</v>
      </c>
      <c r="F506">
        <f t="shared" si="7"/>
        <v>456</v>
      </c>
      <c r="G506">
        <f>YEAR(VLOOKUP(A506,orders!A:D,4,0))</f>
        <v>2014</v>
      </c>
      <c r="H506">
        <f>MONTH(INDEX(orders!D:D,MATCH(A506, orders!A:A,0)))</f>
        <v>2</v>
      </c>
      <c r="I506" t="str">
        <f>VLOOKUP(VLOOKUP(B506,products!A:F,6,0),categories!A:B,2,0)</f>
        <v>Dairy Products</v>
      </c>
      <c r="J506" t="str">
        <f>VLOOKUP(VLOOKUP(A506,orders!A:B,2,0),customers!A:F,6,0)</f>
        <v>Canada</v>
      </c>
      <c r="K506" t="str">
        <f>VLOOKUP(VLOOKUP(A506,orders!A:C,3,0),employees!A:B,2,0)</f>
        <v>Michael Suyama</v>
      </c>
    </row>
    <row r="507" spans="1:11" x14ac:dyDescent="0.25">
      <c r="A507">
        <v>10439</v>
      </c>
      <c r="B507">
        <v>16</v>
      </c>
      <c r="C507">
        <v>13.9</v>
      </c>
      <c r="D507">
        <v>16</v>
      </c>
      <c r="E507">
        <v>0</v>
      </c>
      <c r="F507">
        <f t="shared" si="7"/>
        <v>222.4</v>
      </c>
      <c r="G507">
        <f>YEAR(VLOOKUP(A507,orders!A:D,4,0))</f>
        <v>2014</v>
      </c>
      <c r="H507">
        <f>MONTH(INDEX(orders!D:D,MATCH(A507, orders!A:A,0)))</f>
        <v>2</v>
      </c>
      <c r="I507" t="str">
        <f>VLOOKUP(VLOOKUP(B507,products!A:F,6,0),categories!A:B,2,0)</f>
        <v>Confections</v>
      </c>
      <c r="J507" t="str">
        <f>VLOOKUP(VLOOKUP(A507,orders!A:B,2,0),customers!A:F,6,0)</f>
        <v>Canada</v>
      </c>
      <c r="K507" t="str">
        <f>VLOOKUP(VLOOKUP(A507,orders!A:C,3,0),employees!A:B,2,0)</f>
        <v>Michael Suyama</v>
      </c>
    </row>
    <row r="508" spans="1:11" x14ac:dyDescent="0.25">
      <c r="A508">
        <v>10439</v>
      </c>
      <c r="B508">
        <v>64</v>
      </c>
      <c r="C508">
        <v>26.6</v>
      </c>
      <c r="D508">
        <v>6</v>
      </c>
      <c r="E508">
        <v>0</v>
      </c>
      <c r="F508">
        <f t="shared" si="7"/>
        <v>159.60000000000002</v>
      </c>
      <c r="G508">
        <f>YEAR(VLOOKUP(A508,orders!A:D,4,0))</f>
        <v>2014</v>
      </c>
      <c r="H508">
        <f>MONTH(INDEX(orders!D:D,MATCH(A508, orders!A:A,0)))</f>
        <v>2</v>
      </c>
      <c r="I508" t="str">
        <f>VLOOKUP(VLOOKUP(B508,products!A:F,6,0),categories!A:B,2,0)</f>
        <v>Grains &amp; Cereals</v>
      </c>
      <c r="J508" t="str">
        <f>VLOOKUP(VLOOKUP(A508,orders!A:B,2,0),customers!A:F,6,0)</f>
        <v>Canada</v>
      </c>
      <c r="K508" t="str">
        <f>VLOOKUP(VLOOKUP(A508,orders!A:C,3,0),employees!A:B,2,0)</f>
        <v>Michael Suyama</v>
      </c>
    </row>
    <row r="509" spans="1:11" x14ac:dyDescent="0.25">
      <c r="A509">
        <v>10439</v>
      </c>
      <c r="B509">
        <v>74</v>
      </c>
      <c r="C509">
        <v>8</v>
      </c>
      <c r="D509">
        <v>30</v>
      </c>
      <c r="E509">
        <v>0</v>
      </c>
      <c r="F509">
        <f t="shared" si="7"/>
        <v>240</v>
      </c>
      <c r="G509">
        <f>YEAR(VLOOKUP(A509,orders!A:D,4,0))</f>
        <v>2014</v>
      </c>
      <c r="H509">
        <f>MONTH(INDEX(orders!D:D,MATCH(A509, orders!A:A,0)))</f>
        <v>2</v>
      </c>
      <c r="I509" t="str">
        <f>VLOOKUP(VLOOKUP(B509,products!A:F,6,0),categories!A:B,2,0)</f>
        <v>Produce</v>
      </c>
      <c r="J509" t="str">
        <f>VLOOKUP(VLOOKUP(A509,orders!A:B,2,0),customers!A:F,6,0)</f>
        <v>Canada</v>
      </c>
      <c r="K509" t="str">
        <f>VLOOKUP(VLOOKUP(A509,orders!A:C,3,0),employees!A:B,2,0)</f>
        <v>Michael Suyama</v>
      </c>
    </row>
    <row r="510" spans="1:11" x14ac:dyDescent="0.25">
      <c r="A510">
        <v>10440</v>
      </c>
      <c r="B510">
        <v>2</v>
      </c>
      <c r="C510">
        <v>15.2</v>
      </c>
      <c r="D510">
        <v>45</v>
      </c>
      <c r="E510">
        <v>0.15</v>
      </c>
      <c r="F510">
        <f t="shared" si="7"/>
        <v>581.4</v>
      </c>
      <c r="G510">
        <f>YEAR(VLOOKUP(A510,orders!A:D,4,0))</f>
        <v>2014</v>
      </c>
      <c r="H510">
        <f>MONTH(INDEX(orders!D:D,MATCH(A510, orders!A:A,0)))</f>
        <v>2</v>
      </c>
      <c r="I510" t="str">
        <f>VLOOKUP(VLOOKUP(B510,products!A:F,6,0),categories!A:B,2,0)</f>
        <v>Beverages</v>
      </c>
      <c r="J510" t="str">
        <f>VLOOKUP(VLOOKUP(A510,orders!A:B,2,0),customers!A:F,6,0)</f>
        <v>USA</v>
      </c>
      <c r="K510" t="str">
        <f>VLOOKUP(VLOOKUP(A510,orders!A:C,3,0),employees!A:B,2,0)</f>
        <v>Margaret Peacock</v>
      </c>
    </row>
    <row r="511" spans="1:11" x14ac:dyDescent="0.25">
      <c r="A511">
        <v>10440</v>
      </c>
      <c r="B511">
        <v>16</v>
      </c>
      <c r="C511">
        <v>13.9</v>
      </c>
      <c r="D511">
        <v>49</v>
      </c>
      <c r="E511">
        <v>0.15</v>
      </c>
      <c r="F511">
        <f t="shared" si="7"/>
        <v>578.93500000000006</v>
      </c>
      <c r="G511">
        <f>YEAR(VLOOKUP(A511,orders!A:D,4,0))</f>
        <v>2014</v>
      </c>
      <c r="H511">
        <f>MONTH(INDEX(orders!D:D,MATCH(A511, orders!A:A,0)))</f>
        <v>2</v>
      </c>
      <c r="I511" t="str">
        <f>VLOOKUP(VLOOKUP(B511,products!A:F,6,0),categories!A:B,2,0)</f>
        <v>Confections</v>
      </c>
      <c r="J511" t="str">
        <f>VLOOKUP(VLOOKUP(A511,orders!A:B,2,0),customers!A:F,6,0)</f>
        <v>USA</v>
      </c>
      <c r="K511" t="str">
        <f>VLOOKUP(VLOOKUP(A511,orders!A:C,3,0),employees!A:B,2,0)</f>
        <v>Margaret Peacock</v>
      </c>
    </row>
    <row r="512" spans="1:11" x14ac:dyDescent="0.25">
      <c r="A512">
        <v>10440</v>
      </c>
      <c r="B512">
        <v>29</v>
      </c>
      <c r="C512">
        <v>99</v>
      </c>
      <c r="D512">
        <v>24</v>
      </c>
      <c r="E512">
        <v>0.15</v>
      </c>
      <c r="F512">
        <f t="shared" si="7"/>
        <v>2019.6</v>
      </c>
      <c r="G512">
        <f>YEAR(VLOOKUP(A512,orders!A:D,4,0))</f>
        <v>2014</v>
      </c>
      <c r="H512">
        <f>MONTH(INDEX(orders!D:D,MATCH(A512, orders!A:A,0)))</f>
        <v>2</v>
      </c>
      <c r="I512" t="str">
        <f>VLOOKUP(VLOOKUP(B512,products!A:F,6,0),categories!A:B,2,0)</f>
        <v>Meat &amp; Poultry</v>
      </c>
      <c r="J512" t="str">
        <f>VLOOKUP(VLOOKUP(A512,orders!A:B,2,0),customers!A:F,6,0)</f>
        <v>USA</v>
      </c>
      <c r="K512" t="str">
        <f>VLOOKUP(VLOOKUP(A512,orders!A:C,3,0),employees!A:B,2,0)</f>
        <v>Margaret Peacock</v>
      </c>
    </row>
    <row r="513" spans="1:11" x14ac:dyDescent="0.25">
      <c r="A513">
        <v>10440</v>
      </c>
      <c r="B513">
        <v>61</v>
      </c>
      <c r="C513">
        <v>22.8</v>
      </c>
      <c r="D513">
        <v>90</v>
      </c>
      <c r="E513">
        <v>0.15</v>
      </c>
      <c r="F513">
        <f t="shared" si="7"/>
        <v>1744.2</v>
      </c>
      <c r="G513">
        <f>YEAR(VLOOKUP(A513,orders!A:D,4,0))</f>
        <v>2014</v>
      </c>
      <c r="H513">
        <f>MONTH(INDEX(orders!D:D,MATCH(A513, orders!A:A,0)))</f>
        <v>2</v>
      </c>
      <c r="I513" t="str">
        <f>VLOOKUP(VLOOKUP(B513,products!A:F,6,0),categories!A:B,2,0)</f>
        <v>Condiments</v>
      </c>
      <c r="J513" t="str">
        <f>VLOOKUP(VLOOKUP(A513,orders!A:B,2,0),customers!A:F,6,0)</f>
        <v>USA</v>
      </c>
      <c r="K513" t="str">
        <f>VLOOKUP(VLOOKUP(A513,orders!A:C,3,0),employees!A:B,2,0)</f>
        <v>Margaret Peacock</v>
      </c>
    </row>
    <row r="514" spans="1:11" x14ac:dyDescent="0.25">
      <c r="A514">
        <v>10441</v>
      </c>
      <c r="B514">
        <v>27</v>
      </c>
      <c r="C514">
        <v>35.1</v>
      </c>
      <c r="D514">
        <v>50</v>
      </c>
      <c r="E514">
        <v>0</v>
      </c>
      <c r="F514">
        <f t="shared" si="7"/>
        <v>1755</v>
      </c>
      <c r="G514">
        <f>YEAR(VLOOKUP(A514,orders!A:D,4,0))</f>
        <v>2014</v>
      </c>
      <c r="H514">
        <f>MONTH(INDEX(orders!D:D,MATCH(A514, orders!A:A,0)))</f>
        <v>2</v>
      </c>
      <c r="I514" t="str">
        <f>VLOOKUP(VLOOKUP(B514,products!A:F,6,0),categories!A:B,2,0)</f>
        <v>Confections</v>
      </c>
      <c r="J514" t="str">
        <f>VLOOKUP(VLOOKUP(A514,orders!A:B,2,0),customers!A:F,6,0)</f>
        <v>USA</v>
      </c>
      <c r="K514" t="str">
        <f>VLOOKUP(VLOOKUP(A514,orders!A:C,3,0),employees!A:B,2,0)</f>
        <v>Janet Leverling</v>
      </c>
    </row>
    <row r="515" spans="1:11" x14ac:dyDescent="0.25">
      <c r="A515">
        <v>10442</v>
      </c>
      <c r="B515">
        <v>11</v>
      </c>
      <c r="C515">
        <v>16.8</v>
      </c>
      <c r="D515">
        <v>30</v>
      </c>
      <c r="E515">
        <v>0</v>
      </c>
      <c r="F515">
        <f t="shared" ref="F515:F578" si="8">C515*D515*(1-E515)</f>
        <v>504</v>
      </c>
      <c r="G515">
        <f>YEAR(VLOOKUP(A515,orders!A:D,4,0))</f>
        <v>2014</v>
      </c>
      <c r="H515">
        <f>MONTH(INDEX(orders!D:D,MATCH(A515, orders!A:A,0)))</f>
        <v>2</v>
      </c>
      <c r="I515" t="str">
        <f>VLOOKUP(VLOOKUP(B515,products!A:F,6,0),categories!A:B,2,0)</f>
        <v>Dairy Products</v>
      </c>
      <c r="J515" t="str">
        <f>VLOOKUP(VLOOKUP(A515,orders!A:B,2,0),customers!A:F,6,0)</f>
        <v>Austria</v>
      </c>
      <c r="K515" t="str">
        <f>VLOOKUP(VLOOKUP(A515,orders!A:C,3,0),employees!A:B,2,0)</f>
        <v>Janet Leverling</v>
      </c>
    </row>
    <row r="516" spans="1:11" x14ac:dyDescent="0.25">
      <c r="A516">
        <v>10442</v>
      </c>
      <c r="B516">
        <v>54</v>
      </c>
      <c r="C516">
        <v>5.9</v>
      </c>
      <c r="D516">
        <v>80</v>
      </c>
      <c r="E516">
        <v>0</v>
      </c>
      <c r="F516">
        <f t="shared" si="8"/>
        <v>472</v>
      </c>
      <c r="G516">
        <f>YEAR(VLOOKUP(A516,orders!A:D,4,0))</f>
        <v>2014</v>
      </c>
      <c r="H516">
        <f>MONTH(INDEX(orders!D:D,MATCH(A516, orders!A:A,0)))</f>
        <v>2</v>
      </c>
      <c r="I516" t="str">
        <f>VLOOKUP(VLOOKUP(B516,products!A:F,6,0),categories!A:B,2,0)</f>
        <v>Meat &amp; Poultry</v>
      </c>
      <c r="J516" t="str">
        <f>VLOOKUP(VLOOKUP(A516,orders!A:B,2,0),customers!A:F,6,0)</f>
        <v>Austria</v>
      </c>
      <c r="K516" t="str">
        <f>VLOOKUP(VLOOKUP(A516,orders!A:C,3,0),employees!A:B,2,0)</f>
        <v>Janet Leverling</v>
      </c>
    </row>
    <row r="517" spans="1:11" x14ac:dyDescent="0.25">
      <c r="A517">
        <v>10442</v>
      </c>
      <c r="B517">
        <v>66</v>
      </c>
      <c r="C517">
        <v>13.6</v>
      </c>
      <c r="D517">
        <v>60</v>
      </c>
      <c r="E517">
        <v>0</v>
      </c>
      <c r="F517">
        <f t="shared" si="8"/>
        <v>816</v>
      </c>
      <c r="G517">
        <f>YEAR(VLOOKUP(A517,orders!A:D,4,0))</f>
        <v>2014</v>
      </c>
      <c r="H517">
        <f>MONTH(INDEX(orders!D:D,MATCH(A517, orders!A:A,0)))</f>
        <v>2</v>
      </c>
      <c r="I517" t="str">
        <f>VLOOKUP(VLOOKUP(B517,products!A:F,6,0),categories!A:B,2,0)</f>
        <v>Condiments</v>
      </c>
      <c r="J517" t="str">
        <f>VLOOKUP(VLOOKUP(A517,orders!A:B,2,0),customers!A:F,6,0)</f>
        <v>Austria</v>
      </c>
      <c r="K517" t="str">
        <f>VLOOKUP(VLOOKUP(A517,orders!A:C,3,0),employees!A:B,2,0)</f>
        <v>Janet Leverling</v>
      </c>
    </row>
    <row r="518" spans="1:11" x14ac:dyDescent="0.25">
      <c r="A518">
        <v>10443</v>
      </c>
      <c r="B518">
        <v>11</v>
      </c>
      <c r="C518">
        <v>16.8</v>
      </c>
      <c r="D518">
        <v>6</v>
      </c>
      <c r="E518">
        <v>0.2</v>
      </c>
      <c r="F518">
        <f t="shared" si="8"/>
        <v>80.640000000000015</v>
      </c>
      <c r="G518">
        <f>YEAR(VLOOKUP(A518,orders!A:D,4,0))</f>
        <v>2014</v>
      </c>
      <c r="H518">
        <f>MONTH(INDEX(orders!D:D,MATCH(A518, orders!A:A,0)))</f>
        <v>2</v>
      </c>
      <c r="I518" t="str">
        <f>VLOOKUP(VLOOKUP(B518,products!A:F,6,0),categories!A:B,2,0)</f>
        <v>Dairy Products</v>
      </c>
      <c r="J518" t="str">
        <f>VLOOKUP(VLOOKUP(A518,orders!A:B,2,0),customers!A:F,6,0)</f>
        <v>Italy</v>
      </c>
      <c r="K518" t="str">
        <f>VLOOKUP(VLOOKUP(A518,orders!A:C,3,0),employees!A:B,2,0)</f>
        <v>Laura Callahan</v>
      </c>
    </row>
    <row r="519" spans="1:11" x14ac:dyDescent="0.25">
      <c r="A519">
        <v>10443</v>
      </c>
      <c r="B519">
        <v>28</v>
      </c>
      <c r="C519">
        <v>36.4</v>
      </c>
      <c r="D519">
        <v>12</v>
      </c>
      <c r="E519">
        <v>0</v>
      </c>
      <c r="F519">
        <f t="shared" si="8"/>
        <v>436.79999999999995</v>
      </c>
      <c r="G519">
        <f>YEAR(VLOOKUP(A519,orders!A:D,4,0))</f>
        <v>2014</v>
      </c>
      <c r="H519">
        <f>MONTH(INDEX(orders!D:D,MATCH(A519, orders!A:A,0)))</f>
        <v>2</v>
      </c>
      <c r="I519" t="str">
        <f>VLOOKUP(VLOOKUP(B519,products!A:F,6,0),categories!A:B,2,0)</f>
        <v>Produce</v>
      </c>
      <c r="J519" t="str">
        <f>VLOOKUP(VLOOKUP(A519,orders!A:B,2,0),customers!A:F,6,0)</f>
        <v>Italy</v>
      </c>
      <c r="K519" t="str">
        <f>VLOOKUP(VLOOKUP(A519,orders!A:C,3,0),employees!A:B,2,0)</f>
        <v>Laura Callahan</v>
      </c>
    </row>
    <row r="520" spans="1:11" x14ac:dyDescent="0.25">
      <c r="A520">
        <v>10444</v>
      </c>
      <c r="B520">
        <v>17</v>
      </c>
      <c r="C520">
        <v>31.2</v>
      </c>
      <c r="D520">
        <v>10</v>
      </c>
      <c r="E520">
        <v>0</v>
      </c>
      <c r="F520">
        <f t="shared" si="8"/>
        <v>312</v>
      </c>
      <c r="G520">
        <f>YEAR(VLOOKUP(A520,orders!A:D,4,0))</f>
        <v>2014</v>
      </c>
      <c r="H520">
        <f>MONTH(INDEX(orders!D:D,MATCH(A520, orders!A:A,0)))</f>
        <v>2</v>
      </c>
      <c r="I520" t="str">
        <f>VLOOKUP(VLOOKUP(B520,products!A:F,6,0),categories!A:B,2,0)</f>
        <v>Meat &amp; Poultry</v>
      </c>
      <c r="J520" t="str">
        <f>VLOOKUP(VLOOKUP(A520,orders!A:B,2,0),customers!A:F,6,0)</f>
        <v>Sweden</v>
      </c>
      <c r="K520" t="str">
        <f>VLOOKUP(VLOOKUP(A520,orders!A:C,3,0),employees!A:B,2,0)</f>
        <v>Janet Leverling</v>
      </c>
    </row>
    <row r="521" spans="1:11" x14ac:dyDescent="0.25">
      <c r="A521">
        <v>10444</v>
      </c>
      <c r="B521">
        <v>26</v>
      </c>
      <c r="C521">
        <v>24.9</v>
      </c>
      <c r="D521">
        <v>15</v>
      </c>
      <c r="E521">
        <v>0</v>
      </c>
      <c r="F521">
        <f t="shared" si="8"/>
        <v>373.5</v>
      </c>
      <c r="G521">
        <f>YEAR(VLOOKUP(A521,orders!A:D,4,0))</f>
        <v>2014</v>
      </c>
      <c r="H521">
        <f>MONTH(INDEX(orders!D:D,MATCH(A521, orders!A:A,0)))</f>
        <v>2</v>
      </c>
      <c r="I521" t="str">
        <f>VLOOKUP(VLOOKUP(B521,products!A:F,6,0),categories!A:B,2,0)</f>
        <v>Confections</v>
      </c>
      <c r="J521" t="str">
        <f>VLOOKUP(VLOOKUP(A521,orders!A:B,2,0),customers!A:F,6,0)</f>
        <v>Sweden</v>
      </c>
      <c r="K521" t="str">
        <f>VLOOKUP(VLOOKUP(A521,orders!A:C,3,0),employees!A:B,2,0)</f>
        <v>Janet Leverling</v>
      </c>
    </row>
    <row r="522" spans="1:11" x14ac:dyDescent="0.25">
      <c r="A522">
        <v>10444</v>
      </c>
      <c r="B522">
        <v>35</v>
      </c>
      <c r="C522">
        <v>14.4</v>
      </c>
      <c r="D522">
        <v>8</v>
      </c>
      <c r="E522">
        <v>0</v>
      </c>
      <c r="F522">
        <f t="shared" si="8"/>
        <v>115.2</v>
      </c>
      <c r="G522">
        <f>YEAR(VLOOKUP(A522,orders!A:D,4,0))</f>
        <v>2014</v>
      </c>
      <c r="H522">
        <f>MONTH(INDEX(orders!D:D,MATCH(A522, orders!A:A,0)))</f>
        <v>2</v>
      </c>
      <c r="I522" t="str">
        <f>VLOOKUP(VLOOKUP(B522,products!A:F,6,0),categories!A:B,2,0)</f>
        <v>Beverages</v>
      </c>
      <c r="J522" t="str">
        <f>VLOOKUP(VLOOKUP(A522,orders!A:B,2,0),customers!A:F,6,0)</f>
        <v>Sweden</v>
      </c>
      <c r="K522" t="str">
        <f>VLOOKUP(VLOOKUP(A522,orders!A:C,3,0),employees!A:B,2,0)</f>
        <v>Janet Leverling</v>
      </c>
    </row>
    <row r="523" spans="1:11" x14ac:dyDescent="0.25">
      <c r="A523">
        <v>10444</v>
      </c>
      <c r="B523">
        <v>41</v>
      </c>
      <c r="C523">
        <v>7.7</v>
      </c>
      <c r="D523">
        <v>30</v>
      </c>
      <c r="E523">
        <v>0</v>
      </c>
      <c r="F523">
        <f t="shared" si="8"/>
        <v>231</v>
      </c>
      <c r="G523">
        <f>YEAR(VLOOKUP(A523,orders!A:D,4,0))</f>
        <v>2014</v>
      </c>
      <c r="H523">
        <f>MONTH(INDEX(orders!D:D,MATCH(A523, orders!A:A,0)))</f>
        <v>2</v>
      </c>
      <c r="I523" t="str">
        <f>VLOOKUP(VLOOKUP(B523,products!A:F,6,0),categories!A:B,2,0)</f>
        <v>Seafood</v>
      </c>
      <c r="J523" t="str">
        <f>VLOOKUP(VLOOKUP(A523,orders!A:B,2,0),customers!A:F,6,0)</f>
        <v>Sweden</v>
      </c>
      <c r="K523" t="str">
        <f>VLOOKUP(VLOOKUP(A523,orders!A:C,3,0),employees!A:B,2,0)</f>
        <v>Janet Leverling</v>
      </c>
    </row>
    <row r="524" spans="1:11" x14ac:dyDescent="0.25">
      <c r="A524">
        <v>10445</v>
      </c>
      <c r="B524">
        <v>39</v>
      </c>
      <c r="C524">
        <v>14.4</v>
      </c>
      <c r="D524">
        <v>6</v>
      </c>
      <c r="E524">
        <v>0</v>
      </c>
      <c r="F524">
        <f t="shared" si="8"/>
        <v>86.4</v>
      </c>
      <c r="G524">
        <f>YEAR(VLOOKUP(A524,orders!A:D,4,0))</f>
        <v>2014</v>
      </c>
      <c r="H524">
        <f>MONTH(INDEX(orders!D:D,MATCH(A524, orders!A:A,0)))</f>
        <v>2</v>
      </c>
      <c r="I524" t="str">
        <f>VLOOKUP(VLOOKUP(B524,products!A:F,6,0),categories!A:B,2,0)</f>
        <v>Beverages</v>
      </c>
      <c r="J524" t="str">
        <f>VLOOKUP(VLOOKUP(A524,orders!A:B,2,0),customers!A:F,6,0)</f>
        <v>Sweden</v>
      </c>
      <c r="K524" t="str">
        <f>VLOOKUP(VLOOKUP(A524,orders!A:C,3,0),employees!A:B,2,0)</f>
        <v>Janet Leverling</v>
      </c>
    </row>
    <row r="525" spans="1:11" x14ac:dyDescent="0.25">
      <c r="A525">
        <v>10445</v>
      </c>
      <c r="B525">
        <v>54</v>
      </c>
      <c r="C525">
        <v>5.9</v>
      </c>
      <c r="D525">
        <v>15</v>
      </c>
      <c r="E525">
        <v>0</v>
      </c>
      <c r="F525">
        <f t="shared" si="8"/>
        <v>88.5</v>
      </c>
      <c r="G525">
        <f>YEAR(VLOOKUP(A525,orders!A:D,4,0))</f>
        <v>2014</v>
      </c>
      <c r="H525">
        <f>MONTH(INDEX(orders!D:D,MATCH(A525, orders!A:A,0)))</f>
        <v>2</v>
      </c>
      <c r="I525" t="str">
        <f>VLOOKUP(VLOOKUP(B525,products!A:F,6,0),categories!A:B,2,0)</f>
        <v>Meat &amp; Poultry</v>
      </c>
      <c r="J525" t="str">
        <f>VLOOKUP(VLOOKUP(A525,orders!A:B,2,0),customers!A:F,6,0)</f>
        <v>Sweden</v>
      </c>
      <c r="K525" t="str">
        <f>VLOOKUP(VLOOKUP(A525,orders!A:C,3,0),employees!A:B,2,0)</f>
        <v>Janet Leverling</v>
      </c>
    </row>
    <row r="526" spans="1:11" x14ac:dyDescent="0.25">
      <c r="A526">
        <v>10446</v>
      </c>
      <c r="B526">
        <v>19</v>
      </c>
      <c r="C526">
        <v>7.3</v>
      </c>
      <c r="D526">
        <v>12</v>
      </c>
      <c r="E526">
        <v>0.1</v>
      </c>
      <c r="F526">
        <f t="shared" si="8"/>
        <v>78.84</v>
      </c>
      <c r="G526">
        <f>YEAR(VLOOKUP(A526,orders!A:D,4,0))</f>
        <v>2014</v>
      </c>
      <c r="H526">
        <f>MONTH(INDEX(orders!D:D,MATCH(A526, orders!A:A,0)))</f>
        <v>2</v>
      </c>
      <c r="I526" t="str">
        <f>VLOOKUP(VLOOKUP(B526,products!A:F,6,0),categories!A:B,2,0)</f>
        <v>Confections</v>
      </c>
      <c r="J526" t="str">
        <f>VLOOKUP(VLOOKUP(A526,orders!A:B,2,0),customers!A:F,6,0)</f>
        <v>Germany</v>
      </c>
      <c r="K526" t="str">
        <f>VLOOKUP(VLOOKUP(A526,orders!A:C,3,0),employees!A:B,2,0)</f>
        <v>Michael Suyama</v>
      </c>
    </row>
    <row r="527" spans="1:11" x14ac:dyDescent="0.25">
      <c r="A527">
        <v>10446</v>
      </c>
      <c r="B527">
        <v>24</v>
      </c>
      <c r="C527">
        <v>3.6</v>
      </c>
      <c r="D527">
        <v>20</v>
      </c>
      <c r="E527">
        <v>0.1</v>
      </c>
      <c r="F527">
        <f t="shared" si="8"/>
        <v>64.8</v>
      </c>
      <c r="G527">
        <f>YEAR(VLOOKUP(A527,orders!A:D,4,0))</f>
        <v>2014</v>
      </c>
      <c r="H527">
        <f>MONTH(INDEX(orders!D:D,MATCH(A527, orders!A:A,0)))</f>
        <v>2</v>
      </c>
      <c r="I527" t="str">
        <f>VLOOKUP(VLOOKUP(B527,products!A:F,6,0),categories!A:B,2,0)</f>
        <v>Beverages</v>
      </c>
      <c r="J527" t="str">
        <f>VLOOKUP(VLOOKUP(A527,orders!A:B,2,0),customers!A:F,6,0)</f>
        <v>Germany</v>
      </c>
      <c r="K527" t="str">
        <f>VLOOKUP(VLOOKUP(A527,orders!A:C,3,0),employees!A:B,2,0)</f>
        <v>Michael Suyama</v>
      </c>
    </row>
    <row r="528" spans="1:11" x14ac:dyDescent="0.25">
      <c r="A528">
        <v>10446</v>
      </c>
      <c r="B528">
        <v>31</v>
      </c>
      <c r="C528">
        <v>10</v>
      </c>
      <c r="D528">
        <v>3</v>
      </c>
      <c r="E528">
        <v>0.1</v>
      </c>
      <c r="F528">
        <f t="shared" si="8"/>
        <v>27</v>
      </c>
      <c r="G528">
        <f>YEAR(VLOOKUP(A528,orders!A:D,4,0))</f>
        <v>2014</v>
      </c>
      <c r="H528">
        <f>MONTH(INDEX(orders!D:D,MATCH(A528, orders!A:A,0)))</f>
        <v>2</v>
      </c>
      <c r="I528" t="str">
        <f>VLOOKUP(VLOOKUP(B528,products!A:F,6,0),categories!A:B,2,0)</f>
        <v>Dairy Products</v>
      </c>
      <c r="J528" t="str">
        <f>VLOOKUP(VLOOKUP(A528,orders!A:B,2,0),customers!A:F,6,0)</f>
        <v>Germany</v>
      </c>
      <c r="K528" t="str">
        <f>VLOOKUP(VLOOKUP(A528,orders!A:C,3,0),employees!A:B,2,0)</f>
        <v>Michael Suyama</v>
      </c>
    </row>
    <row r="529" spans="1:11" x14ac:dyDescent="0.25">
      <c r="A529">
        <v>10446</v>
      </c>
      <c r="B529">
        <v>52</v>
      </c>
      <c r="C529">
        <v>5.6</v>
      </c>
      <c r="D529">
        <v>15</v>
      </c>
      <c r="E529">
        <v>0.1</v>
      </c>
      <c r="F529">
        <f t="shared" si="8"/>
        <v>75.600000000000009</v>
      </c>
      <c r="G529">
        <f>YEAR(VLOOKUP(A529,orders!A:D,4,0))</f>
        <v>2014</v>
      </c>
      <c r="H529">
        <f>MONTH(INDEX(orders!D:D,MATCH(A529, orders!A:A,0)))</f>
        <v>2</v>
      </c>
      <c r="I529" t="str">
        <f>VLOOKUP(VLOOKUP(B529,products!A:F,6,0),categories!A:B,2,0)</f>
        <v>Grains &amp; Cereals</v>
      </c>
      <c r="J529" t="str">
        <f>VLOOKUP(VLOOKUP(A529,orders!A:B,2,0),customers!A:F,6,0)</f>
        <v>Germany</v>
      </c>
      <c r="K529" t="str">
        <f>VLOOKUP(VLOOKUP(A529,orders!A:C,3,0),employees!A:B,2,0)</f>
        <v>Michael Suyama</v>
      </c>
    </row>
    <row r="530" spans="1:11" x14ac:dyDescent="0.25">
      <c r="A530">
        <v>10447</v>
      </c>
      <c r="B530">
        <v>19</v>
      </c>
      <c r="C530">
        <v>7.3</v>
      </c>
      <c r="D530">
        <v>40</v>
      </c>
      <c r="E530">
        <v>0</v>
      </c>
      <c r="F530">
        <f t="shared" si="8"/>
        <v>292</v>
      </c>
      <c r="G530">
        <f>YEAR(VLOOKUP(A530,orders!A:D,4,0))</f>
        <v>2014</v>
      </c>
      <c r="H530">
        <f>MONTH(INDEX(orders!D:D,MATCH(A530, orders!A:A,0)))</f>
        <v>2</v>
      </c>
      <c r="I530" t="str">
        <f>VLOOKUP(VLOOKUP(B530,products!A:F,6,0),categories!A:B,2,0)</f>
        <v>Confections</v>
      </c>
      <c r="J530" t="str">
        <f>VLOOKUP(VLOOKUP(A530,orders!A:B,2,0),customers!A:F,6,0)</f>
        <v>Brazil</v>
      </c>
      <c r="K530" t="str">
        <f>VLOOKUP(VLOOKUP(A530,orders!A:C,3,0),employees!A:B,2,0)</f>
        <v>Margaret Peacock</v>
      </c>
    </row>
    <row r="531" spans="1:11" x14ac:dyDescent="0.25">
      <c r="A531">
        <v>10447</v>
      </c>
      <c r="B531">
        <v>65</v>
      </c>
      <c r="C531">
        <v>16.8</v>
      </c>
      <c r="D531">
        <v>35</v>
      </c>
      <c r="E531">
        <v>0</v>
      </c>
      <c r="F531">
        <f t="shared" si="8"/>
        <v>588</v>
      </c>
      <c r="G531">
        <f>YEAR(VLOOKUP(A531,orders!A:D,4,0))</f>
        <v>2014</v>
      </c>
      <c r="H531">
        <f>MONTH(INDEX(orders!D:D,MATCH(A531, orders!A:A,0)))</f>
        <v>2</v>
      </c>
      <c r="I531" t="str">
        <f>VLOOKUP(VLOOKUP(B531,products!A:F,6,0),categories!A:B,2,0)</f>
        <v>Condiments</v>
      </c>
      <c r="J531" t="str">
        <f>VLOOKUP(VLOOKUP(A531,orders!A:B,2,0),customers!A:F,6,0)</f>
        <v>Brazil</v>
      </c>
      <c r="K531" t="str">
        <f>VLOOKUP(VLOOKUP(A531,orders!A:C,3,0),employees!A:B,2,0)</f>
        <v>Margaret Peacock</v>
      </c>
    </row>
    <row r="532" spans="1:11" x14ac:dyDescent="0.25">
      <c r="A532">
        <v>10447</v>
      </c>
      <c r="B532">
        <v>71</v>
      </c>
      <c r="C532">
        <v>17.2</v>
      </c>
      <c r="D532">
        <v>2</v>
      </c>
      <c r="E532">
        <v>0</v>
      </c>
      <c r="F532">
        <f t="shared" si="8"/>
        <v>34.4</v>
      </c>
      <c r="G532">
        <f>YEAR(VLOOKUP(A532,orders!A:D,4,0))</f>
        <v>2014</v>
      </c>
      <c r="H532">
        <f>MONTH(INDEX(orders!D:D,MATCH(A532, orders!A:A,0)))</f>
        <v>2</v>
      </c>
      <c r="I532" t="str">
        <f>VLOOKUP(VLOOKUP(B532,products!A:F,6,0),categories!A:B,2,0)</f>
        <v>Dairy Products</v>
      </c>
      <c r="J532" t="str">
        <f>VLOOKUP(VLOOKUP(A532,orders!A:B,2,0),customers!A:F,6,0)</f>
        <v>Brazil</v>
      </c>
      <c r="K532" t="str">
        <f>VLOOKUP(VLOOKUP(A532,orders!A:C,3,0),employees!A:B,2,0)</f>
        <v>Margaret Peacock</v>
      </c>
    </row>
    <row r="533" spans="1:11" x14ac:dyDescent="0.25">
      <c r="A533">
        <v>10448</v>
      </c>
      <c r="B533">
        <v>26</v>
      </c>
      <c r="C533">
        <v>24.9</v>
      </c>
      <c r="D533">
        <v>6</v>
      </c>
      <c r="E533">
        <v>0</v>
      </c>
      <c r="F533">
        <f t="shared" si="8"/>
        <v>149.39999999999998</v>
      </c>
      <c r="G533">
        <f>YEAR(VLOOKUP(A533,orders!A:D,4,0))</f>
        <v>2014</v>
      </c>
      <c r="H533">
        <f>MONTH(INDEX(orders!D:D,MATCH(A533, orders!A:A,0)))</f>
        <v>2</v>
      </c>
      <c r="I533" t="str">
        <f>VLOOKUP(VLOOKUP(B533,products!A:F,6,0),categories!A:B,2,0)</f>
        <v>Confections</v>
      </c>
      <c r="J533" t="str">
        <f>VLOOKUP(VLOOKUP(A533,orders!A:B,2,0),customers!A:F,6,0)</f>
        <v>Argentina</v>
      </c>
      <c r="K533" t="str">
        <f>VLOOKUP(VLOOKUP(A533,orders!A:C,3,0),employees!A:B,2,0)</f>
        <v>Margaret Peacock</v>
      </c>
    </row>
    <row r="534" spans="1:11" x14ac:dyDescent="0.25">
      <c r="A534">
        <v>10448</v>
      </c>
      <c r="B534">
        <v>40</v>
      </c>
      <c r="C534">
        <v>14.7</v>
      </c>
      <c r="D534">
        <v>20</v>
      </c>
      <c r="E534">
        <v>0</v>
      </c>
      <c r="F534">
        <f t="shared" si="8"/>
        <v>294</v>
      </c>
      <c r="G534">
        <f>YEAR(VLOOKUP(A534,orders!A:D,4,0))</f>
        <v>2014</v>
      </c>
      <c r="H534">
        <f>MONTH(INDEX(orders!D:D,MATCH(A534, orders!A:A,0)))</f>
        <v>2</v>
      </c>
      <c r="I534" t="str">
        <f>VLOOKUP(VLOOKUP(B534,products!A:F,6,0),categories!A:B,2,0)</f>
        <v>Seafood</v>
      </c>
      <c r="J534" t="str">
        <f>VLOOKUP(VLOOKUP(A534,orders!A:B,2,0),customers!A:F,6,0)</f>
        <v>Argentina</v>
      </c>
      <c r="K534" t="str">
        <f>VLOOKUP(VLOOKUP(A534,orders!A:C,3,0),employees!A:B,2,0)</f>
        <v>Margaret Peacock</v>
      </c>
    </row>
    <row r="535" spans="1:11" x14ac:dyDescent="0.25">
      <c r="A535">
        <v>10449</v>
      </c>
      <c r="B535">
        <v>10</v>
      </c>
      <c r="C535">
        <v>24.8</v>
      </c>
      <c r="D535">
        <v>14</v>
      </c>
      <c r="E535">
        <v>0</v>
      </c>
      <c r="F535">
        <f t="shared" si="8"/>
        <v>347.2</v>
      </c>
      <c r="G535">
        <f>YEAR(VLOOKUP(A535,orders!A:D,4,0))</f>
        <v>2014</v>
      </c>
      <c r="H535">
        <f>MONTH(INDEX(orders!D:D,MATCH(A535, orders!A:A,0)))</f>
        <v>2</v>
      </c>
      <c r="I535" t="str">
        <f>VLOOKUP(VLOOKUP(B535,products!A:F,6,0),categories!A:B,2,0)</f>
        <v>Seafood</v>
      </c>
      <c r="J535" t="str">
        <f>VLOOKUP(VLOOKUP(A535,orders!A:B,2,0),customers!A:F,6,0)</f>
        <v>France</v>
      </c>
      <c r="K535" t="str">
        <f>VLOOKUP(VLOOKUP(A535,orders!A:C,3,0),employees!A:B,2,0)</f>
        <v>Janet Leverling</v>
      </c>
    </row>
    <row r="536" spans="1:11" x14ac:dyDescent="0.25">
      <c r="A536">
        <v>10449</v>
      </c>
      <c r="B536">
        <v>52</v>
      </c>
      <c r="C536">
        <v>5.6</v>
      </c>
      <c r="D536">
        <v>20</v>
      </c>
      <c r="E536">
        <v>0</v>
      </c>
      <c r="F536">
        <f t="shared" si="8"/>
        <v>112</v>
      </c>
      <c r="G536">
        <f>YEAR(VLOOKUP(A536,orders!A:D,4,0))</f>
        <v>2014</v>
      </c>
      <c r="H536">
        <f>MONTH(INDEX(orders!D:D,MATCH(A536, orders!A:A,0)))</f>
        <v>2</v>
      </c>
      <c r="I536" t="str">
        <f>VLOOKUP(VLOOKUP(B536,products!A:F,6,0),categories!A:B,2,0)</f>
        <v>Grains &amp; Cereals</v>
      </c>
      <c r="J536" t="str">
        <f>VLOOKUP(VLOOKUP(A536,orders!A:B,2,0),customers!A:F,6,0)</f>
        <v>France</v>
      </c>
      <c r="K536" t="str">
        <f>VLOOKUP(VLOOKUP(A536,orders!A:C,3,0),employees!A:B,2,0)</f>
        <v>Janet Leverling</v>
      </c>
    </row>
    <row r="537" spans="1:11" x14ac:dyDescent="0.25">
      <c r="A537">
        <v>10449</v>
      </c>
      <c r="B537">
        <v>62</v>
      </c>
      <c r="C537">
        <v>39.4</v>
      </c>
      <c r="D537">
        <v>35</v>
      </c>
      <c r="E537">
        <v>0</v>
      </c>
      <c r="F537">
        <f t="shared" si="8"/>
        <v>1379</v>
      </c>
      <c r="G537">
        <f>YEAR(VLOOKUP(A537,orders!A:D,4,0))</f>
        <v>2014</v>
      </c>
      <c r="H537">
        <f>MONTH(INDEX(orders!D:D,MATCH(A537, orders!A:A,0)))</f>
        <v>2</v>
      </c>
      <c r="I537" t="str">
        <f>VLOOKUP(VLOOKUP(B537,products!A:F,6,0),categories!A:B,2,0)</f>
        <v>Confections</v>
      </c>
      <c r="J537" t="str">
        <f>VLOOKUP(VLOOKUP(A537,orders!A:B,2,0),customers!A:F,6,0)</f>
        <v>France</v>
      </c>
      <c r="K537" t="str">
        <f>VLOOKUP(VLOOKUP(A537,orders!A:C,3,0),employees!A:B,2,0)</f>
        <v>Janet Leverling</v>
      </c>
    </row>
    <row r="538" spans="1:11" x14ac:dyDescent="0.25">
      <c r="A538">
        <v>10450</v>
      </c>
      <c r="B538">
        <v>10</v>
      </c>
      <c r="C538">
        <v>24.8</v>
      </c>
      <c r="D538">
        <v>20</v>
      </c>
      <c r="E538">
        <v>0.2</v>
      </c>
      <c r="F538">
        <f t="shared" si="8"/>
        <v>396.8</v>
      </c>
      <c r="G538">
        <f>YEAR(VLOOKUP(A538,orders!A:D,4,0))</f>
        <v>2014</v>
      </c>
      <c r="H538">
        <f>MONTH(INDEX(orders!D:D,MATCH(A538, orders!A:A,0)))</f>
        <v>2</v>
      </c>
      <c r="I538" t="str">
        <f>VLOOKUP(VLOOKUP(B538,products!A:F,6,0),categories!A:B,2,0)</f>
        <v>Seafood</v>
      </c>
      <c r="J538" t="str">
        <f>VLOOKUP(VLOOKUP(A538,orders!A:B,2,0),customers!A:F,6,0)</f>
        <v>France</v>
      </c>
      <c r="K538" t="str">
        <f>VLOOKUP(VLOOKUP(A538,orders!A:C,3,0),employees!A:B,2,0)</f>
        <v>Laura Callahan</v>
      </c>
    </row>
    <row r="539" spans="1:11" x14ac:dyDescent="0.25">
      <c r="A539">
        <v>10450</v>
      </c>
      <c r="B539">
        <v>54</v>
      </c>
      <c r="C539">
        <v>5.9</v>
      </c>
      <c r="D539">
        <v>6</v>
      </c>
      <c r="E539">
        <v>0.2</v>
      </c>
      <c r="F539">
        <f t="shared" si="8"/>
        <v>28.320000000000007</v>
      </c>
      <c r="G539">
        <f>YEAR(VLOOKUP(A539,orders!A:D,4,0))</f>
        <v>2014</v>
      </c>
      <c r="H539">
        <f>MONTH(INDEX(orders!D:D,MATCH(A539, orders!A:A,0)))</f>
        <v>2</v>
      </c>
      <c r="I539" t="str">
        <f>VLOOKUP(VLOOKUP(B539,products!A:F,6,0),categories!A:B,2,0)</f>
        <v>Meat &amp; Poultry</v>
      </c>
      <c r="J539" t="str">
        <f>VLOOKUP(VLOOKUP(A539,orders!A:B,2,0),customers!A:F,6,0)</f>
        <v>France</v>
      </c>
      <c r="K539" t="str">
        <f>VLOOKUP(VLOOKUP(A539,orders!A:C,3,0),employees!A:B,2,0)</f>
        <v>Laura Callahan</v>
      </c>
    </row>
    <row r="540" spans="1:11" x14ac:dyDescent="0.25">
      <c r="A540">
        <v>10451</v>
      </c>
      <c r="B540">
        <v>55</v>
      </c>
      <c r="C540">
        <v>19.2</v>
      </c>
      <c r="D540">
        <v>120</v>
      </c>
      <c r="E540">
        <v>0.1</v>
      </c>
      <c r="F540">
        <f t="shared" si="8"/>
        <v>2073.6</v>
      </c>
      <c r="G540">
        <f>YEAR(VLOOKUP(A540,orders!A:D,4,0))</f>
        <v>2014</v>
      </c>
      <c r="H540">
        <f>MONTH(INDEX(orders!D:D,MATCH(A540, orders!A:A,0)))</f>
        <v>2</v>
      </c>
      <c r="I540" t="str">
        <f>VLOOKUP(VLOOKUP(B540,products!A:F,6,0),categories!A:B,2,0)</f>
        <v>Meat &amp; Poultry</v>
      </c>
      <c r="J540" t="str">
        <f>VLOOKUP(VLOOKUP(A540,orders!A:B,2,0),customers!A:F,6,0)</f>
        <v>Germany</v>
      </c>
      <c r="K540" t="str">
        <f>VLOOKUP(VLOOKUP(A540,orders!A:C,3,0),employees!A:B,2,0)</f>
        <v>Margaret Peacock</v>
      </c>
    </row>
    <row r="541" spans="1:11" x14ac:dyDescent="0.25">
      <c r="A541">
        <v>10451</v>
      </c>
      <c r="B541">
        <v>64</v>
      </c>
      <c r="C541">
        <v>26.6</v>
      </c>
      <c r="D541">
        <v>35</v>
      </c>
      <c r="E541">
        <v>0.1</v>
      </c>
      <c r="F541">
        <f t="shared" si="8"/>
        <v>837.9</v>
      </c>
      <c r="G541">
        <f>YEAR(VLOOKUP(A541,orders!A:D,4,0))</f>
        <v>2014</v>
      </c>
      <c r="H541">
        <f>MONTH(INDEX(orders!D:D,MATCH(A541, orders!A:A,0)))</f>
        <v>2</v>
      </c>
      <c r="I541" t="str">
        <f>VLOOKUP(VLOOKUP(B541,products!A:F,6,0),categories!A:B,2,0)</f>
        <v>Grains &amp; Cereals</v>
      </c>
      <c r="J541" t="str">
        <f>VLOOKUP(VLOOKUP(A541,orders!A:B,2,0),customers!A:F,6,0)</f>
        <v>Germany</v>
      </c>
      <c r="K541" t="str">
        <f>VLOOKUP(VLOOKUP(A541,orders!A:C,3,0),employees!A:B,2,0)</f>
        <v>Margaret Peacock</v>
      </c>
    </row>
    <row r="542" spans="1:11" x14ac:dyDescent="0.25">
      <c r="A542">
        <v>10451</v>
      </c>
      <c r="B542">
        <v>65</v>
      </c>
      <c r="C542">
        <v>16.8</v>
      </c>
      <c r="D542">
        <v>28</v>
      </c>
      <c r="E542">
        <v>0.1</v>
      </c>
      <c r="F542">
        <f t="shared" si="8"/>
        <v>423.36</v>
      </c>
      <c r="G542">
        <f>YEAR(VLOOKUP(A542,orders!A:D,4,0))</f>
        <v>2014</v>
      </c>
      <c r="H542">
        <f>MONTH(INDEX(orders!D:D,MATCH(A542, orders!A:A,0)))</f>
        <v>2</v>
      </c>
      <c r="I542" t="str">
        <f>VLOOKUP(VLOOKUP(B542,products!A:F,6,0),categories!A:B,2,0)</f>
        <v>Condiments</v>
      </c>
      <c r="J542" t="str">
        <f>VLOOKUP(VLOOKUP(A542,orders!A:B,2,0),customers!A:F,6,0)</f>
        <v>Germany</v>
      </c>
      <c r="K542" t="str">
        <f>VLOOKUP(VLOOKUP(A542,orders!A:C,3,0),employees!A:B,2,0)</f>
        <v>Margaret Peacock</v>
      </c>
    </row>
    <row r="543" spans="1:11" x14ac:dyDescent="0.25">
      <c r="A543">
        <v>10451</v>
      </c>
      <c r="B543">
        <v>77</v>
      </c>
      <c r="C543">
        <v>10.4</v>
      </c>
      <c r="D543">
        <v>55</v>
      </c>
      <c r="E543">
        <v>0.1</v>
      </c>
      <c r="F543">
        <f t="shared" si="8"/>
        <v>514.80000000000007</v>
      </c>
      <c r="G543">
        <f>YEAR(VLOOKUP(A543,orders!A:D,4,0))</f>
        <v>2014</v>
      </c>
      <c r="H543">
        <f>MONTH(INDEX(orders!D:D,MATCH(A543, orders!A:A,0)))</f>
        <v>2</v>
      </c>
      <c r="I543" t="str">
        <f>VLOOKUP(VLOOKUP(B543,products!A:F,6,0),categories!A:B,2,0)</f>
        <v>Condiments</v>
      </c>
      <c r="J543" t="str">
        <f>VLOOKUP(VLOOKUP(A543,orders!A:B,2,0),customers!A:F,6,0)</f>
        <v>Germany</v>
      </c>
      <c r="K543" t="str">
        <f>VLOOKUP(VLOOKUP(A543,orders!A:C,3,0),employees!A:B,2,0)</f>
        <v>Margaret Peacock</v>
      </c>
    </row>
    <row r="544" spans="1:11" x14ac:dyDescent="0.25">
      <c r="A544">
        <v>10452</v>
      </c>
      <c r="B544">
        <v>28</v>
      </c>
      <c r="C544">
        <v>36.4</v>
      </c>
      <c r="D544">
        <v>15</v>
      </c>
      <c r="E544">
        <v>0</v>
      </c>
      <c r="F544">
        <f t="shared" si="8"/>
        <v>546</v>
      </c>
      <c r="G544">
        <f>YEAR(VLOOKUP(A544,orders!A:D,4,0))</f>
        <v>2014</v>
      </c>
      <c r="H544">
        <f>MONTH(INDEX(orders!D:D,MATCH(A544, orders!A:A,0)))</f>
        <v>2</v>
      </c>
      <c r="I544" t="str">
        <f>VLOOKUP(VLOOKUP(B544,products!A:F,6,0),categories!A:B,2,0)</f>
        <v>Produce</v>
      </c>
      <c r="J544" t="str">
        <f>VLOOKUP(VLOOKUP(A544,orders!A:B,2,0),customers!A:F,6,0)</f>
        <v>USA</v>
      </c>
      <c r="K544" t="str">
        <f>VLOOKUP(VLOOKUP(A544,orders!A:C,3,0),employees!A:B,2,0)</f>
        <v>Laura Callahan</v>
      </c>
    </row>
    <row r="545" spans="1:11" x14ac:dyDescent="0.25">
      <c r="A545">
        <v>10452</v>
      </c>
      <c r="B545">
        <v>44</v>
      </c>
      <c r="C545">
        <v>15.5</v>
      </c>
      <c r="D545">
        <v>100</v>
      </c>
      <c r="E545">
        <v>0.05</v>
      </c>
      <c r="F545">
        <f t="shared" si="8"/>
        <v>1472.5</v>
      </c>
      <c r="G545">
        <f>YEAR(VLOOKUP(A545,orders!A:D,4,0))</f>
        <v>2014</v>
      </c>
      <c r="H545">
        <f>MONTH(INDEX(orders!D:D,MATCH(A545, orders!A:A,0)))</f>
        <v>2</v>
      </c>
      <c r="I545" t="str">
        <f>VLOOKUP(VLOOKUP(B545,products!A:F,6,0),categories!A:B,2,0)</f>
        <v>Condiments</v>
      </c>
      <c r="J545" t="str">
        <f>VLOOKUP(VLOOKUP(A545,orders!A:B,2,0),customers!A:F,6,0)</f>
        <v>USA</v>
      </c>
      <c r="K545" t="str">
        <f>VLOOKUP(VLOOKUP(A545,orders!A:C,3,0),employees!A:B,2,0)</f>
        <v>Laura Callahan</v>
      </c>
    </row>
    <row r="546" spans="1:11" x14ac:dyDescent="0.25">
      <c r="A546">
        <v>10453</v>
      </c>
      <c r="B546">
        <v>48</v>
      </c>
      <c r="C546">
        <v>10.199999999999999</v>
      </c>
      <c r="D546">
        <v>15</v>
      </c>
      <c r="E546">
        <v>0.1</v>
      </c>
      <c r="F546">
        <f t="shared" si="8"/>
        <v>137.70000000000002</v>
      </c>
      <c r="G546">
        <f>YEAR(VLOOKUP(A546,orders!A:D,4,0))</f>
        <v>2014</v>
      </c>
      <c r="H546">
        <f>MONTH(INDEX(orders!D:D,MATCH(A546, orders!A:A,0)))</f>
        <v>2</v>
      </c>
      <c r="I546" t="str">
        <f>VLOOKUP(VLOOKUP(B546,products!A:F,6,0),categories!A:B,2,0)</f>
        <v>Confections</v>
      </c>
      <c r="J546" t="str">
        <f>VLOOKUP(VLOOKUP(A546,orders!A:B,2,0),customers!A:F,6,0)</f>
        <v>UK</v>
      </c>
      <c r="K546" t="str">
        <f>VLOOKUP(VLOOKUP(A546,orders!A:C,3,0),employees!A:B,2,0)</f>
        <v>Nancy Davolio</v>
      </c>
    </row>
    <row r="547" spans="1:11" x14ac:dyDescent="0.25">
      <c r="A547">
        <v>10453</v>
      </c>
      <c r="B547">
        <v>70</v>
      </c>
      <c r="C547">
        <v>12</v>
      </c>
      <c r="D547">
        <v>25</v>
      </c>
      <c r="E547">
        <v>0.1</v>
      </c>
      <c r="F547">
        <f t="shared" si="8"/>
        <v>270</v>
      </c>
      <c r="G547">
        <f>YEAR(VLOOKUP(A547,orders!A:D,4,0))</f>
        <v>2014</v>
      </c>
      <c r="H547">
        <f>MONTH(INDEX(orders!D:D,MATCH(A547, orders!A:A,0)))</f>
        <v>2</v>
      </c>
      <c r="I547" t="str">
        <f>VLOOKUP(VLOOKUP(B547,products!A:F,6,0),categories!A:B,2,0)</f>
        <v>Beverages</v>
      </c>
      <c r="J547" t="str">
        <f>VLOOKUP(VLOOKUP(A547,orders!A:B,2,0),customers!A:F,6,0)</f>
        <v>UK</v>
      </c>
      <c r="K547" t="str">
        <f>VLOOKUP(VLOOKUP(A547,orders!A:C,3,0),employees!A:B,2,0)</f>
        <v>Nancy Davolio</v>
      </c>
    </row>
    <row r="548" spans="1:11" x14ac:dyDescent="0.25">
      <c r="A548">
        <v>10454</v>
      </c>
      <c r="B548">
        <v>16</v>
      </c>
      <c r="C548">
        <v>13.9</v>
      </c>
      <c r="D548">
        <v>20</v>
      </c>
      <c r="E548">
        <v>0.2</v>
      </c>
      <c r="F548">
        <f t="shared" si="8"/>
        <v>222.4</v>
      </c>
      <c r="G548">
        <f>YEAR(VLOOKUP(A548,orders!A:D,4,0))</f>
        <v>2014</v>
      </c>
      <c r="H548">
        <f>MONTH(INDEX(orders!D:D,MATCH(A548, orders!A:A,0)))</f>
        <v>2</v>
      </c>
      <c r="I548" t="str">
        <f>VLOOKUP(VLOOKUP(B548,products!A:F,6,0),categories!A:B,2,0)</f>
        <v>Confections</v>
      </c>
      <c r="J548" t="str">
        <f>VLOOKUP(VLOOKUP(A548,orders!A:B,2,0),customers!A:F,6,0)</f>
        <v>France</v>
      </c>
      <c r="K548" t="str">
        <f>VLOOKUP(VLOOKUP(A548,orders!A:C,3,0),employees!A:B,2,0)</f>
        <v>Margaret Peacock</v>
      </c>
    </row>
    <row r="549" spans="1:11" x14ac:dyDescent="0.25">
      <c r="A549">
        <v>10454</v>
      </c>
      <c r="B549">
        <v>33</v>
      </c>
      <c r="C549">
        <v>2</v>
      </c>
      <c r="D549">
        <v>20</v>
      </c>
      <c r="E549">
        <v>0.2</v>
      </c>
      <c r="F549">
        <f t="shared" si="8"/>
        <v>32</v>
      </c>
      <c r="G549">
        <f>YEAR(VLOOKUP(A549,orders!A:D,4,0))</f>
        <v>2014</v>
      </c>
      <c r="H549">
        <f>MONTH(INDEX(orders!D:D,MATCH(A549, orders!A:A,0)))</f>
        <v>2</v>
      </c>
      <c r="I549" t="str">
        <f>VLOOKUP(VLOOKUP(B549,products!A:F,6,0),categories!A:B,2,0)</f>
        <v>Dairy Products</v>
      </c>
      <c r="J549" t="str">
        <f>VLOOKUP(VLOOKUP(A549,orders!A:B,2,0),customers!A:F,6,0)</f>
        <v>France</v>
      </c>
      <c r="K549" t="str">
        <f>VLOOKUP(VLOOKUP(A549,orders!A:C,3,0),employees!A:B,2,0)</f>
        <v>Margaret Peacock</v>
      </c>
    </row>
    <row r="550" spans="1:11" x14ac:dyDescent="0.25">
      <c r="A550">
        <v>10454</v>
      </c>
      <c r="B550">
        <v>46</v>
      </c>
      <c r="C550">
        <v>9.6</v>
      </c>
      <c r="D550">
        <v>10</v>
      </c>
      <c r="E550">
        <v>0.2</v>
      </c>
      <c r="F550">
        <f t="shared" si="8"/>
        <v>76.800000000000011</v>
      </c>
      <c r="G550">
        <f>YEAR(VLOOKUP(A550,orders!A:D,4,0))</f>
        <v>2014</v>
      </c>
      <c r="H550">
        <f>MONTH(INDEX(orders!D:D,MATCH(A550, orders!A:A,0)))</f>
        <v>2</v>
      </c>
      <c r="I550" t="str">
        <f>VLOOKUP(VLOOKUP(B550,products!A:F,6,0),categories!A:B,2,0)</f>
        <v>Seafood</v>
      </c>
      <c r="J550" t="str">
        <f>VLOOKUP(VLOOKUP(A550,orders!A:B,2,0),customers!A:F,6,0)</f>
        <v>France</v>
      </c>
      <c r="K550" t="str">
        <f>VLOOKUP(VLOOKUP(A550,orders!A:C,3,0),employees!A:B,2,0)</f>
        <v>Margaret Peacock</v>
      </c>
    </row>
    <row r="551" spans="1:11" x14ac:dyDescent="0.25">
      <c r="A551">
        <v>10455</v>
      </c>
      <c r="B551">
        <v>39</v>
      </c>
      <c r="C551">
        <v>14.4</v>
      </c>
      <c r="D551">
        <v>20</v>
      </c>
      <c r="E551">
        <v>0</v>
      </c>
      <c r="F551">
        <f t="shared" si="8"/>
        <v>288</v>
      </c>
      <c r="G551">
        <f>YEAR(VLOOKUP(A551,orders!A:D,4,0))</f>
        <v>2014</v>
      </c>
      <c r="H551">
        <f>MONTH(INDEX(orders!D:D,MATCH(A551, orders!A:A,0)))</f>
        <v>2</v>
      </c>
      <c r="I551" t="str">
        <f>VLOOKUP(VLOOKUP(B551,products!A:F,6,0),categories!A:B,2,0)</f>
        <v>Beverages</v>
      </c>
      <c r="J551" t="str">
        <f>VLOOKUP(VLOOKUP(A551,orders!A:B,2,0),customers!A:F,6,0)</f>
        <v>Finland</v>
      </c>
      <c r="K551" t="str">
        <f>VLOOKUP(VLOOKUP(A551,orders!A:C,3,0),employees!A:B,2,0)</f>
        <v>Laura Callahan</v>
      </c>
    </row>
    <row r="552" spans="1:11" x14ac:dyDescent="0.25">
      <c r="A552">
        <v>10455</v>
      </c>
      <c r="B552">
        <v>53</v>
      </c>
      <c r="C552">
        <v>26.2</v>
      </c>
      <c r="D552">
        <v>50</v>
      </c>
      <c r="E552">
        <v>0</v>
      </c>
      <c r="F552">
        <f t="shared" si="8"/>
        <v>1310</v>
      </c>
      <c r="G552">
        <f>YEAR(VLOOKUP(A552,orders!A:D,4,0))</f>
        <v>2014</v>
      </c>
      <c r="H552">
        <f>MONTH(INDEX(orders!D:D,MATCH(A552, orders!A:A,0)))</f>
        <v>2</v>
      </c>
      <c r="I552" t="str">
        <f>VLOOKUP(VLOOKUP(B552,products!A:F,6,0),categories!A:B,2,0)</f>
        <v>Meat &amp; Poultry</v>
      </c>
      <c r="J552" t="str">
        <f>VLOOKUP(VLOOKUP(A552,orders!A:B,2,0),customers!A:F,6,0)</f>
        <v>Finland</v>
      </c>
      <c r="K552" t="str">
        <f>VLOOKUP(VLOOKUP(A552,orders!A:C,3,0),employees!A:B,2,0)</f>
        <v>Laura Callahan</v>
      </c>
    </row>
    <row r="553" spans="1:11" x14ac:dyDescent="0.25">
      <c r="A553">
        <v>10455</v>
      </c>
      <c r="B553">
        <v>61</v>
      </c>
      <c r="C553">
        <v>22.8</v>
      </c>
      <c r="D553">
        <v>25</v>
      </c>
      <c r="E553">
        <v>0</v>
      </c>
      <c r="F553">
        <f t="shared" si="8"/>
        <v>570</v>
      </c>
      <c r="G553">
        <f>YEAR(VLOOKUP(A553,orders!A:D,4,0))</f>
        <v>2014</v>
      </c>
      <c r="H553">
        <f>MONTH(INDEX(orders!D:D,MATCH(A553, orders!A:A,0)))</f>
        <v>2</v>
      </c>
      <c r="I553" t="str">
        <f>VLOOKUP(VLOOKUP(B553,products!A:F,6,0),categories!A:B,2,0)</f>
        <v>Condiments</v>
      </c>
      <c r="J553" t="str">
        <f>VLOOKUP(VLOOKUP(A553,orders!A:B,2,0),customers!A:F,6,0)</f>
        <v>Finland</v>
      </c>
      <c r="K553" t="str">
        <f>VLOOKUP(VLOOKUP(A553,orders!A:C,3,0),employees!A:B,2,0)</f>
        <v>Laura Callahan</v>
      </c>
    </row>
    <row r="554" spans="1:11" x14ac:dyDescent="0.25">
      <c r="A554">
        <v>10455</v>
      </c>
      <c r="B554">
        <v>71</v>
      </c>
      <c r="C554">
        <v>17.2</v>
      </c>
      <c r="D554">
        <v>30</v>
      </c>
      <c r="E554">
        <v>0</v>
      </c>
      <c r="F554">
        <f t="shared" si="8"/>
        <v>516</v>
      </c>
      <c r="G554">
        <f>YEAR(VLOOKUP(A554,orders!A:D,4,0))</f>
        <v>2014</v>
      </c>
      <c r="H554">
        <f>MONTH(INDEX(orders!D:D,MATCH(A554, orders!A:A,0)))</f>
        <v>2</v>
      </c>
      <c r="I554" t="str">
        <f>VLOOKUP(VLOOKUP(B554,products!A:F,6,0),categories!A:B,2,0)</f>
        <v>Dairy Products</v>
      </c>
      <c r="J554" t="str">
        <f>VLOOKUP(VLOOKUP(A554,orders!A:B,2,0),customers!A:F,6,0)</f>
        <v>Finland</v>
      </c>
      <c r="K554" t="str">
        <f>VLOOKUP(VLOOKUP(A554,orders!A:C,3,0),employees!A:B,2,0)</f>
        <v>Laura Callahan</v>
      </c>
    </row>
    <row r="555" spans="1:11" x14ac:dyDescent="0.25">
      <c r="A555">
        <v>10456</v>
      </c>
      <c r="B555">
        <v>21</v>
      </c>
      <c r="C555">
        <v>8</v>
      </c>
      <c r="D555">
        <v>40</v>
      </c>
      <c r="E555">
        <v>0.15</v>
      </c>
      <c r="F555">
        <f t="shared" si="8"/>
        <v>272</v>
      </c>
      <c r="G555">
        <f>YEAR(VLOOKUP(A555,orders!A:D,4,0))</f>
        <v>2014</v>
      </c>
      <c r="H555">
        <f>MONTH(INDEX(orders!D:D,MATCH(A555, orders!A:A,0)))</f>
        <v>2</v>
      </c>
      <c r="I555" t="str">
        <f>VLOOKUP(VLOOKUP(B555,products!A:F,6,0),categories!A:B,2,0)</f>
        <v>Confections</v>
      </c>
      <c r="J555" t="str">
        <f>VLOOKUP(VLOOKUP(A555,orders!A:B,2,0),customers!A:F,6,0)</f>
        <v>Germany</v>
      </c>
      <c r="K555" t="str">
        <f>VLOOKUP(VLOOKUP(A555,orders!A:C,3,0),employees!A:B,2,0)</f>
        <v>Laura Callahan</v>
      </c>
    </row>
    <row r="556" spans="1:11" x14ac:dyDescent="0.25">
      <c r="A556">
        <v>10456</v>
      </c>
      <c r="B556">
        <v>49</v>
      </c>
      <c r="C556">
        <v>16</v>
      </c>
      <c r="D556">
        <v>21</v>
      </c>
      <c r="E556">
        <v>0.15</v>
      </c>
      <c r="F556">
        <f t="shared" si="8"/>
        <v>285.59999999999997</v>
      </c>
      <c r="G556">
        <f>YEAR(VLOOKUP(A556,orders!A:D,4,0))</f>
        <v>2014</v>
      </c>
      <c r="H556">
        <f>MONTH(INDEX(orders!D:D,MATCH(A556, orders!A:A,0)))</f>
        <v>2</v>
      </c>
      <c r="I556" t="str">
        <f>VLOOKUP(VLOOKUP(B556,products!A:F,6,0),categories!A:B,2,0)</f>
        <v>Confections</v>
      </c>
      <c r="J556" t="str">
        <f>VLOOKUP(VLOOKUP(A556,orders!A:B,2,0),customers!A:F,6,0)</f>
        <v>Germany</v>
      </c>
      <c r="K556" t="str">
        <f>VLOOKUP(VLOOKUP(A556,orders!A:C,3,0),employees!A:B,2,0)</f>
        <v>Laura Callahan</v>
      </c>
    </row>
    <row r="557" spans="1:11" x14ac:dyDescent="0.25">
      <c r="A557">
        <v>10457</v>
      </c>
      <c r="B557">
        <v>59</v>
      </c>
      <c r="C557">
        <v>44</v>
      </c>
      <c r="D557">
        <v>36</v>
      </c>
      <c r="E557">
        <v>0</v>
      </c>
      <c r="F557">
        <f t="shared" si="8"/>
        <v>1584</v>
      </c>
      <c r="G557">
        <f>YEAR(VLOOKUP(A557,orders!A:D,4,0))</f>
        <v>2014</v>
      </c>
      <c r="H557">
        <f>MONTH(INDEX(orders!D:D,MATCH(A557, orders!A:A,0)))</f>
        <v>2</v>
      </c>
      <c r="I557" t="str">
        <f>VLOOKUP(VLOOKUP(B557,products!A:F,6,0),categories!A:B,2,0)</f>
        <v>Dairy Products</v>
      </c>
      <c r="J557" t="str">
        <f>VLOOKUP(VLOOKUP(A557,orders!A:B,2,0),customers!A:F,6,0)</f>
        <v>Germany</v>
      </c>
      <c r="K557" t="str">
        <f>VLOOKUP(VLOOKUP(A557,orders!A:C,3,0),employees!A:B,2,0)</f>
        <v>Andrew Fuller</v>
      </c>
    </row>
    <row r="558" spans="1:11" x14ac:dyDescent="0.25">
      <c r="A558">
        <v>10458</v>
      </c>
      <c r="B558">
        <v>26</v>
      </c>
      <c r="C558">
        <v>24.9</v>
      </c>
      <c r="D558">
        <v>30</v>
      </c>
      <c r="E558">
        <v>0</v>
      </c>
      <c r="F558">
        <f t="shared" si="8"/>
        <v>747</v>
      </c>
      <c r="G558">
        <f>YEAR(VLOOKUP(A558,orders!A:D,4,0))</f>
        <v>2014</v>
      </c>
      <c r="H558">
        <f>MONTH(INDEX(orders!D:D,MATCH(A558, orders!A:A,0)))</f>
        <v>2</v>
      </c>
      <c r="I558" t="str">
        <f>VLOOKUP(VLOOKUP(B558,products!A:F,6,0),categories!A:B,2,0)</f>
        <v>Confections</v>
      </c>
      <c r="J558" t="str">
        <f>VLOOKUP(VLOOKUP(A558,orders!A:B,2,0),customers!A:F,6,0)</f>
        <v>Belgium</v>
      </c>
      <c r="K558" t="str">
        <f>VLOOKUP(VLOOKUP(A558,orders!A:C,3,0),employees!A:B,2,0)</f>
        <v>Robert King</v>
      </c>
    </row>
    <row r="559" spans="1:11" x14ac:dyDescent="0.25">
      <c r="A559">
        <v>10458</v>
      </c>
      <c r="B559">
        <v>28</v>
      </c>
      <c r="C559">
        <v>36.4</v>
      </c>
      <c r="D559">
        <v>30</v>
      </c>
      <c r="E559">
        <v>0</v>
      </c>
      <c r="F559">
        <f t="shared" si="8"/>
        <v>1092</v>
      </c>
      <c r="G559">
        <f>YEAR(VLOOKUP(A559,orders!A:D,4,0))</f>
        <v>2014</v>
      </c>
      <c r="H559">
        <f>MONTH(INDEX(orders!D:D,MATCH(A559, orders!A:A,0)))</f>
        <v>2</v>
      </c>
      <c r="I559" t="str">
        <f>VLOOKUP(VLOOKUP(B559,products!A:F,6,0),categories!A:B,2,0)</f>
        <v>Produce</v>
      </c>
      <c r="J559" t="str">
        <f>VLOOKUP(VLOOKUP(A559,orders!A:B,2,0),customers!A:F,6,0)</f>
        <v>Belgium</v>
      </c>
      <c r="K559" t="str">
        <f>VLOOKUP(VLOOKUP(A559,orders!A:C,3,0),employees!A:B,2,0)</f>
        <v>Robert King</v>
      </c>
    </row>
    <row r="560" spans="1:11" x14ac:dyDescent="0.25">
      <c r="A560">
        <v>10458</v>
      </c>
      <c r="B560">
        <v>43</v>
      </c>
      <c r="C560">
        <v>36.799999999999997</v>
      </c>
      <c r="D560">
        <v>20</v>
      </c>
      <c r="E560">
        <v>0</v>
      </c>
      <c r="F560">
        <f t="shared" si="8"/>
        <v>736</v>
      </c>
      <c r="G560">
        <f>YEAR(VLOOKUP(A560,orders!A:D,4,0))</f>
        <v>2014</v>
      </c>
      <c r="H560">
        <f>MONTH(INDEX(orders!D:D,MATCH(A560, orders!A:A,0)))</f>
        <v>2</v>
      </c>
      <c r="I560" t="str">
        <f>VLOOKUP(VLOOKUP(B560,products!A:F,6,0),categories!A:B,2,0)</f>
        <v>Beverages</v>
      </c>
      <c r="J560" t="str">
        <f>VLOOKUP(VLOOKUP(A560,orders!A:B,2,0),customers!A:F,6,0)</f>
        <v>Belgium</v>
      </c>
      <c r="K560" t="str">
        <f>VLOOKUP(VLOOKUP(A560,orders!A:C,3,0),employees!A:B,2,0)</f>
        <v>Robert King</v>
      </c>
    </row>
    <row r="561" spans="1:11" x14ac:dyDescent="0.25">
      <c r="A561">
        <v>10458</v>
      </c>
      <c r="B561">
        <v>56</v>
      </c>
      <c r="C561">
        <v>30.4</v>
      </c>
      <c r="D561">
        <v>15</v>
      </c>
      <c r="E561">
        <v>0</v>
      </c>
      <c r="F561">
        <f t="shared" si="8"/>
        <v>456</v>
      </c>
      <c r="G561">
        <f>YEAR(VLOOKUP(A561,orders!A:D,4,0))</f>
        <v>2014</v>
      </c>
      <c r="H561">
        <f>MONTH(INDEX(orders!D:D,MATCH(A561, orders!A:A,0)))</f>
        <v>2</v>
      </c>
      <c r="I561" t="str">
        <f>VLOOKUP(VLOOKUP(B561,products!A:F,6,0),categories!A:B,2,0)</f>
        <v>Grains &amp; Cereals</v>
      </c>
      <c r="J561" t="str">
        <f>VLOOKUP(VLOOKUP(A561,orders!A:B,2,0),customers!A:F,6,0)</f>
        <v>Belgium</v>
      </c>
      <c r="K561" t="str">
        <f>VLOOKUP(VLOOKUP(A561,orders!A:C,3,0),employees!A:B,2,0)</f>
        <v>Robert King</v>
      </c>
    </row>
    <row r="562" spans="1:11" x14ac:dyDescent="0.25">
      <c r="A562">
        <v>10458</v>
      </c>
      <c r="B562">
        <v>71</v>
      </c>
      <c r="C562">
        <v>17.2</v>
      </c>
      <c r="D562">
        <v>50</v>
      </c>
      <c r="E562">
        <v>0</v>
      </c>
      <c r="F562">
        <f t="shared" si="8"/>
        <v>860</v>
      </c>
      <c r="G562">
        <f>YEAR(VLOOKUP(A562,orders!A:D,4,0))</f>
        <v>2014</v>
      </c>
      <c r="H562">
        <f>MONTH(INDEX(orders!D:D,MATCH(A562, orders!A:A,0)))</f>
        <v>2</v>
      </c>
      <c r="I562" t="str">
        <f>VLOOKUP(VLOOKUP(B562,products!A:F,6,0),categories!A:B,2,0)</f>
        <v>Dairy Products</v>
      </c>
      <c r="J562" t="str">
        <f>VLOOKUP(VLOOKUP(A562,orders!A:B,2,0),customers!A:F,6,0)</f>
        <v>Belgium</v>
      </c>
      <c r="K562" t="str">
        <f>VLOOKUP(VLOOKUP(A562,orders!A:C,3,0),employees!A:B,2,0)</f>
        <v>Robert King</v>
      </c>
    </row>
    <row r="563" spans="1:11" x14ac:dyDescent="0.25">
      <c r="A563">
        <v>10459</v>
      </c>
      <c r="B563">
        <v>7</v>
      </c>
      <c r="C563">
        <v>24</v>
      </c>
      <c r="D563">
        <v>16</v>
      </c>
      <c r="E563">
        <v>0.05</v>
      </c>
      <c r="F563">
        <f t="shared" si="8"/>
        <v>364.79999999999995</v>
      </c>
      <c r="G563">
        <f>YEAR(VLOOKUP(A563,orders!A:D,4,0))</f>
        <v>2014</v>
      </c>
      <c r="H563">
        <f>MONTH(INDEX(orders!D:D,MATCH(A563, orders!A:A,0)))</f>
        <v>2</v>
      </c>
      <c r="I563" t="str">
        <f>VLOOKUP(VLOOKUP(B563,products!A:F,6,0),categories!A:B,2,0)</f>
        <v>Produce</v>
      </c>
      <c r="J563" t="str">
        <f>VLOOKUP(VLOOKUP(A563,orders!A:B,2,0),customers!A:F,6,0)</f>
        <v>France</v>
      </c>
      <c r="K563" t="str">
        <f>VLOOKUP(VLOOKUP(A563,orders!A:C,3,0),employees!A:B,2,0)</f>
        <v>Margaret Peacock</v>
      </c>
    </row>
    <row r="564" spans="1:11" x14ac:dyDescent="0.25">
      <c r="A564">
        <v>10459</v>
      </c>
      <c r="B564">
        <v>46</v>
      </c>
      <c r="C564">
        <v>9.6</v>
      </c>
      <c r="D564">
        <v>20</v>
      </c>
      <c r="E564">
        <v>0.05</v>
      </c>
      <c r="F564">
        <f t="shared" si="8"/>
        <v>182.39999999999998</v>
      </c>
      <c r="G564">
        <f>YEAR(VLOOKUP(A564,orders!A:D,4,0))</f>
        <v>2014</v>
      </c>
      <c r="H564">
        <f>MONTH(INDEX(orders!D:D,MATCH(A564, orders!A:A,0)))</f>
        <v>2</v>
      </c>
      <c r="I564" t="str">
        <f>VLOOKUP(VLOOKUP(B564,products!A:F,6,0),categories!A:B,2,0)</f>
        <v>Seafood</v>
      </c>
      <c r="J564" t="str">
        <f>VLOOKUP(VLOOKUP(A564,orders!A:B,2,0),customers!A:F,6,0)</f>
        <v>France</v>
      </c>
      <c r="K564" t="str">
        <f>VLOOKUP(VLOOKUP(A564,orders!A:C,3,0),employees!A:B,2,0)</f>
        <v>Margaret Peacock</v>
      </c>
    </row>
    <row r="565" spans="1:11" x14ac:dyDescent="0.25">
      <c r="A565">
        <v>10459</v>
      </c>
      <c r="B565">
        <v>72</v>
      </c>
      <c r="C565">
        <v>27.8</v>
      </c>
      <c r="D565">
        <v>40</v>
      </c>
      <c r="E565">
        <v>0</v>
      </c>
      <c r="F565">
        <f t="shared" si="8"/>
        <v>1112</v>
      </c>
      <c r="G565">
        <f>YEAR(VLOOKUP(A565,orders!A:D,4,0))</f>
        <v>2014</v>
      </c>
      <c r="H565">
        <f>MONTH(INDEX(orders!D:D,MATCH(A565, orders!A:A,0)))</f>
        <v>2</v>
      </c>
      <c r="I565" t="str">
        <f>VLOOKUP(VLOOKUP(B565,products!A:F,6,0),categories!A:B,2,0)</f>
        <v>Dairy Products</v>
      </c>
      <c r="J565" t="str">
        <f>VLOOKUP(VLOOKUP(A565,orders!A:B,2,0),customers!A:F,6,0)</f>
        <v>France</v>
      </c>
      <c r="K565" t="str">
        <f>VLOOKUP(VLOOKUP(A565,orders!A:C,3,0),employees!A:B,2,0)</f>
        <v>Margaret Peacock</v>
      </c>
    </row>
    <row r="566" spans="1:11" x14ac:dyDescent="0.25">
      <c r="A566">
        <v>10460</v>
      </c>
      <c r="B566">
        <v>68</v>
      </c>
      <c r="C566">
        <v>10</v>
      </c>
      <c r="D566">
        <v>21</v>
      </c>
      <c r="E566">
        <v>0.25</v>
      </c>
      <c r="F566">
        <f t="shared" si="8"/>
        <v>157.5</v>
      </c>
      <c r="G566">
        <f>YEAR(VLOOKUP(A566,orders!A:D,4,0))</f>
        <v>2014</v>
      </c>
      <c r="H566">
        <f>MONTH(INDEX(orders!D:D,MATCH(A566, orders!A:A,0)))</f>
        <v>2</v>
      </c>
      <c r="I566" t="str">
        <f>VLOOKUP(VLOOKUP(B566,products!A:F,6,0),categories!A:B,2,0)</f>
        <v>Confections</v>
      </c>
      <c r="J566" t="str">
        <f>VLOOKUP(VLOOKUP(A566,orders!A:B,2,0),customers!A:F,6,0)</f>
        <v>Sweden</v>
      </c>
      <c r="K566" t="str">
        <f>VLOOKUP(VLOOKUP(A566,orders!A:C,3,0),employees!A:B,2,0)</f>
        <v>Laura Callahan</v>
      </c>
    </row>
    <row r="567" spans="1:11" x14ac:dyDescent="0.25">
      <c r="A567">
        <v>10460</v>
      </c>
      <c r="B567">
        <v>75</v>
      </c>
      <c r="C567">
        <v>6.2</v>
      </c>
      <c r="D567">
        <v>4</v>
      </c>
      <c r="E567">
        <v>0.25</v>
      </c>
      <c r="F567">
        <f t="shared" si="8"/>
        <v>18.600000000000001</v>
      </c>
      <c r="G567">
        <f>YEAR(VLOOKUP(A567,orders!A:D,4,0))</f>
        <v>2014</v>
      </c>
      <c r="H567">
        <f>MONTH(INDEX(orders!D:D,MATCH(A567, orders!A:A,0)))</f>
        <v>2</v>
      </c>
      <c r="I567" t="str">
        <f>VLOOKUP(VLOOKUP(B567,products!A:F,6,0),categories!A:B,2,0)</f>
        <v>Beverages</v>
      </c>
      <c r="J567" t="str">
        <f>VLOOKUP(VLOOKUP(A567,orders!A:B,2,0),customers!A:F,6,0)</f>
        <v>Sweden</v>
      </c>
      <c r="K567" t="str">
        <f>VLOOKUP(VLOOKUP(A567,orders!A:C,3,0),employees!A:B,2,0)</f>
        <v>Laura Callahan</v>
      </c>
    </row>
    <row r="568" spans="1:11" x14ac:dyDescent="0.25">
      <c r="A568">
        <v>10461</v>
      </c>
      <c r="B568">
        <v>21</v>
      </c>
      <c r="C568">
        <v>8</v>
      </c>
      <c r="D568">
        <v>40</v>
      </c>
      <c r="E568">
        <v>0.25</v>
      </c>
      <c r="F568">
        <f t="shared" si="8"/>
        <v>240</v>
      </c>
      <c r="G568">
        <f>YEAR(VLOOKUP(A568,orders!A:D,4,0))</f>
        <v>2014</v>
      </c>
      <c r="H568">
        <f>MONTH(INDEX(orders!D:D,MATCH(A568, orders!A:A,0)))</f>
        <v>2</v>
      </c>
      <c r="I568" t="str">
        <f>VLOOKUP(VLOOKUP(B568,products!A:F,6,0),categories!A:B,2,0)</f>
        <v>Confections</v>
      </c>
      <c r="J568" t="str">
        <f>VLOOKUP(VLOOKUP(A568,orders!A:B,2,0),customers!A:F,6,0)</f>
        <v>Venezuela</v>
      </c>
      <c r="K568" t="str">
        <f>VLOOKUP(VLOOKUP(A568,orders!A:C,3,0),employees!A:B,2,0)</f>
        <v>Nancy Davolio</v>
      </c>
    </row>
    <row r="569" spans="1:11" x14ac:dyDescent="0.25">
      <c r="A569">
        <v>10461</v>
      </c>
      <c r="B569">
        <v>30</v>
      </c>
      <c r="C569">
        <v>20.7</v>
      </c>
      <c r="D569">
        <v>28</v>
      </c>
      <c r="E569">
        <v>0.25</v>
      </c>
      <c r="F569">
        <f t="shared" si="8"/>
        <v>434.70000000000005</v>
      </c>
      <c r="G569">
        <f>YEAR(VLOOKUP(A569,orders!A:D,4,0))</f>
        <v>2014</v>
      </c>
      <c r="H569">
        <f>MONTH(INDEX(orders!D:D,MATCH(A569, orders!A:A,0)))</f>
        <v>2</v>
      </c>
      <c r="I569" t="str">
        <f>VLOOKUP(VLOOKUP(B569,products!A:F,6,0),categories!A:B,2,0)</f>
        <v>Seafood</v>
      </c>
      <c r="J569" t="str">
        <f>VLOOKUP(VLOOKUP(A569,orders!A:B,2,0),customers!A:F,6,0)</f>
        <v>Venezuela</v>
      </c>
      <c r="K569" t="str">
        <f>VLOOKUP(VLOOKUP(A569,orders!A:C,3,0),employees!A:B,2,0)</f>
        <v>Nancy Davolio</v>
      </c>
    </row>
    <row r="570" spans="1:11" x14ac:dyDescent="0.25">
      <c r="A570">
        <v>10461</v>
      </c>
      <c r="B570">
        <v>55</v>
      </c>
      <c r="C570">
        <v>19.2</v>
      </c>
      <c r="D570">
        <v>60</v>
      </c>
      <c r="E570">
        <v>0.25</v>
      </c>
      <c r="F570">
        <f t="shared" si="8"/>
        <v>864</v>
      </c>
      <c r="G570">
        <f>YEAR(VLOOKUP(A570,orders!A:D,4,0))</f>
        <v>2014</v>
      </c>
      <c r="H570">
        <f>MONTH(INDEX(orders!D:D,MATCH(A570, orders!A:A,0)))</f>
        <v>2</v>
      </c>
      <c r="I570" t="str">
        <f>VLOOKUP(VLOOKUP(B570,products!A:F,6,0),categories!A:B,2,0)</f>
        <v>Meat &amp; Poultry</v>
      </c>
      <c r="J570" t="str">
        <f>VLOOKUP(VLOOKUP(A570,orders!A:B,2,0),customers!A:F,6,0)</f>
        <v>Venezuela</v>
      </c>
      <c r="K570" t="str">
        <f>VLOOKUP(VLOOKUP(A570,orders!A:C,3,0),employees!A:B,2,0)</f>
        <v>Nancy Davolio</v>
      </c>
    </row>
    <row r="571" spans="1:11" x14ac:dyDescent="0.25">
      <c r="A571">
        <v>10462</v>
      </c>
      <c r="B571">
        <v>13</v>
      </c>
      <c r="C571">
        <v>4.8</v>
      </c>
      <c r="D571">
        <v>1</v>
      </c>
      <c r="E571">
        <v>0</v>
      </c>
      <c r="F571">
        <f t="shared" si="8"/>
        <v>4.8</v>
      </c>
      <c r="G571">
        <f>YEAR(VLOOKUP(A571,orders!A:D,4,0))</f>
        <v>2014</v>
      </c>
      <c r="H571">
        <f>MONTH(INDEX(orders!D:D,MATCH(A571, orders!A:A,0)))</f>
        <v>3</v>
      </c>
      <c r="I571" t="str">
        <f>VLOOKUP(VLOOKUP(B571,products!A:F,6,0),categories!A:B,2,0)</f>
        <v>Seafood</v>
      </c>
      <c r="J571" t="str">
        <f>VLOOKUP(VLOOKUP(A571,orders!A:B,2,0),customers!A:F,6,0)</f>
        <v>UK</v>
      </c>
      <c r="K571" t="str">
        <f>VLOOKUP(VLOOKUP(A571,orders!A:C,3,0),employees!A:B,2,0)</f>
        <v>Andrew Fuller</v>
      </c>
    </row>
    <row r="572" spans="1:11" x14ac:dyDescent="0.25">
      <c r="A572">
        <v>10462</v>
      </c>
      <c r="B572">
        <v>23</v>
      </c>
      <c r="C572">
        <v>7.2</v>
      </c>
      <c r="D572">
        <v>21</v>
      </c>
      <c r="E572">
        <v>0</v>
      </c>
      <c r="F572">
        <f t="shared" si="8"/>
        <v>151.20000000000002</v>
      </c>
      <c r="G572">
        <f>YEAR(VLOOKUP(A572,orders!A:D,4,0))</f>
        <v>2014</v>
      </c>
      <c r="H572">
        <f>MONTH(INDEX(orders!D:D,MATCH(A572, orders!A:A,0)))</f>
        <v>3</v>
      </c>
      <c r="I572" t="str">
        <f>VLOOKUP(VLOOKUP(B572,products!A:F,6,0),categories!A:B,2,0)</f>
        <v>Grains &amp; Cereals</v>
      </c>
      <c r="J572" t="str">
        <f>VLOOKUP(VLOOKUP(A572,orders!A:B,2,0),customers!A:F,6,0)</f>
        <v>UK</v>
      </c>
      <c r="K572" t="str">
        <f>VLOOKUP(VLOOKUP(A572,orders!A:C,3,0),employees!A:B,2,0)</f>
        <v>Andrew Fuller</v>
      </c>
    </row>
    <row r="573" spans="1:11" x14ac:dyDescent="0.25">
      <c r="A573">
        <v>10463</v>
      </c>
      <c r="B573">
        <v>19</v>
      </c>
      <c r="C573">
        <v>7.3</v>
      </c>
      <c r="D573">
        <v>21</v>
      </c>
      <c r="E573">
        <v>0</v>
      </c>
      <c r="F573">
        <f t="shared" si="8"/>
        <v>153.29999999999998</v>
      </c>
      <c r="G573">
        <f>YEAR(VLOOKUP(A573,orders!A:D,4,0))</f>
        <v>2014</v>
      </c>
      <c r="H573">
        <f>MONTH(INDEX(orders!D:D,MATCH(A573, orders!A:A,0)))</f>
        <v>3</v>
      </c>
      <c r="I573" t="str">
        <f>VLOOKUP(VLOOKUP(B573,products!A:F,6,0),categories!A:B,2,0)</f>
        <v>Confections</v>
      </c>
      <c r="J573" t="str">
        <f>VLOOKUP(VLOOKUP(A573,orders!A:B,2,0),customers!A:F,6,0)</f>
        <v>Belgium</v>
      </c>
      <c r="K573" t="str">
        <f>VLOOKUP(VLOOKUP(A573,orders!A:C,3,0),employees!A:B,2,0)</f>
        <v>Steven Buchanan</v>
      </c>
    </row>
    <row r="574" spans="1:11" x14ac:dyDescent="0.25">
      <c r="A574">
        <v>10463</v>
      </c>
      <c r="B574">
        <v>42</v>
      </c>
      <c r="C574">
        <v>11.2</v>
      </c>
      <c r="D574">
        <v>50</v>
      </c>
      <c r="E574">
        <v>0</v>
      </c>
      <c r="F574">
        <f t="shared" si="8"/>
        <v>560</v>
      </c>
      <c r="G574">
        <f>YEAR(VLOOKUP(A574,orders!A:D,4,0))</f>
        <v>2014</v>
      </c>
      <c r="H574">
        <f>MONTH(INDEX(orders!D:D,MATCH(A574, orders!A:A,0)))</f>
        <v>3</v>
      </c>
      <c r="I574" t="str">
        <f>VLOOKUP(VLOOKUP(B574,products!A:F,6,0),categories!A:B,2,0)</f>
        <v>Grains &amp; Cereals</v>
      </c>
      <c r="J574" t="str">
        <f>VLOOKUP(VLOOKUP(A574,orders!A:B,2,0),customers!A:F,6,0)</f>
        <v>Belgium</v>
      </c>
      <c r="K574" t="str">
        <f>VLOOKUP(VLOOKUP(A574,orders!A:C,3,0),employees!A:B,2,0)</f>
        <v>Steven Buchanan</v>
      </c>
    </row>
    <row r="575" spans="1:11" x14ac:dyDescent="0.25">
      <c r="A575">
        <v>10464</v>
      </c>
      <c r="B575">
        <v>4</v>
      </c>
      <c r="C575">
        <v>17.600000000000001</v>
      </c>
      <c r="D575">
        <v>16</v>
      </c>
      <c r="E575">
        <v>0.2</v>
      </c>
      <c r="F575">
        <f t="shared" si="8"/>
        <v>225.28000000000003</v>
      </c>
      <c r="G575">
        <f>YEAR(VLOOKUP(A575,orders!A:D,4,0))</f>
        <v>2014</v>
      </c>
      <c r="H575">
        <f>MONTH(INDEX(orders!D:D,MATCH(A575, orders!A:A,0)))</f>
        <v>3</v>
      </c>
      <c r="I575" t="str">
        <f>VLOOKUP(VLOOKUP(B575,products!A:F,6,0),categories!A:B,2,0)</f>
        <v>Condiments</v>
      </c>
      <c r="J575" t="str">
        <f>VLOOKUP(VLOOKUP(A575,orders!A:B,2,0),customers!A:F,6,0)</f>
        <v>Portugal</v>
      </c>
      <c r="K575" t="str">
        <f>VLOOKUP(VLOOKUP(A575,orders!A:C,3,0),employees!A:B,2,0)</f>
        <v>Margaret Peacock</v>
      </c>
    </row>
    <row r="576" spans="1:11" x14ac:dyDescent="0.25">
      <c r="A576">
        <v>10464</v>
      </c>
      <c r="B576">
        <v>43</v>
      </c>
      <c r="C576">
        <v>36.799999999999997</v>
      </c>
      <c r="D576">
        <v>3</v>
      </c>
      <c r="E576">
        <v>0</v>
      </c>
      <c r="F576">
        <f t="shared" si="8"/>
        <v>110.39999999999999</v>
      </c>
      <c r="G576">
        <f>YEAR(VLOOKUP(A576,orders!A:D,4,0))</f>
        <v>2014</v>
      </c>
      <c r="H576">
        <f>MONTH(INDEX(orders!D:D,MATCH(A576, orders!A:A,0)))</f>
        <v>3</v>
      </c>
      <c r="I576" t="str">
        <f>VLOOKUP(VLOOKUP(B576,products!A:F,6,0),categories!A:B,2,0)</f>
        <v>Beverages</v>
      </c>
      <c r="J576" t="str">
        <f>VLOOKUP(VLOOKUP(A576,orders!A:B,2,0),customers!A:F,6,0)</f>
        <v>Portugal</v>
      </c>
      <c r="K576" t="str">
        <f>VLOOKUP(VLOOKUP(A576,orders!A:C,3,0),employees!A:B,2,0)</f>
        <v>Margaret Peacock</v>
      </c>
    </row>
    <row r="577" spans="1:11" x14ac:dyDescent="0.25">
      <c r="A577">
        <v>10464</v>
      </c>
      <c r="B577">
        <v>56</v>
      </c>
      <c r="C577">
        <v>30.4</v>
      </c>
      <c r="D577">
        <v>30</v>
      </c>
      <c r="E577">
        <v>0.2</v>
      </c>
      <c r="F577">
        <f t="shared" si="8"/>
        <v>729.6</v>
      </c>
      <c r="G577">
        <f>YEAR(VLOOKUP(A577,orders!A:D,4,0))</f>
        <v>2014</v>
      </c>
      <c r="H577">
        <f>MONTH(INDEX(orders!D:D,MATCH(A577, orders!A:A,0)))</f>
        <v>3</v>
      </c>
      <c r="I577" t="str">
        <f>VLOOKUP(VLOOKUP(B577,products!A:F,6,0),categories!A:B,2,0)</f>
        <v>Grains &amp; Cereals</v>
      </c>
      <c r="J577" t="str">
        <f>VLOOKUP(VLOOKUP(A577,orders!A:B,2,0),customers!A:F,6,0)</f>
        <v>Portugal</v>
      </c>
      <c r="K577" t="str">
        <f>VLOOKUP(VLOOKUP(A577,orders!A:C,3,0),employees!A:B,2,0)</f>
        <v>Margaret Peacock</v>
      </c>
    </row>
    <row r="578" spans="1:11" x14ac:dyDescent="0.25">
      <c r="A578">
        <v>10464</v>
      </c>
      <c r="B578">
        <v>60</v>
      </c>
      <c r="C578">
        <v>27.2</v>
      </c>
      <c r="D578">
        <v>20</v>
      </c>
      <c r="E578">
        <v>0</v>
      </c>
      <c r="F578">
        <f t="shared" si="8"/>
        <v>544</v>
      </c>
      <c r="G578">
        <f>YEAR(VLOOKUP(A578,orders!A:D,4,0))</f>
        <v>2014</v>
      </c>
      <c r="H578">
        <f>MONTH(INDEX(orders!D:D,MATCH(A578, orders!A:A,0)))</f>
        <v>3</v>
      </c>
      <c r="I578" t="str">
        <f>VLOOKUP(VLOOKUP(B578,products!A:F,6,0),categories!A:B,2,0)</f>
        <v>Dairy Products</v>
      </c>
      <c r="J578" t="str">
        <f>VLOOKUP(VLOOKUP(A578,orders!A:B,2,0),customers!A:F,6,0)</f>
        <v>Portugal</v>
      </c>
      <c r="K578" t="str">
        <f>VLOOKUP(VLOOKUP(A578,orders!A:C,3,0),employees!A:B,2,0)</f>
        <v>Margaret Peacock</v>
      </c>
    </row>
    <row r="579" spans="1:11" x14ac:dyDescent="0.25">
      <c r="A579">
        <v>10465</v>
      </c>
      <c r="B579">
        <v>24</v>
      </c>
      <c r="C579">
        <v>3.6</v>
      </c>
      <c r="D579">
        <v>25</v>
      </c>
      <c r="E579">
        <v>0</v>
      </c>
      <c r="F579">
        <f t="shared" ref="F579:F642" si="9">C579*D579*(1-E579)</f>
        <v>90</v>
      </c>
      <c r="G579">
        <f>YEAR(VLOOKUP(A579,orders!A:D,4,0))</f>
        <v>2014</v>
      </c>
      <c r="H579">
        <f>MONTH(INDEX(orders!D:D,MATCH(A579, orders!A:A,0)))</f>
        <v>3</v>
      </c>
      <c r="I579" t="str">
        <f>VLOOKUP(VLOOKUP(B579,products!A:F,6,0),categories!A:B,2,0)</f>
        <v>Beverages</v>
      </c>
      <c r="J579" t="str">
        <f>VLOOKUP(VLOOKUP(A579,orders!A:B,2,0),customers!A:F,6,0)</f>
        <v>Denmark</v>
      </c>
      <c r="K579" t="str">
        <f>VLOOKUP(VLOOKUP(A579,orders!A:C,3,0),employees!A:B,2,0)</f>
        <v>Nancy Davolio</v>
      </c>
    </row>
    <row r="580" spans="1:11" x14ac:dyDescent="0.25">
      <c r="A580">
        <v>10465</v>
      </c>
      <c r="B580">
        <v>29</v>
      </c>
      <c r="C580">
        <v>99</v>
      </c>
      <c r="D580">
        <v>18</v>
      </c>
      <c r="E580">
        <v>0.1</v>
      </c>
      <c r="F580">
        <f t="shared" si="9"/>
        <v>1603.8</v>
      </c>
      <c r="G580">
        <f>YEAR(VLOOKUP(A580,orders!A:D,4,0))</f>
        <v>2014</v>
      </c>
      <c r="H580">
        <f>MONTH(INDEX(orders!D:D,MATCH(A580, orders!A:A,0)))</f>
        <v>3</v>
      </c>
      <c r="I580" t="str">
        <f>VLOOKUP(VLOOKUP(B580,products!A:F,6,0),categories!A:B,2,0)</f>
        <v>Meat &amp; Poultry</v>
      </c>
      <c r="J580" t="str">
        <f>VLOOKUP(VLOOKUP(A580,orders!A:B,2,0),customers!A:F,6,0)</f>
        <v>Denmark</v>
      </c>
      <c r="K580" t="str">
        <f>VLOOKUP(VLOOKUP(A580,orders!A:C,3,0),employees!A:B,2,0)</f>
        <v>Nancy Davolio</v>
      </c>
    </row>
    <row r="581" spans="1:11" x14ac:dyDescent="0.25">
      <c r="A581">
        <v>10465</v>
      </c>
      <c r="B581">
        <v>40</v>
      </c>
      <c r="C581">
        <v>14.7</v>
      </c>
      <c r="D581">
        <v>20</v>
      </c>
      <c r="E581">
        <v>0</v>
      </c>
      <c r="F581">
        <f t="shared" si="9"/>
        <v>294</v>
      </c>
      <c r="G581">
        <f>YEAR(VLOOKUP(A581,orders!A:D,4,0))</f>
        <v>2014</v>
      </c>
      <c r="H581">
        <f>MONTH(INDEX(orders!D:D,MATCH(A581, orders!A:A,0)))</f>
        <v>3</v>
      </c>
      <c r="I581" t="str">
        <f>VLOOKUP(VLOOKUP(B581,products!A:F,6,0),categories!A:B,2,0)</f>
        <v>Seafood</v>
      </c>
      <c r="J581" t="str">
        <f>VLOOKUP(VLOOKUP(A581,orders!A:B,2,0),customers!A:F,6,0)</f>
        <v>Denmark</v>
      </c>
      <c r="K581" t="str">
        <f>VLOOKUP(VLOOKUP(A581,orders!A:C,3,0),employees!A:B,2,0)</f>
        <v>Nancy Davolio</v>
      </c>
    </row>
    <row r="582" spans="1:11" x14ac:dyDescent="0.25">
      <c r="A582">
        <v>10465</v>
      </c>
      <c r="B582">
        <v>45</v>
      </c>
      <c r="C582">
        <v>7.6</v>
      </c>
      <c r="D582">
        <v>30</v>
      </c>
      <c r="E582">
        <v>0.1</v>
      </c>
      <c r="F582">
        <f t="shared" si="9"/>
        <v>205.20000000000002</v>
      </c>
      <c r="G582">
        <f>YEAR(VLOOKUP(A582,orders!A:D,4,0))</f>
        <v>2014</v>
      </c>
      <c r="H582">
        <f>MONTH(INDEX(orders!D:D,MATCH(A582, orders!A:A,0)))</f>
        <v>3</v>
      </c>
      <c r="I582" t="str">
        <f>VLOOKUP(VLOOKUP(B582,products!A:F,6,0),categories!A:B,2,0)</f>
        <v>Seafood</v>
      </c>
      <c r="J582" t="str">
        <f>VLOOKUP(VLOOKUP(A582,orders!A:B,2,0),customers!A:F,6,0)</f>
        <v>Denmark</v>
      </c>
      <c r="K582" t="str">
        <f>VLOOKUP(VLOOKUP(A582,orders!A:C,3,0),employees!A:B,2,0)</f>
        <v>Nancy Davolio</v>
      </c>
    </row>
    <row r="583" spans="1:11" x14ac:dyDescent="0.25">
      <c r="A583">
        <v>10465</v>
      </c>
      <c r="B583">
        <v>50</v>
      </c>
      <c r="C583">
        <v>13</v>
      </c>
      <c r="D583">
        <v>25</v>
      </c>
      <c r="E583">
        <v>0</v>
      </c>
      <c r="F583">
        <f t="shared" si="9"/>
        <v>325</v>
      </c>
      <c r="G583">
        <f>YEAR(VLOOKUP(A583,orders!A:D,4,0))</f>
        <v>2014</v>
      </c>
      <c r="H583">
        <f>MONTH(INDEX(orders!D:D,MATCH(A583, orders!A:A,0)))</f>
        <v>3</v>
      </c>
      <c r="I583" t="str">
        <f>VLOOKUP(VLOOKUP(B583,products!A:F,6,0),categories!A:B,2,0)</f>
        <v>Confections</v>
      </c>
      <c r="J583" t="str">
        <f>VLOOKUP(VLOOKUP(A583,orders!A:B,2,0),customers!A:F,6,0)</f>
        <v>Denmark</v>
      </c>
      <c r="K583" t="str">
        <f>VLOOKUP(VLOOKUP(A583,orders!A:C,3,0),employees!A:B,2,0)</f>
        <v>Nancy Davolio</v>
      </c>
    </row>
    <row r="584" spans="1:11" x14ac:dyDescent="0.25">
      <c r="A584">
        <v>10466</v>
      </c>
      <c r="B584">
        <v>11</v>
      </c>
      <c r="C584">
        <v>16.8</v>
      </c>
      <c r="D584">
        <v>10</v>
      </c>
      <c r="E584">
        <v>0</v>
      </c>
      <c r="F584">
        <f t="shared" si="9"/>
        <v>168</v>
      </c>
      <c r="G584">
        <f>YEAR(VLOOKUP(A584,orders!A:D,4,0))</f>
        <v>2014</v>
      </c>
      <c r="H584">
        <f>MONTH(INDEX(orders!D:D,MATCH(A584, orders!A:A,0)))</f>
        <v>3</v>
      </c>
      <c r="I584" t="str">
        <f>VLOOKUP(VLOOKUP(B584,products!A:F,6,0),categories!A:B,2,0)</f>
        <v>Dairy Products</v>
      </c>
      <c r="J584" t="str">
        <f>VLOOKUP(VLOOKUP(A584,orders!A:B,2,0),customers!A:F,6,0)</f>
        <v>Brazil</v>
      </c>
      <c r="K584" t="str">
        <f>VLOOKUP(VLOOKUP(A584,orders!A:C,3,0),employees!A:B,2,0)</f>
        <v>Margaret Peacock</v>
      </c>
    </row>
    <row r="585" spans="1:11" x14ac:dyDescent="0.25">
      <c r="A585">
        <v>10466</v>
      </c>
      <c r="B585">
        <v>46</v>
      </c>
      <c r="C585">
        <v>9.6</v>
      </c>
      <c r="D585">
        <v>5</v>
      </c>
      <c r="E585">
        <v>0</v>
      </c>
      <c r="F585">
        <f t="shared" si="9"/>
        <v>48</v>
      </c>
      <c r="G585">
        <f>YEAR(VLOOKUP(A585,orders!A:D,4,0))</f>
        <v>2014</v>
      </c>
      <c r="H585">
        <f>MONTH(INDEX(orders!D:D,MATCH(A585, orders!A:A,0)))</f>
        <v>3</v>
      </c>
      <c r="I585" t="str">
        <f>VLOOKUP(VLOOKUP(B585,products!A:F,6,0),categories!A:B,2,0)</f>
        <v>Seafood</v>
      </c>
      <c r="J585" t="str">
        <f>VLOOKUP(VLOOKUP(A585,orders!A:B,2,0),customers!A:F,6,0)</f>
        <v>Brazil</v>
      </c>
      <c r="K585" t="str">
        <f>VLOOKUP(VLOOKUP(A585,orders!A:C,3,0),employees!A:B,2,0)</f>
        <v>Margaret Peacock</v>
      </c>
    </row>
    <row r="586" spans="1:11" x14ac:dyDescent="0.25">
      <c r="A586">
        <v>10467</v>
      </c>
      <c r="B586">
        <v>24</v>
      </c>
      <c r="C586">
        <v>3.6</v>
      </c>
      <c r="D586">
        <v>28</v>
      </c>
      <c r="E586">
        <v>0</v>
      </c>
      <c r="F586">
        <f t="shared" si="9"/>
        <v>100.8</v>
      </c>
      <c r="G586">
        <f>YEAR(VLOOKUP(A586,orders!A:D,4,0))</f>
        <v>2014</v>
      </c>
      <c r="H586">
        <f>MONTH(INDEX(orders!D:D,MATCH(A586, orders!A:A,0)))</f>
        <v>3</v>
      </c>
      <c r="I586" t="str">
        <f>VLOOKUP(VLOOKUP(B586,products!A:F,6,0),categories!A:B,2,0)</f>
        <v>Beverages</v>
      </c>
      <c r="J586" t="str">
        <f>VLOOKUP(VLOOKUP(A586,orders!A:B,2,0),customers!A:F,6,0)</f>
        <v>Italy</v>
      </c>
      <c r="K586" t="str">
        <f>VLOOKUP(VLOOKUP(A586,orders!A:C,3,0),employees!A:B,2,0)</f>
        <v>Laura Callahan</v>
      </c>
    </row>
    <row r="587" spans="1:11" x14ac:dyDescent="0.25">
      <c r="A587">
        <v>10467</v>
      </c>
      <c r="B587">
        <v>25</v>
      </c>
      <c r="C587">
        <v>11.2</v>
      </c>
      <c r="D587">
        <v>12</v>
      </c>
      <c r="E587">
        <v>0</v>
      </c>
      <c r="F587">
        <f t="shared" si="9"/>
        <v>134.39999999999998</v>
      </c>
      <c r="G587">
        <f>YEAR(VLOOKUP(A587,orders!A:D,4,0))</f>
        <v>2014</v>
      </c>
      <c r="H587">
        <f>MONTH(INDEX(orders!D:D,MATCH(A587, orders!A:A,0)))</f>
        <v>3</v>
      </c>
      <c r="I587" t="str">
        <f>VLOOKUP(VLOOKUP(B587,products!A:F,6,0),categories!A:B,2,0)</f>
        <v>Confections</v>
      </c>
      <c r="J587" t="str">
        <f>VLOOKUP(VLOOKUP(A587,orders!A:B,2,0),customers!A:F,6,0)</f>
        <v>Italy</v>
      </c>
      <c r="K587" t="str">
        <f>VLOOKUP(VLOOKUP(A587,orders!A:C,3,0),employees!A:B,2,0)</f>
        <v>Laura Callahan</v>
      </c>
    </row>
    <row r="588" spans="1:11" x14ac:dyDescent="0.25">
      <c r="A588">
        <v>10468</v>
      </c>
      <c r="B588">
        <v>30</v>
      </c>
      <c r="C588">
        <v>20.7</v>
      </c>
      <c r="D588">
        <v>8</v>
      </c>
      <c r="E588">
        <v>0</v>
      </c>
      <c r="F588">
        <f t="shared" si="9"/>
        <v>165.6</v>
      </c>
      <c r="G588">
        <f>YEAR(VLOOKUP(A588,orders!A:D,4,0))</f>
        <v>2014</v>
      </c>
      <c r="H588">
        <f>MONTH(INDEX(orders!D:D,MATCH(A588, orders!A:A,0)))</f>
        <v>3</v>
      </c>
      <c r="I588" t="str">
        <f>VLOOKUP(VLOOKUP(B588,products!A:F,6,0),categories!A:B,2,0)</f>
        <v>Seafood</v>
      </c>
      <c r="J588" t="str">
        <f>VLOOKUP(VLOOKUP(A588,orders!A:B,2,0),customers!A:F,6,0)</f>
        <v>Germany</v>
      </c>
      <c r="K588" t="str">
        <f>VLOOKUP(VLOOKUP(A588,orders!A:C,3,0),employees!A:B,2,0)</f>
        <v>Janet Leverling</v>
      </c>
    </row>
    <row r="589" spans="1:11" x14ac:dyDescent="0.25">
      <c r="A589">
        <v>10468</v>
      </c>
      <c r="B589">
        <v>43</v>
      </c>
      <c r="C589">
        <v>36.799999999999997</v>
      </c>
      <c r="D589">
        <v>15</v>
      </c>
      <c r="E589">
        <v>0</v>
      </c>
      <c r="F589">
        <f t="shared" si="9"/>
        <v>552</v>
      </c>
      <c r="G589">
        <f>YEAR(VLOOKUP(A589,orders!A:D,4,0))</f>
        <v>2014</v>
      </c>
      <c r="H589">
        <f>MONTH(INDEX(orders!D:D,MATCH(A589, orders!A:A,0)))</f>
        <v>3</v>
      </c>
      <c r="I589" t="str">
        <f>VLOOKUP(VLOOKUP(B589,products!A:F,6,0),categories!A:B,2,0)</f>
        <v>Beverages</v>
      </c>
      <c r="J589" t="str">
        <f>VLOOKUP(VLOOKUP(A589,orders!A:B,2,0),customers!A:F,6,0)</f>
        <v>Germany</v>
      </c>
      <c r="K589" t="str">
        <f>VLOOKUP(VLOOKUP(A589,orders!A:C,3,0),employees!A:B,2,0)</f>
        <v>Janet Leverling</v>
      </c>
    </row>
    <row r="590" spans="1:11" x14ac:dyDescent="0.25">
      <c r="A590">
        <v>10469</v>
      </c>
      <c r="B590">
        <v>2</v>
      </c>
      <c r="C590">
        <v>15.2</v>
      </c>
      <c r="D590">
        <v>40</v>
      </c>
      <c r="E590">
        <v>0.15</v>
      </c>
      <c r="F590">
        <f t="shared" si="9"/>
        <v>516.79999999999995</v>
      </c>
      <c r="G590">
        <f>YEAR(VLOOKUP(A590,orders!A:D,4,0))</f>
        <v>2014</v>
      </c>
      <c r="H590">
        <f>MONTH(INDEX(orders!D:D,MATCH(A590, orders!A:A,0)))</f>
        <v>3</v>
      </c>
      <c r="I590" t="str">
        <f>VLOOKUP(VLOOKUP(B590,products!A:F,6,0),categories!A:B,2,0)</f>
        <v>Beverages</v>
      </c>
      <c r="J590" t="str">
        <f>VLOOKUP(VLOOKUP(A590,orders!A:B,2,0),customers!A:F,6,0)</f>
        <v>USA</v>
      </c>
      <c r="K590" t="str">
        <f>VLOOKUP(VLOOKUP(A590,orders!A:C,3,0),employees!A:B,2,0)</f>
        <v>Nancy Davolio</v>
      </c>
    </row>
    <row r="591" spans="1:11" x14ac:dyDescent="0.25">
      <c r="A591">
        <v>10469</v>
      </c>
      <c r="B591">
        <v>16</v>
      </c>
      <c r="C591">
        <v>13.9</v>
      </c>
      <c r="D591">
        <v>35</v>
      </c>
      <c r="E591">
        <v>0.15</v>
      </c>
      <c r="F591">
        <f t="shared" si="9"/>
        <v>413.52499999999998</v>
      </c>
      <c r="G591">
        <f>YEAR(VLOOKUP(A591,orders!A:D,4,0))</f>
        <v>2014</v>
      </c>
      <c r="H591">
        <f>MONTH(INDEX(orders!D:D,MATCH(A591, orders!A:A,0)))</f>
        <v>3</v>
      </c>
      <c r="I591" t="str">
        <f>VLOOKUP(VLOOKUP(B591,products!A:F,6,0),categories!A:B,2,0)</f>
        <v>Confections</v>
      </c>
      <c r="J591" t="str">
        <f>VLOOKUP(VLOOKUP(A591,orders!A:B,2,0),customers!A:F,6,0)</f>
        <v>USA</v>
      </c>
      <c r="K591" t="str">
        <f>VLOOKUP(VLOOKUP(A591,orders!A:C,3,0),employees!A:B,2,0)</f>
        <v>Nancy Davolio</v>
      </c>
    </row>
    <row r="592" spans="1:11" x14ac:dyDescent="0.25">
      <c r="A592">
        <v>10469</v>
      </c>
      <c r="B592">
        <v>44</v>
      </c>
      <c r="C592">
        <v>15.5</v>
      </c>
      <c r="D592">
        <v>2</v>
      </c>
      <c r="E592">
        <v>0.15</v>
      </c>
      <c r="F592">
        <f t="shared" si="9"/>
        <v>26.349999999999998</v>
      </c>
      <c r="G592">
        <f>YEAR(VLOOKUP(A592,orders!A:D,4,0))</f>
        <v>2014</v>
      </c>
      <c r="H592">
        <f>MONTH(INDEX(orders!D:D,MATCH(A592, orders!A:A,0)))</f>
        <v>3</v>
      </c>
      <c r="I592" t="str">
        <f>VLOOKUP(VLOOKUP(B592,products!A:F,6,0),categories!A:B,2,0)</f>
        <v>Condiments</v>
      </c>
      <c r="J592" t="str">
        <f>VLOOKUP(VLOOKUP(A592,orders!A:B,2,0),customers!A:F,6,0)</f>
        <v>USA</v>
      </c>
      <c r="K592" t="str">
        <f>VLOOKUP(VLOOKUP(A592,orders!A:C,3,0),employees!A:B,2,0)</f>
        <v>Nancy Davolio</v>
      </c>
    </row>
    <row r="593" spans="1:11" x14ac:dyDescent="0.25">
      <c r="A593">
        <v>10470</v>
      </c>
      <c r="B593">
        <v>18</v>
      </c>
      <c r="C593">
        <v>50</v>
      </c>
      <c r="D593">
        <v>30</v>
      </c>
      <c r="E593">
        <v>0</v>
      </c>
      <c r="F593">
        <f t="shared" si="9"/>
        <v>1500</v>
      </c>
      <c r="G593">
        <f>YEAR(VLOOKUP(A593,orders!A:D,4,0))</f>
        <v>2014</v>
      </c>
      <c r="H593">
        <f>MONTH(INDEX(orders!D:D,MATCH(A593, orders!A:A,0)))</f>
        <v>3</v>
      </c>
      <c r="I593" t="str">
        <f>VLOOKUP(VLOOKUP(B593,products!A:F,6,0),categories!A:B,2,0)</f>
        <v>Seafood</v>
      </c>
      <c r="J593" t="str">
        <f>VLOOKUP(VLOOKUP(A593,orders!A:B,2,0),customers!A:F,6,0)</f>
        <v>France</v>
      </c>
      <c r="K593" t="str">
        <f>VLOOKUP(VLOOKUP(A593,orders!A:C,3,0),employees!A:B,2,0)</f>
        <v>Margaret Peacock</v>
      </c>
    </row>
    <row r="594" spans="1:11" x14ac:dyDescent="0.25">
      <c r="A594">
        <v>10470</v>
      </c>
      <c r="B594">
        <v>23</v>
      </c>
      <c r="C594">
        <v>7.2</v>
      </c>
      <c r="D594">
        <v>15</v>
      </c>
      <c r="E594">
        <v>0</v>
      </c>
      <c r="F594">
        <f t="shared" si="9"/>
        <v>108</v>
      </c>
      <c r="G594">
        <f>YEAR(VLOOKUP(A594,orders!A:D,4,0))</f>
        <v>2014</v>
      </c>
      <c r="H594">
        <f>MONTH(INDEX(orders!D:D,MATCH(A594, orders!A:A,0)))</f>
        <v>3</v>
      </c>
      <c r="I594" t="str">
        <f>VLOOKUP(VLOOKUP(B594,products!A:F,6,0),categories!A:B,2,0)</f>
        <v>Grains &amp; Cereals</v>
      </c>
      <c r="J594" t="str">
        <f>VLOOKUP(VLOOKUP(A594,orders!A:B,2,0),customers!A:F,6,0)</f>
        <v>France</v>
      </c>
      <c r="K594" t="str">
        <f>VLOOKUP(VLOOKUP(A594,orders!A:C,3,0),employees!A:B,2,0)</f>
        <v>Margaret Peacock</v>
      </c>
    </row>
    <row r="595" spans="1:11" x14ac:dyDescent="0.25">
      <c r="A595">
        <v>10470</v>
      </c>
      <c r="B595">
        <v>64</v>
      </c>
      <c r="C595">
        <v>26.6</v>
      </c>
      <c r="D595">
        <v>8</v>
      </c>
      <c r="E595">
        <v>0</v>
      </c>
      <c r="F595">
        <f t="shared" si="9"/>
        <v>212.8</v>
      </c>
      <c r="G595">
        <f>YEAR(VLOOKUP(A595,orders!A:D,4,0))</f>
        <v>2014</v>
      </c>
      <c r="H595">
        <f>MONTH(INDEX(orders!D:D,MATCH(A595, orders!A:A,0)))</f>
        <v>3</v>
      </c>
      <c r="I595" t="str">
        <f>VLOOKUP(VLOOKUP(B595,products!A:F,6,0),categories!A:B,2,0)</f>
        <v>Grains &amp; Cereals</v>
      </c>
      <c r="J595" t="str">
        <f>VLOOKUP(VLOOKUP(A595,orders!A:B,2,0),customers!A:F,6,0)</f>
        <v>France</v>
      </c>
      <c r="K595" t="str">
        <f>VLOOKUP(VLOOKUP(A595,orders!A:C,3,0),employees!A:B,2,0)</f>
        <v>Margaret Peacock</v>
      </c>
    </row>
    <row r="596" spans="1:11" x14ac:dyDescent="0.25">
      <c r="A596">
        <v>10471</v>
      </c>
      <c r="B596">
        <v>7</v>
      </c>
      <c r="C596">
        <v>24</v>
      </c>
      <c r="D596">
        <v>30</v>
      </c>
      <c r="E596">
        <v>0</v>
      </c>
      <c r="F596">
        <f t="shared" si="9"/>
        <v>720</v>
      </c>
      <c r="G596">
        <f>YEAR(VLOOKUP(A596,orders!A:D,4,0))</f>
        <v>2014</v>
      </c>
      <c r="H596">
        <f>MONTH(INDEX(orders!D:D,MATCH(A596, orders!A:A,0)))</f>
        <v>3</v>
      </c>
      <c r="I596" t="str">
        <f>VLOOKUP(VLOOKUP(B596,products!A:F,6,0),categories!A:B,2,0)</f>
        <v>Produce</v>
      </c>
      <c r="J596" t="str">
        <f>VLOOKUP(VLOOKUP(A596,orders!A:B,2,0),customers!A:F,6,0)</f>
        <v>UK</v>
      </c>
      <c r="K596" t="str">
        <f>VLOOKUP(VLOOKUP(A596,orders!A:C,3,0),employees!A:B,2,0)</f>
        <v>Andrew Fuller</v>
      </c>
    </row>
    <row r="597" spans="1:11" x14ac:dyDescent="0.25">
      <c r="A597">
        <v>10471</v>
      </c>
      <c r="B597">
        <v>56</v>
      </c>
      <c r="C597">
        <v>30.4</v>
      </c>
      <c r="D597">
        <v>20</v>
      </c>
      <c r="E597">
        <v>0</v>
      </c>
      <c r="F597">
        <f t="shared" si="9"/>
        <v>608</v>
      </c>
      <c r="G597">
        <f>YEAR(VLOOKUP(A597,orders!A:D,4,0))</f>
        <v>2014</v>
      </c>
      <c r="H597">
        <f>MONTH(INDEX(orders!D:D,MATCH(A597, orders!A:A,0)))</f>
        <v>3</v>
      </c>
      <c r="I597" t="str">
        <f>VLOOKUP(VLOOKUP(B597,products!A:F,6,0),categories!A:B,2,0)</f>
        <v>Grains &amp; Cereals</v>
      </c>
      <c r="J597" t="str">
        <f>VLOOKUP(VLOOKUP(A597,orders!A:B,2,0),customers!A:F,6,0)</f>
        <v>UK</v>
      </c>
      <c r="K597" t="str">
        <f>VLOOKUP(VLOOKUP(A597,orders!A:C,3,0),employees!A:B,2,0)</f>
        <v>Andrew Fuller</v>
      </c>
    </row>
    <row r="598" spans="1:11" x14ac:dyDescent="0.25">
      <c r="A598">
        <v>10472</v>
      </c>
      <c r="B598">
        <v>24</v>
      </c>
      <c r="C598">
        <v>3.6</v>
      </c>
      <c r="D598">
        <v>80</v>
      </c>
      <c r="E598">
        <v>0.05</v>
      </c>
      <c r="F598">
        <f t="shared" si="9"/>
        <v>273.59999999999997</v>
      </c>
      <c r="G598">
        <f>YEAR(VLOOKUP(A598,orders!A:D,4,0))</f>
        <v>2014</v>
      </c>
      <c r="H598">
        <f>MONTH(INDEX(orders!D:D,MATCH(A598, orders!A:A,0)))</f>
        <v>3</v>
      </c>
      <c r="I598" t="str">
        <f>VLOOKUP(VLOOKUP(B598,products!A:F,6,0),categories!A:B,2,0)</f>
        <v>Beverages</v>
      </c>
      <c r="J598" t="str">
        <f>VLOOKUP(VLOOKUP(A598,orders!A:B,2,0),customers!A:F,6,0)</f>
        <v>UK</v>
      </c>
      <c r="K598" t="str">
        <f>VLOOKUP(VLOOKUP(A598,orders!A:C,3,0),employees!A:B,2,0)</f>
        <v>Laura Callahan</v>
      </c>
    </row>
    <row r="599" spans="1:11" x14ac:dyDescent="0.25">
      <c r="A599">
        <v>10472</v>
      </c>
      <c r="B599">
        <v>51</v>
      </c>
      <c r="C599">
        <v>42.4</v>
      </c>
      <c r="D599">
        <v>18</v>
      </c>
      <c r="E599">
        <v>0</v>
      </c>
      <c r="F599">
        <f t="shared" si="9"/>
        <v>763.19999999999993</v>
      </c>
      <c r="G599">
        <f>YEAR(VLOOKUP(A599,orders!A:D,4,0))</f>
        <v>2014</v>
      </c>
      <c r="H599">
        <f>MONTH(INDEX(orders!D:D,MATCH(A599, orders!A:A,0)))</f>
        <v>3</v>
      </c>
      <c r="I599" t="str">
        <f>VLOOKUP(VLOOKUP(B599,products!A:F,6,0),categories!A:B,2,0)</f>
        <v>Produce</v>
      </c>
      <c r="J599" t="str">
        <f>VLOOKUP(VLOOKUP(A599,orders!A:B,2,0),customers!A:F,6,0)</f>
        <v>UK</v>
      </c>
      <c r="K599" t="str">
        <f>VLOOKUP(VLOOKUP(A599,orders!A:C,3,0),employees!A:B,2,0)</f>
        <v>Laura Callahan</v>
      </c>
    </row>
    <row r="600" spans="1:11" x14ac:dyDescent="0.25">
      <c r="A600">
        <v>10473</v>
      </c>
      <c r="B600">
        <v>33</v>
      </c>
      <c r="C600">
        <v>2</v>
      </c>
      <c r="D600">
        <v>12</v>
      </c>
      <c r="E600">
        <v>0</v>
      </c>
      <c r="F600">
        <f t="shared" si="9"/>
        <v>24</v>
      </c>
      <c r="G600">
        <f>YEAR(VLOOKUP(A600,orders!A:D,4,0))</f>
        <v>2014</v>
      </c>
      <c r="H600">
        <f>MONTH(INDEX(orders!D:D,MATCH(A600, orders!A:A,0)))</f>
        <v>3</v>
      </c>
      <c r="I600" t="str">
        <f>VLOOKUP(VLOOKUP(B600,products!A:F,6,0),categories!A:B,2,0)</f>
        <v>Dairy Products</v>
      </c>
      <c r="J600" t="str">
        <f>VLOOKUP(VLOOKUP(A600,orders!A:B,2,0),customers!A:F,6,0)</f>
        <v>UK</v>
      </c>
      <c r="K600" t="str">
        <f>VLOOKUP(VLOOKUP(A600,orders!A:C,3,0),employees!A:B,2,0)</f>
        <v>Nancy Davolio</v>
      </c>
    </row>
    <row r="601" spans="1:11" x14ac:dyDescent="0.25">
      <c r="A601">
        <v>10473</v>
      </c>
      <c r="B601">
        <v>71</v>
      </c>
      <c r="C601">
        <v>17.2</v>
      </c>
      <c r="D601">
        <v>12</v>
      </c>
      <c r="E601">
        <v>0</v>
      </c>
      <c r="F601">
        <f t="shared" si="9"/>
        <v>206.39999999999998</v>
      </c>
      <c r="G601">
        <f>YEAR(VLOOKUP(A601,orders!A:D,4,0))</f>
        <v>2014</v>
      </c>
      <c r="H601">
        <f>MONTH(INDEX(orders!D:D,MATCH(A601, orders!A:A,0)))</f>
        <v>3</v>
      </c>
      <c r="I601" t="str">
        <f>VLOOKUP(VLOOKUP(B601,products!A:F,6,0),categories!A:B,2,0)</f>
        <v>Dairy Products</v>
      </c>
      <c r="J601" t="str">
        <f>VLOOKUP(VLOOKUP(A601,orders!A:B,2,0),customers!A:F,6,0)</f>
        <v>UK</v>
      </c>
      <c r="K601" t="str">
        <f>VLOOKUP(VLOOKUP(A601,orders!A:C,3,0),employees!A:B,2,0)</f>
        <v>Nancy Davolio</v>
      </c>
    </row>
    <row r="602" spans="1:11" x14ac:dyDescent="0.25">
      <c r="A602">
        <v>10474</v>
      </c>
      <c r="B602">
        <v>14</v>
      </c>
      <c r="C602">
        <v>18.600000000000001</v>
      </c>
      <c r="D602">
        <v>12</v>
      </c>
      <c r="E602">
        <v>0</v>
      </c>
      <c r="F602">
        <f t="shared" si="9"/>
        <v>223.20000000000002</v>
      </c>
      <c r="G602">
        <f>YEAR(VLOOKUP(A602,orders!A:D,4,0))</f>
        <v>2014</v>
      </c>
      <c r="H602">
        <f>MONTH(INDEX(orders!D:D,MATCH(A602, orders!A:A,0)))</f>
        <v>3</v>
      </c>
      <c r="I602" t="str">
        <f>VLOOKUP(VLOOKUP(B602,products!A:F,6,0),categories!A:B,2,0)</f>
        <v>Produce</v>
      </c>
      <c r="J602" t="str">
        <f>VLOOKUP(VLOOKUP(A602,orders!A:B,2,0),customers!A:F,6,0)</f>
        <v>Mexico</v>
      </c>
      <c r="K602" t="str">
        <f>VLOOKUP(VLOOKUP(A602,orders!A:C,3,0),employees!A:B,2,0)</f>
        <v>Steven Buchanan</v>
      </c>
    </row>
    <row r="603" spans="1:11" x14ac:dyDescent="0.25">
      <c r="A603">
        <v>10474</v>
      </c>
      <c r="B603">
        <v>28</v>
      </c>
      <c r="C603">
        <v>36.4</v>
      </c>
      <c r="D603">
        <v>18</v>
      </c>
      <c r="E603">
        <v>0</v>
      </c>
      <c r="F603">
        <f t="shared" si="9"/>
        <v>655.19999999999993</v>
      </c>
      <c r="G603">
        <f>YEAR(VLOOKUP(A603,orders!A:D,4,0))</f>
        <v>2014</v>
      </c>
      <c r="H603">
        <f>MONTH(INDEX(orders!D:D,MATCH(A603, orders!A:A,0)))</f>
        <v>3</v>
      </c>
      <c r="I603" t="str">
        <f>VLOOKUP(VLOOKUP(B603,products!A:F,6,0),categories!A:B,2,0)</f>
        <v>Produce</v>
      </c>
      <c r="J603" t="str">
        <f>VLOOKUP(VLOOKUP(A603,orders!A:B,2,0),customers!A:F,6,0)</f>
        <v>Mexico</v>
      </c>
      <c r="K603" t="str">
        <f>VLOOKUP(VLOOKUP(A603,orders!A:C,3,0),employees!A:B,2,0)</f>
        <v>Steven Buchanan</v>
      </c>
    </row>
    <row r="604" spans="1:11" x14ac:dyDescent="0.25">
      <c r="A604">
        <v>10474</v>
      </c>
      <c r="B604">
        <v>40</v>
      </c>
      <c r="C604">
        <v>14.7</v>
      </c>
      <c r="D604">
        <v>21</v>
      </c>
      <c r="E604">
        <v>0</v>
      </c>
      <c r="F604">
        <f t="shared" si="9"/>
        <v>308.7</v>
      </c>
      <c r="G604">
        <f>YEAR(VLOOKUP(A604,orders!A:D,4,0))</f>
        <v>2014</v>
      </c>
      <c r="H604">
        <f>MONTH(INDEX(orders!D:D,MATCH(A604, orders!A:A,0)))</f>
        <v>3</v>
      </c>
      <c r="I604" t="str">
        <f>VLOOKUP(VLOOKUP(B604,products!A:F,6,0),categories!A:B,2,0)</f>
        <v>Seafood</v>
      </c>
      <c r="J604" t="str">
        <f>VLOOKUP(VLOOKUP(A604,orders!A:B,2,0),customers!A:F,6,0)</f>
        <v>Mexico</v>
      </c>
      <c r="K604" t="str">
        <f>VLOOKUP(VLOOKUP(A604,orders!A:C,3,0),employees!A:B,2,0)</f>
        <v>Steven Buchanan</v>
      </c>
    </row>
    <row r="605" spans="1:11" x14ac:dyDescent="0.25">
      <c r="A605">
        <v>10474</v>
      </c>
      <c r="B605">
        <v>75</v>
      </c>
      <c r="C605">
        <v>6.2</v>
      </c>
      <c r="D605">
        <v>10</v>
      </c>
      <c r="E605">
        <v>0</v>
      </c>
      <c r="F605">
        <f t="shared" si="9"/>
        <v>62</v>
      </c>
      <c r="G605">
        <f>YEAR(VLOOKUP(A605,orders!A:D,4,0))</f>
        <v>2014</v>
      </c>
      <c r="H605">
        <f>MONTH(INDEX(orders!D:D,MATCH(A605, orders!A:A,0)))</f>
        <v>3</v>
      </c>
      <c r="I605" t="str">
        <f>VLOOKUP(VLOOKUP(B605,products!A:F,6,0),categories!A:B,2,0)</f>
        <v>Beverages</v>
      </c>
      <c r="J605" t="str">
        <f>VLOOKUP(VLOOKUP(A605,orders!A:B,2,0),customers!A:F,6,0)</f>
        <v>Mexico</v>
      </c>
      <c r="K605" t="str">
        <f>VLOOKUP(VLOOKUP(A605,orders!A:C,3,0),employees!A:B,2,0)</f>
        <v>Steven Buchanan</v>
      </c>
    </row>
    <row r="606" spans="1:11" x14ac:dyDescent="0.25">
      <c r="A606">
        <v>10475</v>
      </c>
      <c r="B606">
        <v>31</v>
      </c>
      <c r="C606">
        <v>10</v>
      </c>
      <c r="D606">
        <v>35</v>
      </c>
      <c r="E606">
        <v>0.15</v>
      </c>
      <c r="F606">
        <f t="shared" si="9"/>
        <v>297.5</v>
      </c>
      <c r="G606">
        <f>YEAR(VLOOKUP(A606,orders!A:D,4,0))</f>
        <v>2014</v>
      </c>
      <c r="H606">
        <f>MONTH(INDEX(orders!D:D,MATCH(A606, orders!A:A,0)))</f>
        <v>3</v>
      </c>
      <c r="I606" t="str">
        <f>VLOOKUP(VLOOKUP(B606,products!A:F,6,0),categories!A:B,2,0)</f>
        <v>Dairy Products</v>
      </c>
      <c r="J606" t="str">
        <f>VLOOKUP(VLOOKUP(A606,orders!A:B,2,0),customers!A:F,6,0)</f>
        <v>Belgium</v>
      </c>
      <c r="K606" t="str">
        <f>VLOOKUP(VLOOKUP(A606,orders!A:C,3,0),employees!A:B,2,0)</f>
        <v>Anne Dodsworth</v>
      </c>
    </row>
    <row r="607" spans="1:11" x14ac:dyDescent="0.25">
      <c r="A607">
        <v>10475</v>
      </c>
      <c r="B607">
        <v>66</v>
      </c>
      <c r="C607">
        <v>13.6</v>
      </c>
      <c r="D607">
        <v>60</v>
      </c>
      <c r="E607">
        <v>0.15</v>
      </c>
      <c r="F607">
        <f t="shared" si="9"/>
        <v>693.6</v>
      </c>
      <c r="G607">
        <f>YEAR(VLOOKUP(A607,orders!A:D,4,0))</f>
        <v>2014</v>
      </c>
      <c r="H607">
        <f>MONTH(INDEX(orders!D:D,MATCH(A607, orders!A:A,0)))</f>
        <v>3</v>
      </c>
      <c r="I607" t="str">
        <f>VLOOKUP(VLOOKUP(B607,products!A:F,6,0),categories!A:B,2,0)</f>
        <v>Condiments</v>
      </c>
      <c r="J607" t="str">
        <f>VLOOKUP(VLOOKUP(A607,orders!A:B,2,0),customers!A:F,6,0)</f>
        <v>Belgium</v>
      </c>
      <c r="K607" t="str">
        <f>VLOOKUP(VLOOKUP(A607,orders!A:C,3,0),employees!A:B,2,0)</f>
        <v>Anne Dodsworth</v>
      </c>
    </row>
    <row r="608" spans="1:11" x14ac:dyDescent="0.25">
      <c r="A608">
        <v>10475</v>
      </c>
      <c r="B608">
        <v>76</v>
      </c>
      <c r="C608">
        <v>14.4</v>
      </c>
      <c r="D608">
        <v>42</v>
      </c>
      <c r="E608">
        <v>0.15</v>
      </c>
      <c r="F608">
        <f t="shared" si="9"/>
        <v>514.08000000000004</v>
      </c>
      <c r="G608">
        <f>YEAR(VLOOKUP(A608,orders!A:D,4,0))</f>
        <v>2014</v>
      </c>
      <c r="H608">
        <f>MONTH(INDEX(orders!D:D,MATCH(A608, orders!A:A,0)))</f>
        <v>3</v>
      </c>
      <c r="I608" t="str">
        <f>VLOOKUP(VLOOKUP(B608,products!A:F,6,0),categories!A:B,2,0)</f>
        <v>Beverages</v>
      </c>
      <c r="J608" t="str">
        <f>VLOOKUP(VLOOKUP(A608,orders!A:B,2,0),customers!A:F,6,0)</f>
        <v>Belgium</v>
      </c>
      <c r="K608" t="str">
        <f>VLOOKUP(VLOOKUP(A608,orders!A:C,3,0),employees!A:B,2,0)</f>
        <v>Anne Dodsworth</v>
      </c>
    </row>
    <row r="609" spans="1:11" x14ac:dyDescent="0.25">
      <c r="A609">
        <v>10476</v>
      </c>
      <c r="B609">
        <v>55</v>
      </c>
      <c r="C609">
        <v>19.2</v>
      </c>
      <c r="D609">
        <v>2</v>
      </c>
      <c r="E609">
        <v>0.05</v>
      </c>
      <c r="F609">
        <f t="shared" si="9"/>
        <v>36.479999999999997</v>
      </c>
      <c r="G609">
        <f>YEAR(VLOOKUP(A609,orders!A:D,4,0))</f>
        <v>2014</v>
      </c>
      <c r="H609">
        <f>MONTH(INDEX(orders!D:D,MATCH(A609, orders!A:A,0)))</f>
        <v>3</v>
      </c>
      <c r="I609" t="str">
        <f>VLOOKUP(VLOOKUP(B609,products!A:F,6,0),categories!A:B,2,0)</f>
        <v>Meat &amp; Poultry</v>
      </c>
      <c r="J609" t="str">
        <f>VLOOKUP(VLOOKUP(A609,orders!A:B,2,0),customers!A:F,6,0)</f>
        <v>Venezuela</v>
      </c>
      <c r="K609" t="str">
        <f>VLOOKUP(VLOOKUP(A609,orders!A:C,3,0),employees!A:B,2,0)</f>
        <v>Laura Callahan</v>
      </c>
    </row>
    <row r="610" spans="1:11" x14ac:dyDescent="0.25">
      <c r="A610">
        <v>10476</v>
      </c>
      <c r="B610">
        <v>70</v>
      </c>
      <c r="C610">
        <v>12</v>
      </c>
      <c r="D610">
        <v>12</v>
      </c>
      <c r="E610">
        <v>0</v>
      </c>
      <c r="F610">
        <f t="shared" si="9"/>
        <v>144</v>
      </c>
      <c r="G610">
        <f>YEAR(VLOOKUP(A610,orders!A:D,4,0))</f>
        <v>2014</v>
      </c>
      <c r="H610">
        <f>MONTH(INDEX(orders!D:D,MATCH(A610, orders!A:A,0)))</f>
        <v>3</v>
      </c>
      <c r="I610" t="str">
        <f>VLOOKUP(VLOOKUP(B610,products!A:F,6,0),categories!A:B,2,0)</f>
        <v>Beverages</v>
      </c>
      <c r="J610" t="str">
        <f>VLOOKUP(VLOOKUP(A610,orders!A:B,2,0),customers!A:F,6,0)</f>
        <v>Venezuela</v>
      </c>
      <c r="K610" t="str">
        <f>VLOOKUP(VLOOKUP(A610,orders!A:C,3,0),employees!A:B,2,0)</f>
        <v>Laura Callahan</v>
      </c>
    </row>
    <row r="611" spans="1:11" x14ac:dyDescent="0.25">
      <c r="A611">
        <v>10477</v>
      </c>
      <c r="B611">
        <v>1</v>
      </c>
      <c r="C611">
        <v>14.4</v>
      </c>
      <c r="D611">
        <v>15</v>
      </c>
      <c r="E611">
        <v>0</v>
      </c>
      <c r="F611">
        <f t="shared" si="9"/>
        <v>216</v>
      </c>
      <c r="G611">
        <f>YEAR(VLOOKUP(A611,orders!A:D,4,0))</f>
        <v>2014</v>
      </c>
      <c r="H611">
        <f>MONTH(INDEX(orders!D:D,MATCH(A611, orders!A:A,0)))</f>
        <v>3</v>
      </c>
      <c r="I611" t="str">
        <f>VLOOKUP(VLOOKUP(B611,products!A:F,6,0),categories!A:B,2,0)</f>
        <v>Beverages</v>
      </c>
      <c r="J611" t="str">
        <f>VLOOKUP(VLOOKUP(A611,orders!A:B,2,0),customers!A:F,6,0)</f>
        <v>Portugal</v>
      </c>
      <c r="K611" t="str">
        <f>VLOOKUP(VLOOKUP(A611,orders!A:C,3,0),employees!A:B,2,0)</f>
        <v>Steven Buchanan</v>
      </c>
    </row>
    <row r="612" spans="1:11" x14ac:dyDescent="0.25">
      <c r="A612">
        <v>10477</v>
      </c>
      <c r="B612">
        <v>21</v>
      </c>
      <c r="C612">
        <v>8</v>
      </c>
      <c r="D612">
        <v>21</v>
      </c>
      <c r="E612">
        <v>0.25</v>
      </c>
      <c r="F612">
        <f t="shared" si="9"/>
        <v>126</v>
      </c>
      <c r="G612">
        <f>YEAR(VLOOKUP(A612,orders!A:D,4,0))</f>
        <v>2014</v>
      </c>
      <c r="H612">
        <f>MONTH(INDEX(orders!D:D,MATCH(A612, orders!A:A,0)))</f>
        <v>3</v>
      </c>
      <c r="I612" t="str">
        <f>VLOOKUP(VLOOKUP(B612,products!A:F,6,0),categories!A:B,2,0)</f>
        <v>Confections</v>
      </c>
      <c r="J612" t="str">
        <f>VLOOKUP(VLOOKUP(A612,orders!A:B,2,0),customers!A:F,6,0)</f>
        <v>Portugal</v>
      </c>
      <c r="K612" t="str">
        <f>VLOOKUP(VLOOKUP(A612,orders!A:C,3,0),employees!A:B,2,0)</f>
        <v>Steven Buchanan</v>
      </c>
    </row>
    <row r="613" spans="1:11" x14ac:dyDescent="0.25">
      <c r="A613">
        <v>10477</v>
      </c>
      <c r="B613">
        <v>39</v>
      </c>
      <c r="C613">
        <v>14.4</v>
      </c>
      <c r="D613">
        <v>20</v>
      </c>
      <c r="E613">
        <v>0.25</v>
      </c>
      <c r="F613">
        <f t="shared" si="9"/>
        <v>216</v>
      </c>
      <c r="G613">
        <f>YEAR(VLOOKUP(A613,orders!A:D,4,0))</f>
        <v>2014</v>
      </c>
      <c r="H613">
        <f>MONTH(INDEX(orders!D:D,MATCH(A613, orders!A:A,0)))</f>
        <v>3</v>
      </c>
      <c r="I613" t="str">
        <f>VLOOKUP(VLOOKUP(B613,products!A:F,6,0),categories!A:B,2,0)</f>
        <v>Beverages</v>
      </c>
      <c r="J613" t="str">
        <f>VLOOKUP(VLOOKUP(A613,orders!A:B,2,0),customers!A:F,6,0)</f>
        <v>Portugal</v>
      </c>
      <c r="K613" t="str">
        <f>VLOOKUP(VLOOKUP(A613,orders!A:C,3,0),employees!A:B,2,0)</f>
        <v>Steven Buchanan</v>
      </c>
    </row>
    <row r="614" spans="1:11" x14ac:dyDescent="0.25">
      <c r="A614">
        <v>10478</v>
      </c>
      <c r="B614">
        <v>10</v>
      </c>
      <c r="C614">
        <v>24.8</v>
      </c>
      <c r="D614">
        <v>20</v>
      </c>
      <c r="E614">
        <v>0.05</v>
      </c>
      <c r="F614">
        <f t="shared" si="9"/>
        <v>471.2</v>
      </c>
      <c r="G614">
        <f>YEAR(VLOOKUP(A614,orders!A:D,4,0))</f>
        <v>2014</v>
      </c>
      <c r="H614">
        <f>MONTH(INDEX(orders!D:D,MATCH(A614, orders!A:A,0)))</f>
        <v>3</v>
      </c>
      <c r="I614" t="str">
        <f>VLOOKUP(VLOOKUP(B614,products!A:F,6,0),categories!A:B,2,0)</f>
        <v>Seafood</v>
      </c>
      <c r="J614" t="str">
        <f>VLOOKUP(VLOOKUP(A614,orders!A:B,2,0),customers!A:F,6,0)</f>
        <v>France</v>
      </c>
      <c r="K614" t="str">
        <f>VLOOKUP(VLOOKUP(A614,orders!A:C,3,0),employees!A:B,2,0)</f>
        <v>Andrew Fuller</v>
      </c>
    </row>
    <row r="615" spans="1:11" x14ac:dyDescent="0.25">
      <c r="A615">
        <v>10479</v>
      </c>
      <c r="B615">
        <v>38</v>
      </c>
      <c r="C615">
        <v>210.8</v>
      </c>
      <c r="D615">
        <v>30</v>
      </c>
      <c r="E615">
        <v>0</v>
      </c>
      <c r="F615">
        <f t="shared" si="9"/>
        <v>6324</v>
      </c>
      <c r="G615">
        <f>YEAR(VLOOKUP(A615,orders!A:D,4,0))</f>
        <v>2014</v>
      </c>
      <c r="H615">
        <f>MONTH(INDEX(orders!D:D,MATCH(A615, orders!A:A,0)))</f>
        <v>3</v>
      </c>
      <c r="I615" t="str">
        <f>VLOOKUP(VLOOKUP(B615,products!A:F,6,0),categories!A:B,2,0)</f>
        <v>Beverages</v>
      </c>
      <c r="J615" t="str">
        <f>VLOOKUP(VLOOKUP(A615,orders!A:B,2,0),customers!A:F,6,0)</f>
        <v>USA</v>
      </c>
      <c r="K615" t="str">
        <f>VLOOKUP(VLOOKUP(A615,orders!A:C,3,0),employees!A:B,2,0)</f>
        <v>Janet Leverling</v>
      </c>
    </row>
    <row r="616" spans="1:11" x14ac:dyDescent="0.25">
      <c r="A616">
        <v>10479</v>
      </c>
      <c r="B616">
        <v>53</v>
      </c>
      <c r="C616">
        <v>26.2</v>
      </c>
      <c r="D616">
        <v>28</v>
      </c>
      <c r="E616">
        <v>0</v>
      </c>
      <c r="F616">
        <f t="shared" si="9"/>
        <v>733.6</v>
      </c>
      <c r="G616">
        <f>YEAR(VLOOKUP(A616,orders!A:D,4,0))</f>
        <v>2014</v>
      </c>
      <c r="H616">
        <f>MONTH(INDEX(orders!D:D,MATCH(A616, orders!A:A,0)))</f>
        <v>3</v>
      </c>
      <c r="I616" t="str">
        <f>VLOOKUP(VLOOKUP(B616,products!A:F,6,0),categories!A:B,2,0)</f>
        <v>Meat &amp; Poultry</v>
      </c>
      <c r="J616" t="str">
        <f>VLOOKUP(VLOOKUP(A616,orders!A:B,2,0),customers!A:F,6,0)</f>
        <v>USA</v>
      </c>
      <c r="K616" t="str">
        <f>VLOOKUP(VLOOKUP(A616,orders!A:C,3,0),employees!A:B,2,0)</f>
        <v>Janet Leverling</v>
      </c>
    </row>
    <row r="617" spans="1:11" x14ac:dyDescent="0.25">
      <c r="A617">
        <v>10479</v>
      </c>
      <c r="B617">
        <v>59</v>
      </c>
      <c r="C617">
        <v>44</v>
      </c>
      <c r="D617">
        <v>60</v>
      </c>
      <c r="E617">
        <v>0</v>
      </c>
      <c r="F617">
        <f t="shared" si="9"/>
        <v>2640</v>
      </c>
      <c r="G617">
        <f>YEAR(VLOOKUP(A617,orders!A:D,4,0))</f>
        <v>2014</v>
      </c>
      <c r="H617">
        <f>MONTH(INDEX(orders!D:D,MATCH(A617, orders!A:A,0)))</f>
        <v>3</v>
      </c>
      <c r="I617" t="str">
        <f>VLOOKUP(VLOOKUP(B617,products!A:F,6,0),categories!A:B,2,0)</f>
        <v>Dairy Products</v>
      </c>
      <c r="J617" t="str">
        <f>VLOOKUP(VLOOKUP(A617,orders!A:B,2,0),customers!A:F,6,0)</f>
        <v>USA</v>
      </c>
      <c r="K617" t="str">
        <f>VLOOKUP(VLOOKUP(A617,orders!A:C,3,0),employees!A:B,2,0)</f>
        <v>Janet Leverling</v>
      </c>
    </row>
    <row r="618" spans="1:11" x14ac:dyDescent="0.25">
      <c r="A618">
        <v>10479</v>
      </c>
      <c r="B618">
        <v>64</v>
      </c>
      <c r="C618">
        <v>26.6</v>
      </c>
      <c r="D618">
        <v>30</v>
      </c>
      <c r="E618">
        <v>0</v>
      </c>
      <c r="F618">
        <f t="shared" si="9"/>
        <v>798</v>
      </c>
      <c r="G618">
        <f>YEAR(VLOOKUP(A618,orders!A:D,4,0))</f>
        <v>2014</v>
      </c>
      <c r="H618">
        <f>MONTH(INDEX(orders!D:D,MATCH(A618, orders!A:A,0)))</f>
        <v>3</v>
      </c>
      <c r="I618" t="str">
        <f>VLOOKUP(VLOOKUP(B618,products!A:F,6,0),categories!A:B,2,0)</f>
        <v>Grains &amp; Cereals</v>
      </c>
      <c r="J618" t="str">
        <f>VLOOKUP(VLOOKUP(A618,orders!A:B,2,0),customers!A:F,6,0)</f>
        <v>USA</v>
      </c>
      <c r="K618" t="str">
        <f>VLOOKUP(VLOOKUP(A618,orders!A:C,3,0),employees!A:B,2,0)</f>
        <v>Janet Leverling</v>
      </c>
    </row>
    <row r="619" spans="1:11" x14ac:dyDescent="0.25">
      <c r="A619">
        <v>10480</v>
      </c>
      <c r="B619">
        <v>47</v>
      </c>
      <c r="C619">
        <v>7.6</v>
      </c>
      <c r="D619">
        <v>30</v>
      </c>
      <c r="E619">
        <v>0</v>
      </c>
      <c r="F619">
        <f t="shared" si="9"/>
        <v>228</v>
      </c>
      <c r="G619">
        <f>YEAR(VLOOKUP(A619,orders!A:D,4,0))</f>
        <v>2014</v>
      </c>
      <c r="H619">
        <f>MONTH(INDEX(orders!D:D,MATCH(A619, orders!A:A,0)))</f>
        <v>3</v>
      </c>
      <c r="I619" t="str">
        <f>VLOOKUP(VLOOKUP(B619,products!A:F,6,0),categories!A:B,2,0)</f>
        <v>Confections</v>
      </c>
      <c r="J619" t="str">
        <f>VLOOKUP(VLOOKUP(A619,orders!A:B,2,0),customers!A:F,6,0)</f>
        <v>France</v>
      </c>
      <c r="K619" t="str">
        <f>VLOOKUP(VLOOKUP(A619,orders!A:C,3,0),employees!A:B,2,0)</f>
        <v>Michael Suyama</v>
      </c>
    </row>
    <row r="620" spans="1:11" x14ac:dyDescent="0.25">
      <c r="A620">
        <v>10480</v>
      </c>
      <c r="B620">
        <v>59</v>
      </c>
      <c r="C620">
        <v>44</v>
      </c>
      <c r="D620">
        <v>12</v>
      </c>
      <c r="E620">
        <v>0</v>
      </c>
      <c r="F620">
        <f t="shared" si="9"/>
        <v>528</v>
      </c>
      <c r="G620">
        <f>YEAR(VLOOKUP(A620,orders!A:D,4,0))</f>
        <v>2014</v>
      </c>
      <c r="H620">
        <f>MONTH(INDEX(orders!D:D,MATCH(A620, orders!A:A,0)))</f>
        <v>3</v>
      </c>
      <c r="I620" t="str">
        <f>VLOOKUP(VLOOKUP(B620,products!A:F,6,0),categories!A:B,2,0)</f>
        <v>Dairy Products</v>
      </c>
      <c r="J620" t="str">
        <f>VLOOKUP(VLOOKUP(A620,orders!A:B,2,0),customers!A:F,6,0)</f>
        <v>France</v>
      </c>
      <c r="K620" t="str">
        <f>VLOOKUP(VLOOKUP(A620,orders!A:C,3,0),employees!A:B,2,0)</f>
        <v>Michael Suyama</v>
      </c>
    </row>
    <row r="621" spans="1:11" x14ac:dyDescent="0.25">
      <c r="A621">
        <v>10481</v>
      </c>
      <c r="B621">
        <v>49</v>
      </c>
      <c r="C621">
        <v>16</v>
      </c>
      <c r="D621">
        <v>24</v>
      </c>
      <c r="E621">
        <v>0</v>
      </c>
      <c r="F621">
        <f t="shared" si="9"/>
        <v>384</v>
      </c>
      <c r="G621">
        <f>YEAR(VLOOKUP(A621,orders!A:D,4,0))</f>
        <v>2014</v>
      </c>
      <c r="H621">
        <f>MONTH(INDEX(orders!D:D,MATCH(A621, orders!A:A,0)))</f>
        <v>3</v>
      </c>
      <c r="I621" t="str">
        <f>VLOOKUP(VLOOKUP(B621,products!A:F,6,0),categories!A:B,2,0)</f>
        <v>Confections</v>
      </c>
      <c r="J621" t="str">
        <f>VLOOKUP(VLOOKUP(A621,orders!A:B,2,0),customers!A:F,6,0)</f>
        <v>Brazil</v>
      </c>
      <c r="K621" t="str">
        <f>VLOOKUP(VLOOKUP(A621,orders!A:C,3,0),employees!A:B,2,0)</f>
        <v>Laura Callahan</v>
      </c>
    </row>
    <row r="622" spans="1:11" x14ac:dyDescent="0.25">
      <c r="A622">
        <v>10481</v>
      </c>
      <c r="B622">
        <v>60</v>
      </c>
      <c r="C622">
        <v>27.2</v>
      </c>
      <c r="D622">
        <v>40</v>
      </c>
      <c r="E622">
        <v>0</v>
      </c>
      <c r="F622">
        <f t="shared" si="9"/>
        <v>1088</v>
      </c>
      <c r="G622">
        <f>YEAR(VLOOKUP(A622,orders!A:D,4,0))</f>
        <v>2014</v>
      </c>
      <c r="H622">
        <f>MONTH(INDEX(orders!D:D,MATCH(A622, orders!A:A,0)))</f>
        <v>3</v>
      </c>
      <c r="I622" t="str">
        <f>VLOOKUP(VLOOKUP(B622,products!A:F,6,0),categories!A:B,2,0)</f>
        <v>Dairy Products</v>
      </c>
      <c r="J622" t="str">
        <f>VLOOKUP(VLOOKUP(A622,orders!A:B,2,0),customers!A:F,6,0)</f>
        <v>Brazil</v>
      </c>
      <c r="K622" t="str">
        <f>VLOOKUP(VLOOKUP(A622,orders!A:C,3,0),employees!A:B,2,0)</f>
        <v>Laura Callahan</v>
      </c>
    </row>
    <row r="623" spans="1:11" x14ac:dyDescent="0.25">
      <c r="A623">
        <v>10482</v>
      </c>
      <c r="B623">
        <v>40</v>
      </c>
      <c r="C623">
        <v>14.7</v>
      </c>
      <c r="D623">
        <v>10</v>
      </c>
      <c r="E623">
        <v>0</v>
      </c>
      <c r="F623">
        <f t="shared" si="9"/>
        <v>147</v>
      </c>
      <c r="G623">
        <f>YEAR(VLOOKUP(A623,orders!A:D,4,0))</f>
        <v>2014</v>
      </c>
      <c r="H623">
        <f>MONTH(INDEX(orders!D:D,MATCH(A623, orders!A:A,0)))</f>
        <v>3</v>
      </c>
      <c r="I623" t="str">
        <f>VLOOKUP(VLOOKUP(B623,products!A:F,6,0),categories!A:B,2,0)</f>
        <v>Seafood</v>
      </c>
      <c r="J623" t="str">
        <f>VLOOKUP(VLOOKUP(A623,orders!A:B,2,0),customers!A:F,6,0)</f>
        <v>USA</v>
      </c>
      <c r="K623" t="str">
        <f>VLOOKUP(VLOOKUP(A623,orders!A:C,3,0),employees!A:B,2,0)</f>
        <v>Nancy Davolio</v>
      </c>
    </row>
    <row r="624" spans="1:11" x14ac:dyDescent="0.25">
      <c r="A624">
        <v>10483</v>
      </c>
      <c r="B624">
        <v>34</v>
      </c>
      <c r="C624">
        <v>11.2</v>
      </c>
      <c r="D624">
        <v>35</v>
      </c>
      <c r="E624">
        <v>0.05</v>
      </c>
      <c r="F624">
        <f t="shared" si="9"/>
        <v>372.4</v>
      </c>
      <c r="G624">
        <f>YEAR(VLOOKUP(A624,orders!A:D,4,0))</f>
        <v>2014</v>
      </c>
      <c r="H624">
        <f>MONTH(INDEX(orders!D:D,MATCH(A624, orders!A:A,0)))</f>
        <v>3</v>
      </c>
      <c r="I624" t="str">
        <f>VLOOKUP(VLOOKUP(B624,products!A:F,6,0),categories!A:B,2,0)</f>
        <v>Beverages</v>
      </c>
      <c r="J624" t="str">
        <f>VLOOKUP(VLOOKUP(A624,orders!A:B,2,0),customers!A:F,6,0)</f>
        <v>USA</v>
      </c>
      <c r="K624" t="str">
        <f>VLOOKUP(VLOOKUP(A624,orders!A:C,3,0),employees!A:B,2,0)</f>
        <v>Robert King</v>
      </c>
    </row>
    <row r="625" spans="1:11" x14ac:dyDescent="0.25">
      <c r="A625">
        <v>10483</v>
      </c>
      <c r="B625">
        <v>77</v>
      </c>
      <c r="C625">
        <v>10.4</v>
      </c>
      <c r="D625">
        <v>30</v>
      </c>
      <c r="E625">
        <v>0.05</v>
      </c>
      <c r="F625">
        <f t="shared" si="9"/>
        <v>296.39999999999998</v>
      </c>
      <c r="G625">
        <f>YEAR(VLOOKUP(A625,orders!A:D,4,0))</f>
        <v>2014</v>
      </c>
      <c r="H625">
        <f>MONTH(INDEX(orders!D:D,MATCH(A625, orders!A:A,0)))</f>
        <v>3</v>
      </c>
      <c r="I625" t="str">
        <f>VLOOKUP(VLOOKUP(B625,products!A:F,6,0),categories!A:B,2,0)</f>
        <v>Condiments</v>
      </c>
      <c r="J625" t="str">
        <f>VLOOKUP(VLOOKUP(A625,orders!A:B,2,0),customers!A:F,6,0)</f>
        <v>USA</v>
      </c>
      <c r="K625" t="str">
        <f>VLOOKUP(VLOOKUP(A625,orders!A:C,3,0),employees!A:B,2,0)</f>
        <v>Robert King</v>
      </c>
    </row>
    <row r="626" spans="1:11" x14ac:dyDescent="0.25">
      <c r="A626">
        <v>10484</v>
      </c>
      <c r="B626">
        <v>21</v>
      </c>
      <c r="C626">
        <v>8</v>
      </c>
      <c r="D626">
        <v>14</v>
      </c>
      <c r="E626">
        <v>0</v>
      </c>
      <c r="F626">
        <f t="shared" si="9"/>
        <v>112</v>
      </c>
      <c r="G626">
        <f>YEAR(VLOOKUP(A626,orders!A:D,4,0))</f>
        <v>2014</v>
      </c>
      <c r="H626">
        <f>MONTH(INDEX(orders!D:D,MATCH(A626, orders!A:A,0)))</f>
        <v>3</v>
      </c>
      <c r="I626" t="str">
        <f>VLOOKUP(VLOOKUP(B626,products!A:F,6,0),categories!A:B,2,0)</f>
        <v>Confections</v>
      </c>
      <c r="J626" t="str">
        <f>VLOOKUP(VLOOKUP(A626,orders!A:B,2,0),customers!A:F,6,0)</f>
        <v>UK</v>
      </c>
      <c r="K626" t="str">
        <f>VLOOKUP(VLOOKUP(A626,orders!A:C,3,0),employees!A:B,2,0)</f>
        <v>Janet Leverling</v>
      </c>
    </row>
    <row r="627" spans="1:11" x14ac:dyDescent="0.25">
      <c r="A627">
        <v>10484</v>
      </c>
      <c r="B627">
        <v>40</v>
      </c>
      <c r="C627">
        <v>14.7</v>
      </c>
      <c r="D627">
        <v>10</v>
      </c>
      <c r="E627">
        <v>0</v>
      </c>
      <c r="F627">
        <f t="shared" si="9"/>
        <v>147</v>
      </c>
      <c r="G627">
        <f>YEAR(VLOOKUP(A627,orders!A:D,4,0))</f>
        <v>2014</v>
      </c>
      <c r="H627">
        <f>MONTH(INDEX(orders!D:D,MATCH(A627, orders!A:A,0)))</f>
        <v>3</v>
      </c>
      <c r="I627" t="str">
        <f>VLOOKUP(VLOOKUP(B627,products!A:F,6,0),categories!A:B,2,0)</f>
        <v>Seafood</v>
      </c>
      <c r="J627" t="str">
        <f>VLOOKUP(VLOOKUP(A627,orders!A:B,2,0),customers!A:F,6,0)</f>
        <v>UK</v>
      </c>
      <c r="K627" t="str">
        <f>VLOOKUP(VLOOKUP(A627,orders!A:C,3,0),employees!A:B,2,0)</f>
        <v>Janet Leverling</v>
      </c>
    </row>
    <row r="628" spans="1:11" x14ac:dyDescent="0.25">
      <c r="A628">
        <v>10484</v>
      </c>
      <c r="B628">
        <v>51</v>
      </c>
      <c r="C628">
        <v>42.4</v>
      </c>
      <c r="D628">
        <v>3</v>
      </c>
      <c r="E628">
        <v>0</v>
      </c>
      <c r="F628">
        <f t="shared" si="9"/>
        <v>127.19999999999999</v>
      </c>
      <c r="G628">
        <f>YEAR(VLOOKUP(A628,orders!A:D,4,0))</f>
        <v>2014</v>
      </c>
      <c r="H628">
        <f>MONTH(INDEX(orders!D:D,MATCH(A628, orders!A:A,0)))</f>
        <v>3</v>
      </c>
      <c r="I628" t="str">
        <f>VLOOKUP(VLOOKUP(B628,products!A:F,6,0),categories!A:B,2,0)</f>
        <v>Produce</v>
      </c>
      <c r="J628" t="str">
        <f>VLOOKUP(VLOOKUP(A628,orders!A:B,2,0),customers!A:F,6,0)</f>
        <v>UK</v>
      </c>
      <c r="K628" t="str">
        <f>VLOOKUP(VLOOKUP(A628,orders!A:C,3,0),employees!A:B,2,0)</f>
        <v>Janet Leverling</v>
      </c>
    </row>
    <row r="629" spans="1:11" x14ac:dyDescent="0.25">
      <c r="A629">
        <v>10485</v>
      </c>
      <c r="B629">
        <v>2</v>
      </c>
      <c r="C629">
        <v>15.2</v>
      </c>
      <c r="D629">
        <v>20</v>
      </c>
      <c r="E629">
        <v>0.1</v>
      </c>
      <c r="F629">
        <f t="shared" si="9"/>
        <v>273.60000000000002</v>
      </c>
      <c r="G629">
        <f>YEAR(VLOOKUP(A629,orders!A:D,4,0))</f>
        <v>2014</v>
      </c>
      <c r="H629">
        <f>MONTH(INDEX(orders!D:D,MATCH(A629, orders!A:A,0)))</f>
        <v>3</v>
      </c>
      <c r="I629" t="str">
        <f>VLOOKUP(VLOOKUP(B629,products!A:F,6,0),categories!A:B,2,0)</f>
        <v>Beverages</v>
      </c>
      <c r="J629" t="str">
        <f>VLOOKUP(VLOOKUP(A629,orders!A:B,2,0),customers!A:F,6,0)</f>
        <v>Venezuela</v>
      </c>
      <c r="K629" t="str">
        <f>VLOOKUP(VLOOKUP(A629,orders!A:C,3,0),employees!A:B,2,0)</f>
        <v>Margaret Peacock</v>
      </c>
    </row>
    <row r="630" spans="1:11" x14ac:dyDescent="0.25">
      <c r="A630">
        <v>10485</v>
      </c>
      <c r="B630">
        <v>3</v>
      </c>
      <c r="C630">
        <v>8</v>
      </c>
      <c r="D630">
        <v>20</v>
      </c>
      <c r="E630">
        <v>0.1</v>
      </c>
      <c r="F630">
        <f t="shared" si="9"/>
        <v>144</v>
      </c>
      <c r="G630">
        <f>YEAR(VLOOKUP(A630,orders!A:D,4,0))</f>
        <v>2014</v>
      </c>
      <c r="H630">
        <f>MONTH(INDEX(orders!D:D,MATCH(A630, orders!A:A,0)))</f>
        <v>3</v>
      </c>
      <c r="I630" t="str">
        <f>VLOOKUP(VLOOKUP(B630,products!A:F,6,0),categories!A:B,2,0)</f>
        <v>Condiments</v>
      </c>
      <c r="J630" t="str">
        <f>VLOOKUP(VLOOKUP(A630,orders!A:B,2,0),customers!A:F,6,0)</f>
        <v>Venezuela</v>
      </c>
      <c r="K630" t="str">
        <f>VLOOKUP(VLOOKUP(A630,orders!A:C,3,0),employees!A:B,2,0)</f>
        <v>Margaret Peacock</v>
      </c>
    </row>
    <row r="631" spans="1:11" x14ac:dyDescent="0.25">
      <c r="A631">
        <v>10485</v>
      </c>
      <c r="B631">
        <v>55</v>
      </c>
      <c r="C631">
        <v>19.2</v>
      </c>
      <c r="D631">
        <v>30</v>
      </c>
      <c r="E631">
        <v>0.1</v>
      </c>
      <c r="F631">
        <f t="shared" si="9"/>
        <v>518.4</v>
      </c>
      <c r="G631">
        <f>YEAR(VLOOKUP(A631,orders!A:D,4,0))</f>
        <v>2014</v>
      </c>
      <c r="H631">
        <f>MONTH(INDEX(orders!D:D,MATCH(A631, orders!A:A,0)))</f>
        <v>3</v>
      </c>
      <c r="I631" t="str">
        <f>VLOOKUP(VLOOKUP(B631,products!A:F,6,0),categories!A:B,2,0)</f>
        <v>Meat &amp; Poultry</v>
      </c>
      <c r="J631" t="str">
        <f>VLOOKUP(VLOOKUP(A631,orders!A:B,2,0),customers!A:F,6,0)</f>
        <v>Venezuela</v>
      </c>
      <c r="K631" t="str">
        <f>VLOOKUP(VLOOKUP(A631,orders!A:C,3,0),employees!A:B,2,0)</f>
        <v>Margaret Peacock</v>
      </c>
    </row>
    <row r="632" spans="1:11" x14ac:dyDescent="0.25">
      <c r="A632">
        <v>10485</v>
      </c>
      <c r="B632">
        <v>70</v>
      </c>
      <c r="C632">
        <v>12</v>
      </c>
      <c r="D632">
        <v>60</v>
      </c>
      <c r="E632">
        <v>0.1</v>
      </c>
      <c r="F632">
        <f t="shared" si="9"/>
        <v>648</v>
      </c>
      <c r="G632">
        <f>YEAR(VLOOKUP(A632,orders!A:D,4,0))</f>
        <v>2014</v>
      </c>
      <c r="H632">
        <f>MONTH(INDEX(orders!D:D,MATCH(A632, orders!A:A,0)))</f>
        <v>3</v>
      </c>
      <c r="I632" t="str">
        <f>VLOOKUP(VLOOKUP(B632,products!A:F,6,0),categories!A:B,2,0)</f>
        <v>Beverages</v>
      </c>
      <c r="J632" t="str">
        <f>VLOOKUP(VLOOKUP(A632,orders!A:B,2,0),customers!A:F,6,0)</f>
        <v>Venezuela</v>
      </c>
      <c r="K632" t="str">
        <f>VLOOKUP(VLOOKUP(A632,orders!A:C,3,0),employees!A:B,2,0)</f>
        <v>Margaret Peacock</v>
      </c>
    </row>
    <row r="633" spans="1:11" x14ac:dyDescent="0.25">
      <c r="A633">
        <v>10486</v>
      </c>
      <c r="B633">
        <v>11</v>
      </c>
      <c r="C633">
        <v>16.8</v>
      </c>
      <c r="D633">
        <v>5</v>
      </c>
      <c r="E633">
        <v>0</v>
      </c>
      <c r="F633">
        <f t="shared" si="9"/>
        <v>84</v>
      </c>
      <c r="G633">
        <f>YEAR(VLOOKUP(A633,orders!A:D,4,0))</f>
        <v>2014</v>
      </c>
      <c r="H633">
        <f>MONTH(INDEX(orders!D:D,MATCH(A633, orders!A:A,0)))</f>
        <v>3</v>
      </c>
      <c r="I633" t="str">
        <f>VLOOKUP(VLOOKUP(B633,products!A:F,6,0),categories!A:B,2,0)</f>
        <v>Dairy Products</v>
      </c>
      <c r="J633" t="str">
        <f>VLOOKUP(VLOOKUP(A633,orders!A:B,2,0),customers!A:F,6,0)</f>
        <v>Venezuela</v>
      </c>
      <c r="K633" t="str">
        <f>VLOOKUP(VLOOKUP(A633,orders!A:C,3,0),employees!A:B,2,0)</f>
        <v>Nancy Davolio</v>
      </c>
    </row>
    <row r="634" spans="1:11" x14ac:dyDescent="0.25">
      <c r="A634">
        <v>10486</v>
      </c>
      <c r="B634">
        <v>51</v>
      </c>
      <c r="C634">
        <v>42.4</v>
      </c>
      <c r="D634">
        <v>25</v>
      </c>
      <c r="E634">
        <v>0</v>
      </c>
      <c r="F634">
        <f t="shared" si="9"/>
        <v>1060</v>
      </c>
      <c r="G634">
        <f>YEAR(VLOOKUP(A634,orders!A:D,4,0))</f>
        <v>2014</v>
      </c>
      <c r="H634">
        <f>MONTH(INDEX(orders!D:D,MATCH(A634, orders!A:A,0)))</f>
        <v>3</v>
      </c>
      <c r="I634" t="str">
        <f>VLOOKUP(VLOOKUP(B634,products!A:F,6,0),categories!A:B,2,0)</f>
        <v>Produce</v>
      </c>
      <c r="J634" t="str">
        <f>VLOOKUP(VLOOKUP(A634,orders!A:B,2,0),customers!A:F,6,0)</f>
        <v>Venezuela</v>
      </c>
      <c r="K634" t="str">
        <f>VLOOKUP(VLOOKUP(A634,orders!A:C,3,0),employees!A:B,2,0)</f>
        <v>Nancy Davolio</v>
      </c>
    </row>
    <row r="635" spans="1:11" x14ac:dyDescent="0.25">
      <c r="A635">
        <v>10486</v>
      </c>
      <c r="B635">
        <v>74</v>
      </c>
      <c r="C635">
        <v>8</v>
      </c>
      <c r="D635">
        <v>16</v>
      </c>
      <c r="E635">
        <v>0</v>
      </c>
      <c r="F635">
        <f t="shared" si="9"/>
        <v>128</v>
      </c>
      <c r="G635">
        <f>YEAR(VLOOKUP(A635,orders!A:D,4,0))</f>
        <v>2014</v>
      </c>
      <c r="H635">
        <f>MONTH(INDEX(orders!D:D,MATCH(A635, orders!A:A,0)))</f>
        <v>3</v>
      </c>
      <c r="I635" t="str">
        <f>VLOOKUP(VLOOKUP(B635,products!A:F,6,0),categories!A:B,2,0)</f>
        <v>Produce</v>
      </c>
      <c r="J635" t="str">
        <f>VLOOKUP(VLOOKUP(A635,orders!A:B,2,0),customers!A:F,6,0)</f>
        <v>Venezuela</v>
      </c>
      <c r="K635" t="str">
        <f>VLOOKUP(VLOOKUP(A635,orders!A:C,3,0),employees!A:B,2,0)</f>
        <v>Nancy Davolio</v>
      </c>
    </row>
    <row r="636" spans="1:11" x14ac:dyDescent="0.25">
      <c r="A636">
        <v>10487</v>
      </c>
      <c r="B636">
        <v>19</v>
      </c>
      <c r="C636">
        <v>7.3</v>
      </c>
      <c r="D636">
        <v>5</v>
      </c>
      <c r="E636">
        <v>0</v>
      </c>
      <c r="F636">
        <f t="shared" si="9"/>
        <v>36.5</v>
      </c>
      <c r="G636">
        <f>YEAR(VLOOKUP(A636,orders!A:D,4,0))</f>
        <v>2014</v>
      </c>
      <c r="H636">
        <f>MONTH(INDEX(orders!D:D,MATCH(A636, orders!A:A,0)))</f>
        <v>3</v>
      </c>
      <c r="I636" t="str">
        <f>VLOOKUP(VLOOKUP(B636,products!A:F,6,0),categories!A:B,2,0)</f>
        <v>Confections</v>
      </c>
      <c r="J636" t="str">
        <f>VLOOKUP(VLOOKUP(A636,orders!A:B,2,0),customers!A:F,6,0)</f>
        <v>Brazil</v>
      </c>
      <c r="K636" t="str">
        <f>VLOOKUP(VLOOKUP(A636,orders!A:C,3,0),employees!A:B,2,0)</f>
        <v>Andrew Fuller</v>
      </c>
    </row>
    <row r="637" spans="1:11" x14ac:dyDescent="0.25">
      <c r="A637">
        <v>10487</v>
      </c>
      <c r="B637">
        <v>26</v>
      </c>
      <c r="C637">
        <v>24.9</v>
      </c>
      <c r="D637">
        <v>30</v>
      </c>
      <c r="E637">
        <v>0</v>
      </c>
      <c r="F637">
        <f t="shared" si="9"/>
        <v>747</v>
      </c>
      <c r="G637">
        <f>YEAR(VLOOKUP(A637,orders!A:D,4,0))</f>
        <v>2014</v>
      </c>
      <c r="H637">
        <f>MONTH(INDEX(orders!D:D,MATCH(A637, orders!A:A,0)))</f>
        <v>3</v>
      </c>
      <c r="I637" t="str">
        <f>VLOOKUP(VLOOKUP(B637,products!A:F,6,0),categories!A:B,2,0)</f>
        <v>Confections</v>
      </c>
      <c r="J637" t="str">
        <f>VLOOKUP(VLOOKUP(A637,orders!A:B,2,0),customers!A:F,6,0)</f>
        <v>Brazil</v>
      </c>
      <c r="K637" t="str">
        <f>VLOOKUP(VLOOKUP(A637,orders!A:C,3,0),employees!A:B,2,0)</f>
        <v>Andrew Fuller</v>
      </c>
    </row>
    <row r="638" spans="1:11" x14ac:dyDescent="0.25">
      <c r="A638">
        <v>10487</v>
      </c>
      <c r="B638">
        <v>54</v>
      </c>
      <c r="C638">
        <v>5.9</v>
      </c>
      <c r="D638">
        <v>24</v>
      </c>
      <c r="E638">
        <v>0.25</v>
      </c>
      <c r="F638">
        <f t="shared" si="9"/>
        <v>106.20000000000002</v>
      </c>
      <c r="G638">
        <f>YEAR(VLOOKUP(A638,orders!A:D,4,0))</f>
        <v>2014</v>
      </c>
      <c r="H638">
        <f>MONTH(INDEX(orders!D:D,MATCH(A638, orders!A:A,0)))</f>
        <v>3</v>
      </c>
      <c r="I638" t="str">
        <f>VLOOKUP(VLOOKUP(B638,products!A:F,6,0),categories!A:B,2,0)</f>
        <v>Meat &amp; Poultry</v>
      </c>
      <c r="J638" t="str">
        <f>VLOOKUP(VLOOKUP(A638,orders!A:B,2,0),customers!A:F,6,0)</f>
        <v>Brazil</v>
      </c>
      <c r="K638" t="str">
        <f>VLOOKUP(VLOOKUP(A638,orders!A:C,3,0),employees!A:B,2,0)</f>
        <v>Andrew Fuller</v>
      </c>
    </row>
    <row r="639" spans="1:11" x14ac:dyDescent="0.25">
      <c r="A639">
        <v>10488</v>
      </c>
      <c r="B639">
        <v>59</v>
      </c>
      <c r="C639">
        <v>44</v>
      </c>
      <c r="D639">
        <v>30</v>
      </c>
      <c r="E639">
        <v>0</v>
      </c>
      <c r="F639">
        <f t="shared" si="9"/>
        <v>1320</v>
      </c>
      <c r="G639">
        <f>YEAR(VLOOKUP(A639,orders!A:D,4,0))</f>
        <v>2014</v>
      </c>
      <c r="H639">
        <f>MONTH(INDEX(orders!D:D,MATCH(A639, orders!A:A,0)))</f>
        <v>3</v>
      </c>
      <c r="I639" t="str">
        <f>VLOOKUP(VLOOKUP(B639,products!A:F,6,0),categories!A:B,2,0)</f>
        <v>Dairy Products</v>
      </c>
      <c r="J639" t="str">
        <f>VLOOKUP(VLOOKUP(A639,orders!A:B,2,0),customers!A:F,6,0)</f>
        <v>Germany</v>
      </c>
      <c r="K639" t="str">
        <f>VLOOKUP(VLOOKUP(A639,orders!A:C,3,0),employees!A:B,2,0)</f>
        <v>Laura Callahan</v>
      </c>
    </row>
    <row r="640" spans="1:11" x14ac:dyDescent="0.25">
      <c r="A640">
        <v>10488</v>
      </c>
      <c r="B640">
        <v>73</v>
      </c>
      <c r="C640">
        <v>12</v>
      </c>
      <c r="D640">
        <v>20</v>
      </c>
      <c r="E640">
        <v>0.2</v>
      </c>
      <c r="F640">
        <f t="shared" si="9"/>
        <v>192</v>
      </c>
      <c r="G640">
        <f>YEAR(VLOOKUP(A640,orders!A:D,4,0))</f>
        <v>2014</v>
      </c>
      <c r="H640">
        <f>MONTH(INDEX(orders!D:D,MATCH(A640, orders!A:A,0)))</f>
        <v>3</v>
      </c>
      <c r="I640" t="str">
        <f>VLOOKUP(VLOOKUP(B640,products!A:F,6,0),categories!A:B,2,0)</f>
        <v>Seafood</v>
      </c>
      <c r="J640" t="str">
        <f>VLOOKUP(VLOOKUP(A640,orders!A:B,2,0),customers!A:F,6,0)</f>
        <v>Germany</v>
      </c>
      <c r="K640" t="str">
        <f>VLOOKUP(VLOOKUP(A640,orders!A:C,3,0),employees!A:B,2,0)</f>
        <v>Laura Callahan</v>
      </c>
    </row>
    <row r="641" spans="1:11" x14ac:dyDescent="0.25">
      <c r="A641">
        <v>10489</v>
      </c>
      <c r="B641">
        <v>11</v>
      </c>
      <c r="C641">
        <v>16.8</v>
      </c>
      <c r="D641">
        <v>15</v>
      </c>
      <c r="E641">
        <v>0.25</v>
      </c>
      <c r="F641">
        <f t="shared" si="9"/>
        <v>189</v>
      </c>
      <c r="G641">
        <f>YEAR(VLOOKUP(A641,orders!A:D,4,0))</f>
        <v>2014</v>
      </c>
      <c r="H641">
        <f>MONTH(INDEX(orders!D:D,MATCH(A641, orders!A:A,0)))</f>
        <v>3</v>
      </c>
      <c r="I641" t="str">
        <f>VLOOKUP(VLOOKUP(B641,products!A:F,6,0),categories!A:B,2,0)</f>
        <v>Dairy Products</v>
      </c>
      <c r="J641" t="str">
        <f>VLOOKUP(VLOOKUP(A641,orders!A:B,2,0),customers!A:F,6,0)</f>
        <v>Austria</v>
      </c>
      <c r="K641" t="str">
        <f>VLOOKUP(VLOOKUP(A641,orders!A:C,3,0),employees!A:B,2,0)</f>
        <v>Michael Suyama</v>
      </c>
    </row>
    <row r="642" spans="1:11" x14ac:dyDescent="0.25">
      <c r="A642">
        <v>10489</v>
      </c>
      <c r="B642">
        <v>16</v>
      </c>
      <c r="C642">
        <v>13.9</v>
      </c>
      <c r="D642">
        <v>18</v>
      </c>
      <c r="E642">
        <v>0</v>
      </c>
      <c r="F642">
        <f t="shared" si="9"/>
        <v>250.20000000000002</v>
      </c>
      <c r="G642">
        <f>YEAR(VLOOKUP(A642,orders!A:D,4,0))</f>
        <v>2014</v>
      </c>
      <c r="H642">
        <f>MONTH(INDEX(orders!D:D,MATCH(A642, orders!A:A,0)))</f>
        <v>3</v>
      </c>
      <c r="I642" t="str">
        <f>VLOOKUP(VLOOKUP(B642,products!A:F,6,0),categories!A:B,2,0)</f>
        <v>Confections</v>
      </c>
      <c r="J642" t="str">
        <f>VLOOKUP(VLOOKUP(A642,orders!A:B,2,0),customers!A:F,6,0)</f>
        <v>Austria</v>
      </c>
      <c r="K642" t="str">
        <f>VLOOKUP(VLOOKUP(A642,orders!A:C,3,0),employees!A:B,2,0)</f>
        <v>Michael Suyama</v>
      </c>
    </row>
    <row r="643" spans="1:11" x14ac:dyDescent="0.25">
      <c r="A643">
        <v>10490</v>
      </c>
      <c r="B643">
        <v>59</v>
      </c>
      <c r="C643">
        <v>44</v>
      </c>
      <c r="D643">
        <v>60</v>
      </c>
      <c r="E643">
        <v>0</v>
      </c>
      <c r="F643">
        <f t="shared" ref="F643:F706" si="10">C643*D643*(1-E643)</f>
        <v>2640</v>
      </c>
      <c r="G643">
        <f>YEAR(VLOOKUP(A643,orders!A:D,4,0))</f>
        <v>2014</v>
      </c>
      <c r="H643">
        <f>MONTH(INDEX(orders!D:D,MATCH(A643, orders!A:A,0)))</f>
        <v>3</v>
      </c>
      <c r="I643" t="str">
        <f>VLOOKUP(VLOOKUP(B643,products!A:F,6,0),categories!A:B,2,0)</f>
        <v>Dairy Products</v>
      </c>
      <c r="J643" t="str">
        <f>VLOOKUP(VLOOKUP(A643,orders!A:B,2,0),customers!A:F,6,0)</f>
        <v>Venezuela</v>
      </c>
      <c r="K643" t="str">
        <f>VLOOKUP(VLOOKUP(A643,orders!A:C,3,0),employees!A:B,2,0)</f>
        <v>Robert King</v>
      </c>
    </row>
    <row r="644" spans="1:11" x14ac:dyDescent="0.25">
      <c r="A644">
        <v>10490</v>
      </c>
      <c r="B644">
        <v>68</v>
      </c>
      <c r="C644">
        <v>10</v>
      </c>
      <c r="D644">
        <v>30</v>
      </c>
      <c r="E644">
        <v>0</v>
      </c>
      <c r="F644">
        <f t="shared" si="10"/>
        <v>300</v>
      </c>
      <c r="G644">
        <f>YEAR(VLOOKUP(A644,orders!A:D,4,0))</f>
        <v>2014</v>
      </c>
      <c r="H644">
        <f>MONTH(INDEX(orders!D:D,MATCH(A644, orders!A:A,0)))</f>
        <v>3</v>
      </c>
      <c r="I644" t="str">
        <f>VLOOKUP(VLOOKUP(B644,products!A:F,6,0),categories!A:B,2,0)</f>
        <v>Confections</v>
      </c>
      <c r="J644" t="str">
        <f>VLOOKUP(VLOOKUP(A644,orders!A:B,2,0),customers!A:F,6,0)</f>
        <v>Venezuela</v>
      </c>
      <c r="K644" t="str">
        <f>VLOOKUP(VLOOKUP(A644,orders!A:C,3,0),employees!A:B,2,0)</f>
        <v>Robert King</v>
      </c>
    </row>
    <row r="645" spans="1:11" x14ac:dyDescent="0.25">
      <c r="A645">
        <v>10490</v>
      </c>
      <c r="B645">
        <v>75</v>
      </c>
      <c r="C645">
        <v>6.2</v>
      </c>
      <c r="D645">
        <v>36</v>
      </c>
      <c r="E645">
        <v>0</v>
      </c>
      <c r="F645">
        <f t="shared" si="10"/>
        <v>223.20000000000002</v>
      </c>
      <c r="G645">
        <f>YEAR(VLOOKUP(A645,orders!A:D,4,0))</f>
        <v>2014</v>
      </c>
      <c r="H645">
        <f>MONTH(INDEX(orders!D:D,MATCH(A645, orders!A:A,0)))</f>
        <v>3</v>
      </c>
      <c r="I645" t="str">
        <f>VLOOKUP(VLOOKUP(B645,products!A:F,6,0),categories!A:B,2,0)</f>
        <v>Beverages</v>
      </c>
      <c r="J645" t="str">
        <f>VLOOKUP(VLOOKUP(A645,orders!A:B,2,0),customers!A:F,6,0)</f>
        <v>Venezuela</v>
      </c>
      <c r="K645" t="str">
        <f>VLOOKUP(VLOOKUP(A645,orders!A:C,3,0),employees!A:B,2,0)</f>
        <v>Robert King</v>
      </c>
    </row>
    <row r="646" spans="1:11" x14ac:dyDescent="0.25">
      <c r="A646">
        <v>10491</v>
      </c>
      <c r="B646">
        <v>44</v>
      </c>
      <c r="C646">
        <v>15.5</v>
      </c>
      <c r="D646">
        <v>15</v>
      </c>
      <c r="E646">
        <v>0.15</v>
      </c>
      <c r="F646">
        <f t="shared" si="10"/>
        <v>197.625</v>
      </c>
      <c r="G646">
        <f>YEAR(VLOOKUP(A646,orders!A:D,4,0))</f>
        <v>2014</v>
      </c>
      <c r="H646">
        <f>MONTH(INDEX(orders!D:D,MATCH(A646, orders!A:A,0)))</f>
        <v>3</v>
      </c>
      <c r="I646" t="str">
        <f>VLOOKUP(VLOOKUP(B646,products!A:F,6,0),categories!A:B,2,0)</f>
        <v>Condiments</v>
      </c>
      <c r="J646" t="str">
        <f>VLOOKUP(VLOOKUP(A646,orders!A:B,2,0),customers!A:F,6,0)</f>
        <v>Portugal</v>
      </c>
      <c r="K646" t="str">
        <f>VLOOKUP(VLOOKUP(A646,orders!A:C,3,0),employees!A:B,2,0)</f>
        <v>Laura Callahan</v>
      </c>
    </row>
    <row r="647" spans="1:11" x14ac:dyDescent="0.25">
      <c r="A647">
        <v>10491</v>
      </c>
      <c r="B647">
        <v>77</v>
      </c>
      <c r="C647">
        <v>10.4</v>
      </c>
      <c r="D647">
        <v>7</v>
      </c>
      <c r="E647">
        <v>0.15</v>
      </c>
      <c r="F647">
        <f t="shared" si="10"/>
        <v>61.879999999999995</v>
      </c>
      <c r="G647">
        <f>YEAR(VLOOKUP(A647,orders!A:D,4,0))</f>
        <v>2014</v>
      </c>
      <c r="H647">
        <f>MONTH(INDEX(orders!D:D,MATCH(A647, orders!A:A,0)))</f>
        <v>3</v>
      </c>
      <c r="I647" t="str">
        <f>VLOOKUP(VLOOKUP(B647,products!A:F,6,0),categories!A:B,2,0)</f>
        <v>Condiments</v>
      </c>
      <c r="J647" t="str">
        <f>VLOOKUP(VLOOKUP(A647,orders!A:B,2,0),customers!A:F,6,0)</f>
        <v>Portugal</v>
      </c>
      <c r="K647" t="str">
        <f>VLOOKUP(VLOOKUP(A647,orders!A:C,3,0),employees!A:B,2,0)</f>
        <v>Laura Callahan</v>
      </c>
    </row>
    <row r="648" spans="1:11" x14ac:dyDescent="0.25">
      <c r="A648">
        <v>10492</v>
      </c>
      <c r="B648">
        <v>25</v>
      </c>
      <c r="C648">
        <v>11.2</v>
      </c>
      <c r="D648">
        <v>60</v>
      </c>
      <c r="E648">
        <v>0.05</v>
      </c>
      <c r="F648">
        <f t="shared" si="10"/>
        <v>638.4</v>
      </c>
      <c r="G648">
        <f>YEAR(VLOOKUP(A648,orders!A:D,4,0))</f>
        <v>2014</v>
      </c>
      <c r="H648">
        <f>MONTH(INDEX(orders!D:D,MATCH(A648, orders!A:A,0)))</f>
        <v>4</v>
      </c>
      <c r="I648" t="str">
        <f>VLOOKUP(VLOOKUP(B648,products!A:F,6,0),categories!A:B,2,0)</f>
        <v>Confections</v>
      </c>
      <c r="J648" t="str">
        <f>VLOOKUP(VLOOKUP(A648,orders!A:B,2,0),customers!A:F,6,0)</f>
        <v>Canada</v>
      </c>
      <c r="K648" t="str">
        <f>VLOOKUP(VLOOKUP(A648,orders!A:C,3,0),employees!A:B,2,0)</f>
        <v>Janet Leverling</v>
      </c>
    </row>
    <row r="649" spans="1:11" x14ac:dyDescent="0.25">
      <c r="A649">
        <v>10492</v>
      </c>
      <c r="B649">
        <v>42</v>
      </c>
      <c r="C649">
        <v>11.2</v>
      </c>
      <c r="D649">
        <v>20</v>
      </c>
      <c r="E649">
        <v>0.05</v>
      </c>
      <c r="F649">
        <f t="shared" si="10"/>
        <v>212.79999999999998</v>
      </c>
      <c r="G649">
        <f>YEAR(VLOOKUP(A649,orders!A:D,4,0))</f>
        <v>2014</v>
      </c>
      <c r="H649">
        <f>MONTH(INDEX(orders!D:D,MATCH(A649, orders!A:A,0)))</f>
        <v>4</v>
      </c>
      <c r="I649" t="str">
        <f>VLOOKUP(VLOOKUP(B649,products!A:F,6,0),categories!A:B,2,0)</f>
        <v>Grains &amp; Cereals</v>
      </c>
      <c r="J649" t="str">
        <f>VLOOKUP(VLOOKUP(A649,orders!A:B,2,0),customers!A:F,6,0)</f>
        <v>Canada</v>
      </c>
      <c r="K649" t="str">
        <f>VLOOKUP(VLOOKUP(A649,orders!A:C,3,0),employees!A:B,2,0)</f>
        <v>Janet Leverling</v>
      </c>
    </row>
    <row r="650" spans="1:11" x14ac:dyDescent="0.25">
      <c r="A650">
        <v>10493</v>
      </c>
      <c r="B650">
        <v>65</v>
      </c>
      <c r="C650">
        <v>16.8</v>
      </c>
      <c r="D650">
        <v>15</v>
      </c>
      <c r="E650">
        <v>0.1</v>
      </c>
      <c r="F650">
        <f t="shared" si="10"/>
        <v>226.8</v>
      </c>
      <c r="G650">
        <f>YEAR(VLOOKUP(A650,orders!A:D,4,0))</f>
        <v>2014</v>
      </c>
      <c r="H650">
        <f>MONTH(INDEX(orders!D:D,MATCH(A650, orders!A:A,0)))</f>
        <v>4</v>
      </c>
      <c r="I650" t="str">
        <f>VLOOKUP(VLOOKUP(B650,products!A:F,6,0),categories!A:B,2,0)</f>
        <v>Condiments</v>
      </c>
      <c r="J650" t="str">
        <f>VLOOKUP(VLOOKUP(A650,orders!A:B,2,0),customers!A:F,6,0)</f>
        <v>France</v>
      </c>
      <c r="K650" t="str">
        <f>VLOOKUP(VLOOKUP(A650,orders!A:C,3,0),employees!A:B,2,0)</f>
        <v>Margaret Peacock</v>
      </c>
    </row>
    <row r="651" spans="1:11" x14ac:dyDescent="0.25">
      <c r="A651">
        <v>10493</v>
      </c>
      <c r="B651">
        <v>66</v>
      </c>
      <c r="C651">
        <v>13.6</v>
      </c>
      <c r="D651">
        <v>10</v>
      </c>
      <c r="E651">
        <v>0.1</v>
      </c>
      <c r="F651">
        <f t="shared" si="10"/>
        <v>122.4</v>
      </c>
      <c r="G651">
        <f>YEAR(VLOOKUP(A651,orders!A:D,4,0))</f>
        <v>2014</v>
      </c>
      <c r="H651">
        <f>MONTH(INDEX(orders!D:D,MATCH(A651, orders!A:A,0)))</f>
        <v>4</v>
      </c>
      <c r="I651" t="str">
        <f>VLOOKUP(VLOOKUP(B651,products!A:F,6,0),categories!A:B,2,0)</f>
        <v>Condiments</v>
      </c>
      <c r="J651" t="str">
        <f>VLOOKUP(VLOOKUP(A651,orders!A:B,2,0),customers!A:F,6,0)</f>
        <v>France</v>
      </c>
      <c r="K651" t="str">
        <f>VLOOKUP(VLOOKUP(A651,orders!A:C,3,0),employees!A:B,2,0)</f>
        <v>Margaret Peacock</v>
      </c>
    </row>
    <row r="652" spans="1:11" x14ac:dyDescent="0.25">
      <c r="A652">
        <v>10493</v>
      </c>
      <c r="B652">
        <v>69</v>
      </c>
      <c r="C652">
        <v>28.8</v>
      </c>
      <c r="D652">
        <v>10</v>
      </c>
      <c r="E652">
        <v>0.1</v>
      </c>
      <c r="F652">
        <f t="shared" si="10"/>
        <v>259.2</v>
      </c>
      <c r="G652">
        <f>YEAR(VLOOKUP(A652,orders!A:D,4,0))</f>
        <v>2014</v>
      </c>
      <c r="H652">
        <f>MONTH(INDEX(orders!D:D,MATCH(A652, orders!A:A,0)))</f>
        <v>4</v>
      </c>
      <c r="I652" t="str">
        <f>VLOOKUP(VLOOKUP(B652,products!A:F,6,0),categories!A:B,2,0)</f>
        <v>Dairy Products</v>
      </c>
      <c r="J652" t="str">
        <f>VLOOKUP(VLOOKUP(A652,orders!A:B,2,0),customers!A:F,6,0)</f>
        <v>France</v>
      </c>
      <c r="K652" t="str">
        <f>VLOOKUP(VLOOKUP(A652,orders!A:C,3,0),employees!A:B,2,0)</f>
        <v>Margaret Peacock</v>
      </c>
    </row>
    <row r="653" spans="1:11" x14ac:dyDescent="0.25">
      <c r="A653">
        <v>10494</v>
      </c>
      <c r="B653">
        <v>56</v>
      </c>
      <c r="C653">
        <v>30.4</v>
      </c>
      <c r="D653">
        <v>30</v>
      </c>
      <c r="E653">
        <v>0</v>
      </c>
      <c r="F653">
        <f t="shared" si="10"/>
        <v>912</v>
      </c>
      <c r="G653">
        <f>YEAR(VLOOKUP(A653,orders!A:D,4,0))</f>
        <v>2014</v>
      </c>
      <c r="H653">
        <f>MONTH(INDEX(orders!D:D,MATCH(A653, orders!A:A,0)))</f>
        <v>4</v>
      </c>
      <c r="I653" t="str">
        <f>VLOOKUP(VLOOKUP(B653,products!A:F,6,0),categories!A:B,2,0)</f>
        <v>Grains &amp; Cereals</v>
      </c>
      <c r="J653" t="str">
        <f>VLOOKUP(VLOOKUP(A653,orders!A:B,2,0),customers!A:F,6,0)</f>
        <v>Brazil</v>
      </c>
      <c r="K653" t="str">
        <f>VLOOKUP(VLOOKUP(A653,orders!A:C,3,0),employees!A:B,2,0)</f>
        <v>Margaret Peacock</v>
      </c>
    </row>
    <row r="654" spans="1:11" x14ac:dyDescent="0.25">
      <c r="A654">
        <v>10495</v>
      </c>
      <c r="B654">
        <v>23</v>
      </c>
      <c r="C654">
        <v>7.2</v>
      </c>
      <c r="D654">
        <v>10</v>
      </c>
      <c r="E654">
        <v>0</v>
      </c>
      <c r="F654">
        <f t="shared" si="10"/>
        <v>72</v>
      </c>
      <c r="G654">
        <f>YEAR(VLOOKUP(A654,orders!A:D,4,0))</f>
        <v>2014</v>
      </c>
      <c r="H654">
        <f>MONTH(INDEX(orders!D:D,MATCH(A654, orders!A:A,0)))</f>
        <v>4</v>
      </c>
      <c r="I654" t="str">
        <f>VLOOKUP(VLOOKUP(B654,products!A:F,6,0),categories!A:B,2,0)</f>
        <v>Grains &amp; Cereals</v>
      </c>
      <c r="J654" t="str">
        <f>VLOOKUP(VLOOKUP(A654,orders!A:B,2,0),customers!A:F,6,0)</f>
        <v>Canada</v>
      </c>
      <c r="K654" t="str">
        <f>VLOOKUP(VLOOKUP(A654,orders!A:C,3,0),employees!A:B,2,0)</f>
        <v>Janet Leverling</v>
      </c>
    </row>
    <row r="655" spans="1:11" x14ac:dyDescent="0.25">
      <c r="A655">
        <v>10495</v>
      </c>
      <c r="B655">
        <v>41</v>
      </c>
      <c r="C655">
        <v>7.7</v>
      </c>
      <c r="D655">
        <v>20</v>
      </c>
      <c r="E655">
        <v>0</v>
      </c>
      <c r="F655">
        <f t="shared" si="10"/>
        <v>154</v>
      </c>
      <c r="G655">
        <f>YEAR(VLOOKUP(A655,orders!A:D,4,0))</f>
        <v>2014</v>
      </c>
      <c r="H655">
        <f>MONTH(INDEX(orders!D:D,MATCH(A655, orders!A:A,0)))</f>
        <v>4</v>
      </c>
      <c r="I655" t="str">
        <f>VLOOKUP(VLOOKUP(B655,products!A:F,6,0),categories!A:B,2,0)</f>
        <v>Seafood</v>
      </c>
      <c r="J655" t="str">
        <f>VLOOKUP(VLOOKUP(A655,orders!A:B,2,0),customers!A:F,6,0)</f>
        <v>Canada</v>
      </c>
      <c r="K655" t="str">
        <f>VLOOKUP(VLOOKUP(A655,orders!A:C,3,0),employees!A:B,2,0)</f>
        <v>Janet Leverling</v>
      </c>
    </row>
    <row r="656" spans="1:11" x14ac:dyDescent="0.25">
      <c r="A656">
        <v>10495</v>
      </c>
      <c r="B656">
        <v>77</v>
      </c>
      <c r="C656">
        <v>10.4</v>
      </c>
      <c r="D656">
        <v>5</v>
      </c>
      <c r="E656">
        <v>0</v>
      </c>
      <c r="F656">
        <f t="shared" si="10"/>
        <v>52</v>
      </c>
      <c r="G656">
        <f>YEAR(VLOOKUP(A656,orders!A:D,4,0))</f>
        <v>2014</v>
      </c>
      <c r="H656">
        <f>MONTH(INDEX(orders!D:D,MATCH(A656, orders!A:A,0)))</f>
        <v>4</v>
      </c>
      <c r="I656" t="str">
        <f>VLOOKUP(VLOOKUP(B656,products!A:F,6,0),categories!A:B,2,0)</f>
        <v>Condiments</v>
      </c>
      <c r="J656" t="str">
        <f>VLOOKUP(VLOOKUP(A656,orders!A:B,2,0),customers!A:F,6,0)</f>
        <v>Canada</v>
      </c>
      <c r="K656" t="str">
        <f>VLOOKUP(VLOOKUP(A656,orders!A:C,3,0),employees!A:B,2,0)</f>
        <v>Janet Leverling</v>
      </c>
    </row>
    <row r="657" spans="1:11" x14ac:dyDescent="0.25">
      <c r="A657">
        <v>10496</v>
      </c>
      <c r="B657">
        <v>31</v>
      </c>
      <c r="C657">
        <v>10</v>
      </c>
      <c r="D657">
        <v>20</v>
      </c>
      <c r="E657">
        <v>0.05</v>
      </c>
      <c r="F657">
        <f t="shared" si="10"/>
        <v>190</v>
      </c>
      <c r="G657">
        <f>YEAR(VLOOKUP(A657,orders!A:D,4,0))</f>
        <v>2014</v>
      </c>
      <c r="H657">
        <f>MONTH(INDEX(orders!D:D,MATCH(A657, orders!A:A,0)))</f>
        <v>4</v>
      </c>
      <c r="I657" t="str">
        <f>VLOOKUP(VLOOKUP(B657,products!A:F,6,0),categories!A:B,2,0)</f>
        <v>Dairy Products</v>
      </c>
      <c r="J657" t="str">
        <f>VLOOKUP(VLOOKUP(A657,orders!A:B,2,0),customers!A:F,6,0)</f>
        <v>Brazil</v>
      </c>
      <c r="K657" t="str">
        <f>VLOOKUP(VLOOKUP(A657,orders!A:C,3,0),employees!A:B,2,0)</f>
        <v>Robert King</v>
      </c>
    </row>
    <row r="658" spans="1:11" x14ac:dyDescent="0.25">
      <c r="A658">
        <v>10497</v>
      </c>
      <c r="B658">
        <v>56</v>
      </c>
      <c r="C658">
        <v>30.4</v>
      </c>
      <c r="D658">
        <v>14</v>
      </c>
      <c r="E658">
        <v>0</v>
      </c>
      <c r="F658">
        <f t="shared" si="10"/>
        <v>425.59999999999997</v>
      </c>
      <c r="G658">
        <f>YEAR(VLOOKUP(A658,orders!A:D,4,0))</f>
        <v>2014</v>
      </c>
      <c r="H658">
        <f>MONTH(INDEX(orders!D:D,MATCH(A658, orders!A:A,0)))</f>
        <v>4</v>
      </c>
      <c r="I658" t="str">
        <f>VLOOKUP(VLOOKUP(B658,products!A:F,6,0),categories!A:B,2,0)</f>
        <v>Grains &amp; Cereals</v>
      </c>
      <c r="J658" t="str">
        <f>VLOOKUP(VLOOKUP(A658,orders!A:B,2,0),customers!A:F,6,0)</f>
        <v>Germany</v>
      </c>
      <c r="K658" t="str">
        <f>VLOOKUP(VLOOKUP(A658,orders!A:C,3,0),employees!A:B,2,0)</f>
        <v>Robert King</v>
      </c>
    </row>
    <row r="659" spans="1:11" x14ac:dyDescent="0.25">
      <c r="A659">
        <v>10497</v>
      </c>
      <c r="B659">
        <v>72</v>
      </c>
      <c r="C659">
        <v>27.8</v>
      </c>
      <c r="D659">
        <v>25</v>
      </c>
      <c r="E659">
        <v>0</v>
      </c>
      <c r="F659">
        <f t="shared" si="10"/>
        <v>695</v>
      </c>
      <c r="G659">
        <f>YEAR(VLOOKUP(A659,orders!A:D,4,0))</f>
        <v>2014</v>
      </c>
      <c r="H659">
        <f>MONTH(INDEX(orders!D:D,MATCH(A659, orders!A:A,0)))</f>
        <v>4</v>
      </c>
      <c r="I659" t="str">
        <f>VLOOKUP(VLOOKUP(B659,products!A:F,6,0),categories!A:B,2,0)</f>
        <v>Dairy Products</v>
      </c>
      <c r="J659" t="str">
        <f>VLOOKUP(VLOOKUP(A659,orders!A:B,2,0),customers!A:F,6,0)</f>
        <v>Germany</v>
      </c>
      <c r="K659" t="str">
        <f>VLOOKUP(VLOOKUP(A659,orders!A:C,3,0),employees!A:B,2,0)</f>
        <v>Robert King</v>
      </c>
    </row>
    <row r="660" spans="1:11" x14ac:dyDescent="0.25">
      <c r="A660">
        <v>10497</v>
      </c>
      <c r="B660">
        <v>77</v>
      </c>
      <c r="C660">
        <v>10.4</v>
      </c>
      <c r="D660">
        <v>25</v>
      </c>
      <c r="E660">
        <v>0</v>
      </c>
      <c r="F660">
        <f t="shared" si="10"/>
        <v>260</v>
      </c>
      <c r="G660">
        <f>YEAR(VLOOKUP(A660,orders!A:D,4,0))</f>
        <v>2014</v>
      </c>
      <c r="H660">
        <f>MONTH(INDEX(orders!D:D,MATCH(A660, orders!A:A,0)))</f>
        <v>4</v>
      </c>
      <c r="I660" t="str">
        <f>VLOOKUP(VLOOKUP(B660,products!A:F,6,0),categories!A:B,2,0)</f>
        <v>Condiments</v>
      </c>
      <c r="J660" t="str">
        <f>VLOOKUP(VLOOKUP(A660,orders!A:B,2,0),customers!A:F,6,0)</f>
        <v>Germany</v>
      </c>
      <c r="K660" t="str">
        <f>VLOOKUP(VLOOKUP(A660,orders!A:C,3,0),employees!A:B,2,0)</f>
        <v>Robert King</v>
      </c>
    </row>
    <row r="661" spans="1:11" x14ac:dyDescent="0.25">
      <c r="A661">
        <v>10498</v>
      </c>
      <c r="B661">
        <v>24</v>
      </c>
      <c r="C661">
        <v>4.5</v>
      </c>
      <c r="D661">
        <v>14</v>
      </c>
      <c r="E661">
        <v>0</v>
      </c>
      <c r="F661">
        <f t="shared" si="10"/>
        <v>63</v>
      </c>
      <c r="G661">
        <f>YEAR(VLOOKUP(A661,orders!A:D,4,0))</f>
        <v>2014</v>
      </c>
      <c r="H661">
        <f>MONTH(INDEX(orders!D:D,MATCH(A661, orders!A:A,0)))</f>
        <v>4</v>
      </c>
      <c r="I661" t="str">
        <f>VLOOKUP(VLOOKUP(B661,products!A:F,6,0),categories!A:B,2,0)</f>
        <v>Beverages</v>
      </c>
      <c r="J661" t="str">
        <f>VLOOKUP(VLOOKUP(A661,orders!A:B,2,0),customers!A:F,6,0)</f>
        <v>Venezuela</v>
      </c>
      <c r="K661" t="str">
        <f>VLOOKUP(VLOOKUP(A661,orders!A:C,3,0),employees!A:B,2,0)</f>
        <v>Laura Callahan</v>
      </c>
    </row>
    <row r="662" spans="1:11" x14ac:dyDescent="0.25">
      <c r="A662">
        <v>10498</v>
      </c>
      <c r="B662">
        <v>40</v>
      </c>
      <c r="C662">
        <v>18.399999999999999</v>
      </c>
      <c r="D662">
        <v>5</v>
      </c>
      <c r="E662">
        <v>0</v>
      </c>
      <c r="F662">
        <f t="shared" si="10"/>
        <v>92</v>
      </c>
      <c r="G662">
        <f>YEAR(VLOOKUP(A662,orders!A:D,4,0))</f>
        <v>2014</v>
      </c>
      <c r="H662">
        <f>MONTH(INDEX(orders!D:D,MATCH(A662, orders!A:A,0)))</f>
        <v>4</v>
      </c>
      <c r="I662" t="str">
        <f>VLOOKUP(VLOOKUP(B662,products!A:F,6,0),categories!A:B,2,0)</f>
        <v>Seafood</v>
      </c>
      <c r="J662" t="str">
        <f>VLOOKUP(VLOOKUP(A662,orders!A:B,2,0),customers!A:F,6,0)</f>
        <v>Venezuela</v>
      </c>
      <c r="K662" t="str">
        <f>VLOOKUP(VLOOKUP(A662,orders!A:C,3,0),employees!A:B,2,0)</f>
        <v>Laura Callahan</v>
      </c>
    </row>
    <row r="663" spans="1:11" x14ac:dyDescent="0.25">
      <c r="A663">
        <v>10498</v>
      </c>
      <c r="B663">
        <v>42</v>
      </c>
      <c r="C663">
        <v>14</v>
      </c>
      <c r="D663">
        <v>30</v>
      </c>
      <c r="E663">
        <v>0</v>
      </c>
      <c r="F663">
        <f t="shared" si="10"/>
        <v>420</v>
      </c>
      <c r="G663">
        <f>YEAR(VLOOKUP(A663,orders!A:D,4,0))</f>
        <v>2014</v>
      </c>
      <c r="H663">
        <f>MONTH(INDEX(orders!D:D,MATCH(A663, orders!A:A,0)))</f>
        <v>4</v>
      </c>
      <c r="I663" t="str">
        <f>VLOOKUP(VLOOKUP(B663,products!A:F,6,0),categories!A:B,2,0)</f>
        <v>Grains &amp; Cereals</v>
      </c>
      <c r="J663" t="str">
        <f>VLOOKUP(VLOOKUP(A663,orders!A:B,2,0),customers!A:F,6,0)</f>
        <v>Venezuela</v>
      </c>
      <c r="K663" t="str">
        <f>VLOOKUP(VLOOKUP(A663,orders!A:C,3,0),employees!A:B,2,0)</f>
        <v>Laura Callahan</v>
      </c>
    </row>
    <row r="664" spans="1:11" x14ac:dyDescent="0.25">
      <c r="A664">
        <v>10499</v>
      </c>
      <c r="B664">
        <v>28</v>
      </c>
      <c r="C664">
        <v>45.6</v>
      </c>
      <c r="D664">
        <v>20</v>
      </c>
      <c r="E664">
        <v>0</v>
      </c>
      <c r="F664">
        <f t="shared" si="10"/>
        <v>912</v>
      </c>
      <c r="G664">
        <f>YEAR(VLOOKUP(A664,orders!A:D,4,0))</f>
        <v>2014</v>
      </c>
      <c r="H664">
        <f>MONTH(INDEX(orders!D:D,MATCH(A664, orders!A:A,0)))</f>
        <v>4</v>
      </c>
      <c r="I664" t="str">
        <f>VLOOKUP(VLOOKUP(B664,products!A:F,6,0),categories!A:B,2,0)</f>
        <v>Produce</v>
      </c>
      <c r="J664" t="str">
        <f>VLOOKUP(VLOOKUP(A664,orders!A:B,2,0),customers!A:F,6,0)</f>
        <v>Venezuela</v>
      </c>
      <c r="K664" t="str">
        <f>VLOOKUP(VLOOKUP(A664,orders!A:C,3,0),employees!A:B,2,0)</f>
        <v>Margaret Peacock</v>
      </c>
    </row>
    <row r="665" spans="1:11" x14ac:dyDescent="0.25">
      <c r="A665">
        <v>10499</v>
      </c>
      <c r="B665">
        <v>49</v>
      </c>
      <c r="C665">
        <v>20</v>
      </c>
      <c r="D665">
        <v>25</v>
      </c>
      <c r="E665">
        <v>0</v>
      </c>
      <c r="F665">
        <f t="shared" si="10"/>
        <v>500</v>
      </c>
      <c r="G665">
        <f>YEAR(VLOOKUP(A665,orders!A:D,4,0))</f>
        <v>2014</v>
      </c>
      <c r="H665">
        <f>MONTH(INDEX(orders!D:D,MATCH(A665, orders!A:A,0)))</f>
        <v>4</v>
      </c>
      <c r="I665" t="str">
        <f>VLOOKUP(VLOOKUP(B665,products!A:F,6,0),categories!A:B,2,0)</f>
        <v>Confections</v>
      </c>
      <c r="J665" t="str">
        <f>VLOOKUP(VLOOKUP(A665,orders!A:B,2,0),customers!A:F,6,0)</f>
        <v>Venezuela</v>
      </c>
      <c r="K665" t="str">
        <f>VLOOKUP(VLOOKUP(A665,orders!A:C,3,0),employees!A:B,2,0)</f>
        <v>Margaret Peacock</v>
      </c>
    </row>
    <row r="666" spans="1:11" x14ac:dyDescent="0.25">
      <c r="A666">
        <v>10500</v>
      </c>
      <c r="B666">
        <v>15</v>
      </c>
      <c r="C666">
        <v>15.5</v>
      </c>
      <c r="D666">
        <v>12</v>
      </c>
      <c r="E666">
        <v>0.05</v>
      </c>
      <c r="F666">
        <f t="shared" si="10"/>
        <v>176.7</v>
      </c>
      <c r="G666">
        <f>YEAR(VLOOKUP(A666,orders!A:D,4,0))</f>
        <v>2014</v>
      </c>
      <c r="H666">
        <f>MONTH(INDEX(orders!D:D,MATCH(A666, orders!A:A,0)))</f>
        <v>4</v>
      </c>
      <c r="I666" t="str">
        <f>VLOOKUP(VLOOKUP(B666,products!A:F,6,0),categories!A:B,2,0)</f>
        <v>Condiments</v>
      </c>
      <c r="J666" t="str">
        <f>VLOOKUP(VLOOKUP(A666,orders!A:B,2,0),customers!A:F,6,0)</f>
        <v>France</v>
      </c>
      <c r="K666" t="str">
        <f>VLOOKUP(VLOOKUP(A666,orders!A:C,3,0),employees!A:B,2,0)</f>
        <v>Michael Suyama</v>
      </c>
    </row>
    <row r="667" spans="1:11" x14ac:dyDescent="0.25">
      <c r="A667">
        <v>10500</v>
      </c>
      <c r="B667">
        <v>28</v>
      </c>
      <c r="C667">
        <v>45.6</v>
      </c>
      <c r="D667">
        <v>8</v>
      </c>
      <c r="E667">
        <v>0.05</v>
      </c>
      <c r="F667">
        <f t="shared" si="10"/>
        <v>346.56</v>
      </c>
      <c r="G667">
        <f>YEAR(VLOOKUP(A667,orders!A:D,4,0))</f>
        <v>2014</v>
      </c>
      <c r="H667">
        <f>MONTH(INDEX(orders!D:D,MATCH(A667, orders!A:A,0)))</f>
        <v>4</v>
      </c>
      <c r="I667" t="str">
        <f>VLOOKUP(VLOOKUP(B667,products!A:F,6,0),categories!A:B,2,0)</f>
        <v>Produce</v>
      </c>
      <c r="J667" t="str">
        <f>VLOOKUP(VLOOKUP(A667,orders!A:B,2,0),customers!A:F,6,0)</f>
        <v>France</v>
      </c>
      <c r="K667" t="str">
        <f>VLOOKUP(VLOOKUP(A667,orders!A:C,3,0),employees!A:B,2,0)</f>
        <v>Michael Suyama</v>
      </c>
    </row>
    <row r="668" spans="1:11" x14ac:dyDescent="0.25">
      <c r="A668">
        <v>10501</v>
      </c>
      <c r="B668">
        <v>54</v>
      </c>
      <c r="C668">
        <v>7.45</v>
      </c>
      <c r="D668">
        <v>20</v>
      </c>
      <c r="E668">
        <v>0</v>
      </c>
      <c r="F668">
        <f t="shared" si="10"/>
        <v>149</v>
      </c>
      <c r="G668">
        <f>YEAR(VLOOKUP(A668,orders!A:D,4,0))</f>
        <v>2014</v>
      </c>
      <c r="H668">
        <f>MONTH(INDEX(orders!D:D,MATCH(A668, orders!A:A,0)))</f>
        <v>4</v>
      </c>
      <c r="I668" t="str">
        <f>VLOOKUP(VLOOKUP(B668,products!A:F,6,0),categories!A:B,2,0)</f>
        <v>Meat &amp; Poultry</v>
      </c>
      <c r="J668" t="str">
        <f>VLOOKUP(VLOOKUP(A668,orders!A:B,2,0),customers!A:F,6,0)</f>
        <v>Germany</v>
      </c>
      <c r="K668" t="str">
        <f>VLOOKUP(VLOOKUP(A668,orders!A:C,3,0),employees!A:B,2,0)</f>
        <v>Anne Dodsworth</v>
      </c>
    </row>
    <row r="669" spans="1:11" x14ac:dyDescent="0.25">
      <c r="A669">
        <v>10502</v>
      </c>
      <c r="B669">
        <v>45</v>
      </c>
      <c r="C669">
        <v>9.5</v>
      </c>
      <c r="D669">
        <v>21</v>
      </c>
      <c r="E669">
        <v>0</v>
      </c>
      <c r="F669">
        <f t="shared" si="10"/>
        <v>199.5</v>
      </c>
      <c r="G669">
        <f>YEAR(VLOOKUP(A669,orders!A:D,4,0))</f>
        <v>2014</v>
      </c>
      <c r="H669">
        <f>MONTH(INDEX(orders!D:D,MATCH(A669, orders!A:A,0)))</f>
        <v>4</v>
      </c>
      <c r="I669" t="str">
        <f>VLOOKUP(VLOOKUP(B669,products!A:F,6,0),categories!A:B,2,0)</f>
        <v>Seafood</v>
      </c>
      <c r="J669" t="str">
        <f>VLOOKUP(VLOOKUP(A669,orders!A:B,2,0),customers!A:F,6,0)</f>
        <v>Mexico</v>
      </c>
      <c r="K669" t="str">
        <f>VLOOKUP(VLOOKUP(A669,orders!A:C,3,0),employees!A:B,2,0)</f>
        <v>Andrew Fuller</v>
      </c>
    </row>
    <row r="670" spans="1:11" x14ac:dyDescent="0.25">
      <c r="A670">
        <v>10502</v>
      </c>
      <c r="B670">
        <v>53</v>
      </c>
      <c r="C670">
        <v>32.799999999999997</v>
      </c>
      <c r="D670">
        <v>6</v>
      </c>
      <c r="E670">
        <v>0</v>
      </c>
      <c r="F670">
        <f t="shared" si="10"/>
        <v>196.79999999999998</v>
      </c>
      <c r="G670">
        <f>YEAR(VLOOKUP(A670,orders!A:D,4,0))</f>
        <v>2014</v>
      </c>
      <c r="H670">
        <f>MONTH(INDEX(orders!D:D,MATCH(A670, orders!A:A,0)))</f>
        <v>4</v>
      </c>
      <c r="I670" t="str">
        <f>VLOOKUP(VLOOKUP(B670,products!A:F,6,0),categories!A:B,2,0)</f>
        <v>Meat &amp; Poultry</v>
      </c>
      <c r="J670" t="str">
        <f>VLOOKUP(VLOOKUP(A670,orders!A:B,2,0),customers!A:F,6,0)</f>
        <v>Mexico</v>
      </c>
      <c r="K670" t="str">
        <f>VLOOKUP(VLOOKUP(A670,orders!A:C,3,0),employees!A:B,2,0)</f>
        <v>Andrew Fuller</v>
      </c>
    </row>
    <row r="671" spans="1:11" x14ac:dyDescent="0.25">
      <c r="A671">
        <v>10502</v>
      </c>
      <c r="B671">
        <v>67</v>
      </c>
      <c r="C671">
        <v>14</v>
      </c>
      <c r="D671">
        <v>30</v>
      </c>
      <c r="E671">
        <v>0</v>
      </c>
      <c r="F671">
        <f t="shared" si="10"/>
        <v>420</v>
      </c>
      <c r="G671">
        <f>YEAR(VLOOKUP(A671,orders!A:D,4,0))</f>
        <v>2014</v>
      </c>
      <c r="H671">
        <f>MONTH(INDEX(orders!D:D,MATCH(A671, orders!A:A,0)))</f>
        <v>4</v>
      </c>
      <c r="I671" t="str">
        <f>VLOOKUP(VLOOKUP(B671,products!A:F,6,0),categories!A:B,2,0)</f>
        <v>Beverages</v>
      </c>
      <c r="J671" t="str">
        <f>VLOOKUP(VLOOKUP(A671,orders!A:B,2,0),customers!A:F,6,0)</f>
        <v>Mexico</v>
      </c>
      <c r="K671" t="str">
        <f>VLOOKUP(VLOOKUP(A671,orders!A:C,3,0),employees!A:B,2,0)</f>
        <v>Andrew Fuller</v>
      </c>
    </row>
    <row r="672" spans="1:11" x14ac:dyDescent="0.25">
      <c r="A672">
        <v>10503</v>
      </c>
      <c r="B672">
        <v>14</v>
      </c>
      <c r="C672">
        <v>23.25</v>
      </c>
      <c r="D672">
        <v>70</v>
      </c>
      <c r="E672">
        <v>0</v>
      </c>
      <c r="F672">
        <f t="shared" si="10"/>
        <v>1627.5</v>
      </c>
      <c r="G672">
        <f>YEAR(VLOOKUP(A672,orders!A:D,4,0))</f>
        <v>2014</v>
      </c>
      <c r="H672">
        <f>MONTH(INDEX(orders!D:D,MATCH(A672, orders!A:A,0)))</f>
        <v>4</v>
      </c>
      <c r="I672" t="str">
        <f>VLOOKUP(VLOOKUP(B672,products!A:F,6,0),categories!A:B,2,0)</f>
        <v>Produce</v>
      </c>
      <c r="J672" t="str">
        <f>VLOOKUP(VLOOKUP(A672,orders!A:B,2,0),customers!A:F,6,0)</f>
        <v>Ireland</v>
      </c>
      <c r="K672" t="str">
        <f>VLOOKUP(VLOOKUP(A672,orders!A:C,3,0),employees!A:B,2,0)</f>
        <v>Michael Suyama</v>
      </c>
    </row>
    <row r="673" spans="1:11" x14ac:dyDescent="0.25">
      <c r="A673">
        <v>10503</v>
      </c>
      <c r="B673">
        <v>65</v>
      </c>
      <c r="C673">
        <v>21.05</v>
      </c>
      <c r="D673">
        <v>20</v>
      </c>
      <c r="E673">
        <v>0</v>
      </c>
      <c r="F673">
        <f t="shared" si="10"/>
        <v>421</v>
      </c>
      <c r="G673">
        <f>YEAR(VLOOKUP(A673,orders!A:D,4,0))</f>
        <v>2014</v>
      </c>
      <c r="H673">
        <f>MONTH(INDEX(orders!D:D,MATCH(A673, orders!A:A,0)))</f>
        <v>4</v>
      </c>
      <c r="I673" t="str">
        <f>VLOOKUP(VLOOKUP(B673,products!A:F,6,0),categories!A:B,2,0)</f>
        <v>Condiments</v>
      </c>
      <c r="J673" t="str">
        <f>VLOOKUP(VLOOKUP(A673,orders!A:B,2,0),customers!A:F,6,0)</f>
        <v>Ireland</v>
      </c>
      <c r="K673" t="str">
        <f>VLOOKUP(VLOOKUP(A673,orders!A:C,3,0),employees!A:B,2,0)</f>
        <v>Michael Suyama</v>
      </c>
    </row>
    <row r="674" spans="1:11" x14ac:dyDescent="0.25">
      <c r="A674">
        <v>10504</v>
      </c>
      <c r="B674">
        <v>2</v>
      </c>
      <c r="C674">
        <v>19</v>
      </c>
      <c r="D674">
        <v>12</v>
      </c>
      <c r="E674">
        <v>0</v>
      </c>
      <c r="F674">
        <f t="shared" si="10"/>
        <v>228</v>
      </c>
      <c r="G674">
        <f>YEAR(VLOOKUP(A674,orders!A:D,4,0))</f>
        <v>2014</v>
      </c>
      <c r="H674">
        <f>MONTH(INDEX(orders!D:D,MATCH(A674, orders!A:A,0)))</f>
        <v>4</v>
      </c>
      <c r="I674" t="str">
        <f>VLOOKUP(VLOOKUP(B674,products!A:F,6,0),categories!A:B,2,0)</f>
        <v>Beverages</v>
      </c>
      <c r="J674" t="str">
        <f>VLOOKUP(VLOOKUP(A674,orders!A:B,2,0),customers!A:F,6,0)</f>
        <v>USA</v>
      </c>
      <c r="K674" t="str">
        <f>VLOOKUP(VLOOKUP(A674,orders!A:C,3,0),employees!A:B,2,0)</f>
        <v>Margaret Peacock</v>
      </c>
    </row>
    <row r="675" spans="1:11" x14ac:dyDescent="0.25">
      <c r="A675">
        <v>10504</v>
      </c>
      <c r="B675">
        <v>21</v>
      </c>
      <c r="C675">
        <v>10</v>
      </c>
      <c r="D675">
        <v>12</v>
      </c>
      <c r="E675">
        <v>0</v>
      </c>
      <c r="F675">
        <f t="shared" si="10"/>
        <v>120</v>
      </c>
      <c r="G675">
        <f>YEAR(VLOOKUP(A675,orders!A:D,4,0))</f>
        <v>2014</v>
      </c>
      <c r="H675">
        <f>MONTH(INDEX(orders!D:D,MATCH(A675, orders!A:A,0)))</f>
        <v>4</v>
      </c>
      <c r="I675" t="str">
        <f>VLOOKUP(VLOOKUP(B675,products!A:F,6,0),categories!A:B,2,0)</f>
        <v>Confections</v>
      </c>
      <c r="J675" t="str">
        <f>VLOOKUP(VLOOKUP(A675,orders!A:B,2,0),customers!A:F,6,0)</f>
        <v>USA</v>
      </c>
      <c r="K675" t="str">
        <f>VLOOKUP(VLOOKUP(A675,orders!A:C,3,0),employees!A:B,2,0)</f>
        <v>Margaret Peacock</v>
      </c>
    </row>
    <row r="676" spans="1:11" x14ac:dyDescent="0.25">
      <c r="A676">
        <v>10504</v>
      </c>
      <c r="B676">
        <v>53</v>
      </c>
      <c r="C676">
        <v>32.799999999999997</v>
      </c>
      <c r="D676">
        <v>10</v>
      </c>
      <c r="E676">
        <v>0</v>
      </c>
      <c r="F676">
        <f t="shared" si="10"/>
        <v>328</v>
      </c>
      <c r="G676">
        <f>YEAR(VLOOKUP(A676,orders!A:D,4,0))</f>
        <v>2014</v>
      </c>
      <c r="H676">
        <f>MONTH(INDEX(orders!D:D,MATCH(A676, orders!A:A,0)))</f>
        <v>4</v>
      </c>
      <c r="I676" t="str">
        <f>VLOOKUP(VLOOKUP(B676,products!A:F,6,0),categories!A:B,2,0)</f>
        <v>Meat &amp; Poultry</v>
      </c>
      <c r="J676" t="str">
        <f>VLOOKUP(VLOOKUP(A676,orders!A:B,2,0),customers!A:F,6,0)</f>
        <v>USA</v>
      </c>
      <c r="K676" t="str">
        <f>VLOOKUP(VLOOKUP(A676,orders!A:C,3,0),employees!A:B,2,0)</f>
        <v>Margaret Peacock</v>
      </c>
    </row>
    <row r="677" spans="1:11" x14ac:dyDescent="0.25">
      <c r="A677">
        <v>10504</v>
      </c>
      <c r="B677">
        <v>61</v>
      </c>
      <c r="C677">
        <v>28.5</v>
      </c>
      <c r="D677">
        <v>25</v>
      </c>
      <c r="E677">
        <v>0</v>
      </c>
      <c r="F677">
        <f t="shared" si="10"/>
        <v>712.5</v>
      </c>
      <c r="G677">
        <f>YEAR(VLOOKUP(A677,orders!A:D,4,0))</f>
        <v>2014</v>
      </c>
      <c r="H677">
        <f>MONTH(INDEX(orders!D:D,MATCH(A677, orders!A:A,0)))</f>
        <v>4</v>
      </c>
      <c r="I677" t="str">
        <f>VLOOKUP(VLOOKUP(B677,products!A:F,6,0),categories!A:B,2,0)</f>
        <v>Condiments</v>
      </c>
      <c r="J677" t="str">
        <f>VLOOKUP(VLOOKUP(A677,orders!A:B,2,0),customers!A:F,6,0)</f>
        <v>USA</v>
      </c>
      <c r="K677" t="str">
        <f>VLOOKUP(VLOOKUP(A677,orders!A:C,3,0),employees!A:B,2,0)</f>
        <v>Margaret Peacock</v>
      </c>
    </row>
    <row r="678" spans="1:11" x14ac:dyDescent="0.25">
      <c r="A678">
        <v>10505</v>
      </c>
      <c r="B678">
        <v>62</v>
      </c>
      <c r="C678">
        <v>49.3</v>
      </c>
      <c r="D678">
        <v>3</v>
      </c>
      <c r="E678">
        <v>0</v>
      </c>
      <c r="F678">
        <f t="shared" si="10"/>
        <v>147.89999999999998</v>
      </c>
      <c r="G678">
        <f>YEAR(VLOOKUP(A678,orders!A:D,4,0))</f>
        <v>2014</v>
      </c>
      <c r="H678">
        <f>MONTH(INDEX(orders!D:D,MATCH(A678, orders!A:A,0)))</f>
        <v>4</v>
      </c>
      <c r="I678" t="str">
        <f>VLOOKUP(VLOOKUP(B678,products!A:F,6,0),categories!A:B,2,0)</f>
        <v>Confections</v>
      </c>
      <c r="J678" t="str">
        <f>VLOOKUP(VLOOKUP(A678,orders!A:B,2,0),customers!A:F,6,0)</f>
        <v>Canada</v>
      </c>
      <c r="K678" t="str">
        <f>VLOOKUP(VLOOKUP(A678,orders!A:C,3,0),employees!A:B,2,0)</f>
        <v>Janet Leverling</v>
      </c>
    </row>
    <row r="679" spans="1:11" x14ac:dyDescent="0.25">
      <c r="A679">
        <v>10506</v>
      </c>
      <c r="B679">
        <v>25</v>
      </c>
      <c r="C679">
        <v>14</v>
      </c>
      <c r="D679">
        <v>18</v>
      </c>
      <c r="E679">
        <v>0.1</v>
      </c>
      <c r="F679">
        <f t="shared" si="10"/>
        <v>226.8</v>
      </c>
      <c r="G679">
        <f>YEAR(VLOOKUP(A679,orders!A:D,4,0))</f>
        <v>2014</v>
      </c>
      <c r="H679">
        <f>MONTH(INDEX(orders!D:D,MATCH(A679, orders!A:A,0)))</f>
        <v>4</v>
      </c>
      <c r="I679" t="str">
        <f>VLOOKUP(VLOOKUP(B679,products!A:F,6,0),categories!A:B,2,0)</f>
        <v>Confections</v>
      </c>
      <c r="J679" t="str">
        <f>VLOOKUP(VLOOKUP(A679,orders!A:B,2,0),customers!A:F,6,0)</f>
        <v>Germany</v>
      </c>
      <c r="K679" t="str">
        <f>VLOOKUP(VLOOKUP(A679,orders!A:C,3,0),employees!A:B,2,0)</f>
        <v>Anne Dodsworth</v>
      </c>
    </row>
    <row r="680" spans="1:11" x14ac:dyDescent="0.25">
      <c r="A680">
        <v>10506</v>
      </c>
      <c r="B680">
        <v>70</v>
      </c>
      <c r="C680">
        <v>15</v>
      </c>
      <c r="D680">
        <v>14</v>
      </c>
      <c r="E680">
        <v>0.1</v>
      </c>
      <c r="F680">
        <f t="shared" si="10"/>
        <v>189</v>
      </c>
      <c r="G680">
        <f>YEAR(VLOOKUP(A680,orders!A:D,4,0))</f>
        <v>2014</v>
      </c>
      <c r="H680">
        <f>MONTH(INDEX(orders!D:D,MATCH(A680, orders!A:A,0)))</f>
        <v>4</v>
      </c>
      <c r="I680" t="str">
        <f>VLOOKUP(VLOOKUP(B680,products!A:F,6,0),categories!A:B,2,0)</f>
        <v>Beverages</v>
      </c>
      <c r="J680" t="str">
        <f>VLOOKUP(VLOOKUP(A680,orders!A:B,2,0),customers!A:F,6,0)</f>
        <v>Germany</v>
      </c>
      <c r="K680" t="str">
        <f>VLOOKUP(VLOOKUP(A680,orders!A:C,3,0),employees!A:B,2,0)</f>
        <v>Anne Dodsworth</v>
      </c>
    </row>
    <row r="681" spans="1:11" x14ac:dyDescent="0.25">
      <c r="A681">
        <v>10507</v>
      </c>
      <c r="B681">
        <v>43</v>
      </c>
      <c r="C681">
        <v>46</v>
      </c>
      <c r="D681">
        <v>15</v>
      </c>
      <c r="E681">
        <v>0.15</v>
      </c>
      <c r="F681">
        <f t="shared" si="10"/>
        <v>586.5</v>
      </c>
      <c r="G681">
        <f>YEAR(VLOOKUP(A681,orders!A:D,4,0))</f>
        <v>2014</v>
      </c>
      <c r="H681">
        <f>MONTH(INDEX(orders!D:D,MATCH(A681, orders!A:A,0)))</f>
        <v>4</v>
      </c>
      <c r="I681" t="str">
        <f>VLOOKUP(VLOOKUP(B681,products!A:F,6,0),categories!A:B,2,0)</f>
        <v>Beverages</v>
      </c>
      <c r="J681" t="str">
        <f>VLOOKUP(VLOOKUP(A681,orders!A:B,2,0),customers!A:F,6,0)</f>
        <v>Mexico</v>
      </c>
      <c r="K681" t="str">
        <f>VLOOKUP(VLOOKUP(A681,orders!A:C,3,0),employees!A:B,2,0)</f>
        <v>Robert King</v>
      </c>
    </row>
    <row r="682" spans="1:11" x14ac:dyDescent="0.25">
      <c r="A682">
        <v>10507</v>
      </c>
      <c r="B682">
        <v>48</v>
      </c>
      <c r="C682">
        <v>12.75</v>
      </c>
      <c r="D682">
        <v>15</v>
      </c>
      <c r="E682">
        <v>0.15</v>
      </c>
      <c r="F682">
        <f t="shared" si="10"/>
        <v>162.5625</v>
      </c>
      <c r="G682">
        <f>YEAR(VLOOKUP(A682,orders!A:D,4,0))</f>
        <v>2014</v>
      </c>
      <c r="H682">
        <f>MONTH(INDEX(orders!D:D,MATCH(A682, orders!A:A,0)))</f>
        <v>4</v>
      </c>
      <c r="I682" t="str">
        <f>VLOOKUP(VLOOKUP(B682,products!A:F,6,0),categories!A:B,2,0)</f>
        <v>Confections</v>
      </c>
      <c r="J682" t="str">
        <f>VLOOKUP(VLOOKUP(A682,orders!A:B,2,0),customers!A:F,6,0)</f>
        <v>Mexico</v>
      </c>
      <c r="K682" t="str">
        <f>VLOOKUP(VLOOKUP(A682,orders!A:C,3,0),employees!A:B,2,0)</f>
        <v>Robert King</v>
      </c>
    </row>
    <row r="683" spans="1:11" x14ac:dyDescent="0.25">
      <c r="A683">
        <v>10508</v>
      </c>
      <c r="B683">
        <v>13</v>
      </c>
      <c r="C683">
        <v>6</v>
      </c>
      <c r="D683">
        <v>10</v>
      </c>
      <c r="E683">
        <v>0</v>
      </c>
      <c r="F683">
        <f t="shared" si="10"/>
        <v>60</v>
      </c>
      <c r="G683">
        <f>YEAR(VLOOKUP(A683,orders!A:D,4,0))</f>
        <v>2014</v>
      </c>
      <c r="H683">
        <f>MONTH(INDEX(orders!D:D,MATCH(A683, orders!A:A,0)))</f>
        <v>4</v>
      </c>
      <c r="I683" t="str">
        <f>VLOOKUP(VLOOKUP(B683,products!A:F,6,0),categories!A:B,2,0)</f>
        <v>Seafood</v>
      </c>
      <c r="J683" t="str">
        <f>VLOOKUP(VLOOKUP(A683,orders!A:B,2,0),customers!A:F,6,0)</f>
        <v>Germany</v>
      </c>
      <c r="K683" t="str">
        <f>VLOOKUP(VLOOKUP(A683,orders!A:C,3,0),employees!A:B,2,0)</f>
        <v>Nancy Davolio</v>
      </c>
    </row>
    <row r="684" spans="1:11" x14ac:dyDescent="0.25">
      <c r="A684">
        <v>10508</v>
      </c>
      <c r="B684">
        <v>39</v>
      </c>
      <c r="C684">
        <v>18</v>
      </c>
      <c r="D684">
        <v>10</v>
      </c>
      <c r="E684">
        <v>0</v>
      </c>
      <c r="F684">
        <f t="shared" si="10"/>
        <v>180</v>
      </c>
      <c r="G684">
        <f>YEAR(VLOOKUP(A684,orders!A:D,4,0))</f>
        <v>2014</v>
      </c>
      <c r="H684">
        <f>MONTH(INDEX(orders!D:D,MATCH(A684, orders!A:A,0)))</f>
        <v>4</v>
      </c>
      <c r="I684" t="str">
        <f>VLOOKUP(VLOOKUP(B684,products!A:F,6,0),categories!A:B,2,0)</f>
        <v>Beverages</v>
      </c>
      <c r="J684" t="str">
        <f>VLOOKUP(VLOOKUP(A684,orders!A:B,2,0),customers!A:F,6,0)</f>
        <v>Germany</v>
      </c>
      <c r="K684" t="str">
        <f>VLOOKUP(VLOOKUP(A684,orders!A:C,3,0),employees!A:B,2,0)</f>
        <v>Nancy Davolio</v>
      </c>
    </row>
    <row r="685" spans="1:11" x14ac:dyDescent="0.25">
      <c r="A685">
        <v>10509</v>
      </c>
      <c r="B685">
        <v>28</v>
      </c>
      <c r="C685">
        <v>45.6</v>
      </c>
      <c r="D685">
        <v>3</v>
      </c>
      <c r="E685">
        <v>0</v>
      </c>
      <c r="F685">
        <f t="shared" si="10"/>
        <v>136.80000000000001</v>
      </c>
      <c r="G685">
        <f>YEAR(VLOOKUP(A685,orders!A:D,4,0))</f>
        <v>2014</v>
      </c>
      <c r="H685">
        <f>MONTH(INDEX(orders!D:D,MATCH(A685, orders!A:A,0)))</f>
        <v>4</v>
      </c>
      <c r="I685" t="str">
        <f>VLOOKUP(VLOOKUP(B685,products!A:F,6,0),categories!A:B,2,0)</f>
        <v>Produce</v>
      </c>
      <c r="J685" t="str">
        <f>VLOOKUP(VLOOKUP(A685,orders!A:B,2,0),customers!A:F,6,0)</f>
        <v>Germany</v>
      </c>
      <c r="K685" t="str">
        <f>VLOOKUP(VLOOKUP(A685,orders!A:C,3,0),employees!A:B,2,0)</f>
        <v>Margaret Peacock</v>
      </c>
    </row>
    <row r="686" spans="1:11" x14ac:dyDescent="0.25">
      <c r="A686">
        <v>10510</v>
      </c>
      <c r="B686">
        <v>29</v>
      </c>
      <c r="C686">
        <v>123.79</v>
      </c>
      <c r="D686">
        <v>36</v>
      </c>
      <c r="E686">
        <v>0</v>
      </c>
      <c r="F686">
        <f t="shared" si="10"/>
        <v>4456.4400000000005</v>
      </c>
      <c r="G686">
        <f>YEAR(VLOOKUP(A686,orders!A:D,4,0))</f>
        <v>2014</v>
      </c>
      <c r="H686">
        <f>MONTH(INDEX(orders!D:D,MATCH(A686, orders!A:A,0)))</f>
        <v>4</v>
      </c>
      <c r="I686" t="str">
        <f>VLOOKUP(VLOOKUP(B686,products!A:F,6,0),categories!A:B,2,0)</f>
        <v>Meat &amp; Poultry</v>
      </c>
      <c r="J686" t="str">
        <f>VLOOKUP(VLOOKUP(A686,orders!A:B,2,0),customers!A:F,6,0)</f>
        <v>USA</v>
      </c>
      <c r="K686" t="str">
        <f>VLOOKUP(VLOOKUP(A686,orders!A:C,3,0),employees!A:B,2,0)</f>
        <v>Michael Suyama</v>
      </c>
    </row>
    <row r="687" spans="1:11" x14ac:dyDescent="0.25">
      <c r="A687">
        <v>10510</v>
      </c>
      <c r="B687">
        <v>75</v>
      </c>
      <c r="C687">
        <v>7.75</v>
      </c>
      <c r="D687">
        <v>36</v>
      </c>
      <c r="E687">
        <v>0.1</v>
      </c>
      <c r="F687">
        <f t="shared" si="10"/>
        <v>251.1</v>
      </c>
      <c r="G687">
        <f>YEAR(VLOOKUP(A687,orders!A:D,4,0))</f>
        <v>2014</v>
      </c>
      <c r="H687">
        <f>MONTH(INDEX(orders!D:D,MATCH(A687, orders!A:A,0)))</f>
        <v>4</v>
      </c>
      <c r="I687" t="str">
        <f>VLOOKUP(VLOOKUP(B687,products!A:F,6,0),categories!A:B,2,0)</f>
        <v>Beverages</v>
      </c>
      <c r="J687" t="str">
        <f>VLOOKUP(VLOOKUP(A687,orders!A:B,2,0),customers!A:F,6,0)</f>
        <v>USA</v>
      </c>
      <c r="K687" t="str">
        <f>VLOOKUP(VLOOKUP(A687,orders!A:C,3,0),employees!A:B,2,0)</f>
        <v>Michael Suyama</v>
      </c>
    </row>
    <row r="688" spans="1:11" x14ac:dyDescent="0.25">
      <c r="A688">
        <v>10511</v>
      </c>
      <c r="B688">
        <v>4</v>
      </c>
      <c r="C688">
        <v>22</v>
      </c>
      <c r="D688">
        <v>50</v>
      </c>
      <c r="E688">
        <v>0.15</v>
      </c>
      <c r="F688">
        <f t="shared" si="10"/>
        <v>935</v>
      </c>
      <c r="G688">
        <f>YEAR(VLOOKUP(A688,orders!A:D,4,0))</f>
        <v>2014</v>
      </c>
      <c r="H688">
        <f>MONTH(INDEX(orders!D:D,MATCH(A688, orders!A:A,0)))</f>
        <v>4</v>
      </c>
      <c r="I688" t="str">
        <f>VLOOKUP(VLOOKUP(B688,products!A:F,6,0),categories!A:B,2,0)</f>
        <v>Condiments</v>
      </c>
      <c r="J688" t="str">
        <f>VLOOKUP(VLOOKUP(A688,orders!A:B,2,0),customers!A:F,6,0)</f>
        <v>France</v>
      </c>
      <c r="K688" t="str">
        <f>VLOOKUP(VLOOKUP(A688,orders!A:C,3,0),employees!A:B,2,0)</f>
        <v>Margaret Peacock</v>
      </c>
    </row>
    <row r="689" spans="1:11" x14ac:dyDescent="0.25">
      <c r="A689">
        <v>10511</v>
      </c>
      <c r="B689">
        <v>7</v>
      </c>
      <c r="C689">
        <v>30</v>
      </c>
      <c r="D689">
        <v>50</v>
      </c>
      <c r="E689">
        <v>0.15</v>
      </c>
      <c r="F689">
        <f t="shared" si="10"/>
        <v>1275</v>
      </c>
      <c r="G689">
        <f>YEAR(VLOOKUP(A689,orders!A:D,4,0))</f>
        <v>2014</v>
      </c>
      <c r="H689">
        <f>MONTH(INDEX(orders!D:D,MATCH(A689, orders!A:A,0)))</f>
        <v>4</v>
      </c>
      <c r="I689" t="str">
        <f>VLOOKUP(VLOOKUP(B689,products!A:F,6,0),categories!A:B,2,0)</f>
        <v>Produce</v>
      </c>
      <c r="J689" t="str">
        <f>VLOOKUP(VLOOKUP(A689,orders!A:B,2,0),customers!A:F,6,0)</f>
        <v>France</v>
      </c>
      <c r="K689" t="str">
        <f>VLOOKUP(VLOOKUP(A689,orders!A:C,3,0),employees!A:B,2,0)</f>
        <v>Margaret Peacock</v>
      </c>
    </row>
    <row r="690" spans="1:11" x14ac:dyDescent="0.25">
      <c r="A690">
        <v>10511</v>
      </c>
      <c r="B690">
        <v>8</v>
      </c>
      <c r="C690">
        <v>40</v>
      </c>
      <c r="D690">
        <v>10</v>
      </c>
      <c r="E690">
        <v>0.15</v>
      </c>
      <c r="F690">
        <f t="shared" si="10"/>
        <v>340</v>
      </c>
      <c r="G690">
        <f>YEAR(VLOOKUP(A690,orders!A:D,4,0))</f>
        <v>2014</v>
      </c>
      <c r="H690">
        <f>MONTH(INDEX(orders!D:D,MATCH(A690, orders!A:A,0)))</f>
        <v>4</v>
      </c>
      <c r="I690" t="str">
        <f>VLOOKUP(VLOOKUP(B690,products!A:F,6,0),categories!A:B,2,0)</f>
        <v>Condiments</v>
      </c>
      <c r="J690" t="str">
        <f>VLOOKUP(VLOOKUP(A690,orders!A:B,2,0),customers!A:F,6,0)</f>
        <v>France</v>
      </c>
      <c r="K690" t="str">
        <f>VLOOKUP(VLOOKUP(A690,orders!A:C,3,0),employees!A:B,2,0)</f>
        <v>Margaret Peacock</v>
      </c>
    </row>
    <row r="691" spans="1:11" x14ac:dyDescent="0.25">
      <c r="A691">
        <v>10512</v>
      </c>
      <c r="B691">
        <v>24</v>
      </c>
      <c r="C691">
        <v>4.5</v>
      </c>
      <c r="D691">
        <v>10</v>
      </c>
      <c r="E691">
        <v>0.15</v>
      </c>
      <c r="F691">
        <f t="shared" si="10"/>
        <v>38.25</v>
      </c>
      <c r="G691">
        <f>YEAR(VLOOKUP(A691,orders!A:D,4,0))</f>
        <v>2014</v>
      </c>
      <c r="H691">
        <f>MONTH(INDEX(orders!D:D,MATCH(A691, orders!A:A,0)))</f>
        <v>4</v>
      </c>
      <c r="I691" t="str">
        <f>VLOOKUP(VLOOKUP(B691,products!A:F,6,0),categories!A:B,2,0)</f>
        <v>Beverages</v>
      </c>
      <c r="J691" t="str">
        <f>VLOOKUP(VLOOKUP(A691,orders!A:B,2,0),customers!A:F,6,0)</f>
        <v>Brazil</v>
      </c>
      <c r="K691" t="str">
        <f>VLOOKUP(VLOOKUP(A691,orders!A:C,3,0),employees!A:B,2,0)</f>
        <v>Robert King</v>
      </c>
    </row>
    <row r="692" spans="1:11" x14ac:dyDescent="0.25">
      <c r="A692">
        <v>10512</v>
      </c>
      <c r="B692">
        <v>46</v>
      </c>
      <c r="C692">
        <v>12</v>
      </c>
      <c r="D692">
        <v>9</v>
      </c>
      <c r="E692">
        <v>0.15</v>
      </c>
      <c r="F692">
        <f t="shared" si="10"/>
        <v>91.8</v>
      </c>
      <c r="G692">
        <f>YEAR(VLOOKUP(A692,orders!A:D,4,0))</f>
        <v>2014</v>
      </c>
      <c r="H692">
        <f>MONTH(INDEX(orders!D:D,MATCH(A692, orders!A:A,0)))</f>
        <v>4</v>
      </c>
      <c r="I692" t="str">
        <f>VLOOKUP(VLOOKUP(B692,products!A:F,6,0),categories!A:B,2,0)</f>
        <v>Seafood</v>
      </c>
      <c r="J692" t="str">
        <f>VLOOKUP(VLOOKUP(A692,orders!A:B,2,0),customers!A:F,6,0)</f>
        <v>Brazil</v>
      </c>
      <c r="K692" t="str">
        <f>VLOOKUP(VLOOKUP(A692,orders!A:C,3,0),employees!A:B,2,0)</f>
        <v>Robert King</v>
      </c>
    </row>
    <row r="693" spans="1:11" x14ac:dyDescent="0.25">
      <c r="A693">
        <v>10512</v>
      </c>
      <c r="B693">
        <v>47</v>
      </c>
      <c r="C693">
        <v>9.5</v>
      </c>
      <c r="D693">
        <v>6</v>
      </c>
      <c r="E693">
        <v>0.15</v>
      </c>
      <c r="F693">
        <f t="shared" si="10"/>
        <v>48.449999999999996</v>
      </c>
      <c r="G693">
        <f>YEAR(VLOOKUP(A693,orders!A:D,4,0))</f>
        <v>2014</v>
      </c>
      <c r="H693">
        <f>MONTH(INDEX(orders!D:D,MATCH(A693, orders!A:A,0)))</f>
        <v>4</v>
      </c>
      <c r="I693" t="str">
        <f>VLOOKUP(VLOOKUP(B693,products!A:F,6,0),categories!A:B,2,0)</f>
        <v>Confections</v>
      </c>
      <c r="J693" t="str">
        <f>VLOOKUP(VLOOKUP(A693,orders!A:B,2,0),customers!A:F,6,0)</f>
        <v>Brazil</v>
      </c>
      <c r="K693" t="str">
        <f>VLOOKUP(VLOOKUP(A693,orders!A:C,3,0),employees!A:B,2,0)</f>
        <v>Robert King</v>
      </c>
    </row>
    <row r="694" spans="1:11" x14ac:dyDescent="0.25">
      <c r="A694">
        <v>10512</v>
      </c>
      <c r="B694">
        <v>60</v>
      </c>
      <c r="C694">
        <v>34</v>
      </c>
      <c r="D694">
        <v>12</v>
      </c>
      <c r="E694">
        <v>0.15</v>
      </c>
      <c r="F694">
        <f t="shared" si="10"/>
        <v>346.8</v>
      </c>
      <c r="G694">
        <f>YEAR(VLOOKUP(A694,orders!A:D,4,0))</f>
        <v>2014</v>
      </c>
      <c r="H694">
        <f>MONTH(INDEX(orders!D:D,MATCH(A694, orders!A:A,0)))</f>
        <v>4</v>
      </c>
      <c r="I694" t="str">
        <f>VLOOKUP(VLOOKUP(B694,products!A:F,6,0),categories!A:B,2,0)</f>
        <v>Dairy Products</v>
      </c>
      <c r="J694" t="str">
        <f>VLOOKUP(VLOOKUP(A694,orders!A:B,2,0),customers!A:F,6,0)</f>
        <v>Brazil</v>
      </c>
      <c r="K694" t="str">
        <f>VLOOKUP(VLOOKUP(A694,orders!A:C,3,0),employees!A:B,2,0)</f>
        <v>Robert King</v>
      </c>
    </row>
    <row r="695" spans="1:11" x14ac:dyDescent="0.25">
      <c r="A695">
        <v>10513</v>
      </c>
      <c r="B695">
        <v>21</v>
      </c>
      <c r="C695">
        <v>10</v>
      </c>
      <c r="D695">
        <v>40</v>
      </c>
      <c r="E695">
        <v>0.2</v>
      </c>
      <c r="F695">
        <f t="shared" si="10"/>
        <v>320</v>
      </c>
      <c r="G695">
        <f>YEAR(VLOOKUP(A695,orders!A:D,4,0))</f>
        <v>2014</v>
      </c>
      <c r="H695">
        <f>MONTH(INDEX(orders!D:D,MATCH(A695, orders!A:A,0)))</f>
        <v>4</v>
      </c>
      <c r="I695" t="str">
        <f>VLOOKUP(VLOOKUP(B695,products!A:F,6,0),categories!A:B,2,0)</f>
        <v>Confections</v>
      </c>
      <c r="J695" t="str">
        <f>VLOOKUP(VLOOKUP(A695,orders!A:B,2,0),customers!A:F,6,0)</f>
        <v>Germany</v>
      </c>
      <c r="K695" t="str">
        <f>VLOOKUP(VLOOKUP(A695,orders!A:C,3,0),employees!A:B,2,0)</f>
        <v>Robert King</v>
      </c>
    </row>
    <row r="696" spans="1:11" x14ac:dyDescent="0.25">
      <c r="A696">
        <v>10513</v>
      </c>
      <c r="B696">
        <v>32</v>
      </c>
      <c r="C696">
        <v>32</v>
      </c>
      <c r="D696">
        <v>50</v>
      </c>
      <c r="E696">
        <v>0.2</v>
      </c>
      <c r="F696">
        <f t="shared" si="10"/>
        <v>1280</v>
      </c>
      <c r="G696">
        <f>YEAR(VLOOKUP(A696,orders!A:D,4,0))</f>
        <v>2014</v>
      </c>
      <c r="H696">
        <f>MONTH(INDEX(orders!D:D,MATCH(A696, orders!A:A,0)))</f>
        <v>4</v>
      </c>
      <c r="I696" t="str">
        <f>VLOOKUP(VLOOKUP(B696,products!A:F,6,0),categories!A:B,2,0)</f>
        <v>Dairy Products</v>
      </c>
      <c r="J696" t="str">
        <f>VLOOKUP(VLOOKUP(A696,orders!A:B,2,0),customers!A:F,6,0)</f>
        <v>Germany</v>
      </c>
      <c r="K696" t="str">
        <f>VLOOKUP(VLOOKUP(A696,orders!A:C,3,0),employees!A:B,2,0)</f>
        <v>Robert King</v>
      </c>
    </row>
    <row r="697" spans="1:11" x14ac:dyDescent="0.25">
      <c r="A697">
        <v>10513</v>
      </c>
      <c r="B697">
        <v>61</v>
      </c>
      <c r="C697">
        <v>28.5</v>
      </c>
      <c r="D697">
        <v>15</v>
      </c>
      <c r="E697">
        <v>0.2</v>
      </c>
      <c r="F697">
        <f t="shared" si="10"/>
        <v>342</v>
      </c>
      <c r="G697">
        <f>YEAR(VLOOKUP(A697,orders!A:D,4,0))</f>
        <v>2014</v>
      </c>
      <c r="H697">
        <f>MONTH(INDEX(orders!D:D,MATCH(A697, orders!A:A,0)))</f>
        <v>4</v>
      </c>
      <c r="I697" t="str">
        <f>VLOOKUP(VLOOKUP(B697,products!A:F,6,0),categories!A:B,2,0)</f>
        <v>Condiments</v>
      </c>
      <c r="J697" t="str">
        <f>VLOOKUP(VLOOKUP(A697,orders!A:B,2,0),customers!A:F,6,0)</f>
        <v>Germany</v>
      </c>
      <c r="K697" t="str">
        <f>VLOOKUP(VLOOKUP(A697,orders!A:C,3,0),employees!A:B,2,0)</f>
        <v>Robert King</v>
      </c>
    </row>
    <row r="698" spans="1:11" x14ac:dyDescent="0.25">
      <c r="A698">
        <v>10514</v>
      </c>
      <c r="B698">
        <v>20</v>
      </c>
      <c r="C698">
        <v>81</v>
      </c>
      <c r="D698">
        <v>39</v>
      </c>
      <c r="E698">
        <v>0</v>
      </c>
      <c r="F698">
        <f t="shared" si="10"/>
        <v>3159</v>
      </c>
      <c r="G698">
        <f>YEAR(VLOOKUP(A698,orders!A:D,4,0))</f>
        <v>2014</v>
      </c>
      <c r="H698">
        <f>MONTH(INDEX(orders!D:D,MATCH(A698, orders!A:A,0)))</f>
        <v>4</v>
      </c>
      <c r="I698" t="str">
        <f>VLOOKUP(VLOOKUP(B698,products!A:F,6,0),categories!A:B,2,0)</f>
        <v>Confections</v>
      </c>
      <c r="J698" t="str">
        <f>VLOOKUP(VLOOKUP(A698,orders!A:B,2,0),customers!A:F,6,0)</f>
        <v>Austria</v>
      </c>
      <c r="K698" t="str">
        <f>VLOOKUP(VLOOKUP(A698,orders!A:C,3,0),employees!A:B,2,0)</f>
        <v>Janet Leverling</v>
      </c>
    </row>
    <row r="699" spans="1:11" x14ac:dyDescent="0.25">
      <c r="A699">
        <v>10514</v>
      </c>
      <c r="B699">
        <v>28</v>
      </c>
      <c r="C699">
        <v>45.6</v>
      </c>
      <c r="D699">
        <v>35</v>
      </c>
      <c r="E699">
        <v>0</v>
      </c>
      <c r="F699">
        <f t="shared" si="10"/>
        <v>1596</v>
      </c>
      <c r="G699">
        <f>YEAR(VLOOKUP(A699,orders!A:D,4,0))</f>
        <v>2014</v>
      </c>
      <c r="H699">
        <f>MONTH(INDEX(orders!D:D,MATCH(A699, orders!A:A,0)))</f>
        <v>4</v>
      </c>
      <c r="I699" t="str">
        <f>VLOOKUP(VLOOKUP(B699,products!A:F,6,0),categories!A:B,2,0)</f>
        <v>Produce</v>
      </c>
      <c r="J699" t="str">
        <f>VLOOKUP(VLOOKUP(A699,orders!A:B,2,0),customers!A:F,6,0)</f>
        <v>Austria</v>
      </c>
      <c r="K699" t="str">
        <f>VLOOKUP(VLOOKUP(A699,orders!A:C,3,0),employees!A:B,2,0)</f>
        <v>Janet Leverling</v>
      </c>
    </row>
    <row r="700" spans="1:11" x14ac:dyDescent="0.25">
      <c r="A700">
        <v>10514</v>
      </c>
      <c r="B700">
        <v>56</v>
      </c>
      <c r="C700">
        <v>38</v>
      </c>
      <c r="D700">
        <v>70</v>
      </c>
      <c r="E700">
        <v>0</v>
      </c>
      <c r="F700">
        <f t="shared" si="10"/>
        <v>2660</v>
      </c>
      <c r="G700">
        <f>YEAR(VLOOKUP(A700,orders!A:D,4,0))</f>
        <v>2014</v>
      </c>
      <c r="H700">
        <f>MONTH(INDEX(orders!D:D,MATCH(A700, orders!A:A,0)))</f>
        <v>4</v>
      </c>
      <c r="I700" t="str">
        <f>VLOOKUP(VLOOKUP(B700,products!A:F,6,0),categories!A:B,2,0)</f>
        <v>Grains &amp; Cereals</v>
      </c>
      <c r="J700" t="str">
        <f>VLOOKUP(VLOOKUP(A700,orders!A:B,2,0),customers!A:F,6,0)</f>
        <v>Austria</v>
      </c>
      <c r="K700" t="str">
        <f>VLOOKUP(VLOOKUP(A700,orders!A:C,3,0),employees!A:B,2,0)</f>
        <v>Janet Leverling</v>
      </c>
    </row>
    <row r="701" spans="1:11" x14ac:dyDescent="0.25">
      <c r="A701">
        <v>10514</v>
      </c>
      <c r="B701">
        <v>65</v>
      </c>
      <c r="C701">
        <v>21.05</v>
      </c>
      <c r="D701">
        <v>39</v>
      </c>
      <c r="E701">
        <v>0</v>
      </c>
      <c r="F701">
        <f t="shared" si="10"/>
        <v>820.95</v>
      </c>
      <c r="G701">
        <f>YEAR(VLOOKUP(A701,orders!A:D,4,0))</f>
        <v>2014</v>
      </c>
      <c r="H701">
        <f>MONTH(INDEX(orders!D:D,MATCH(A701, orders!A:A,0)))</f>
        <v>4</v>
      </c>
      <c r="I701" t="str">
        <f>VLOOKUP(VLOOKUP(B701,products!A:F,6,0),categories!A:B,2,0)</f>
        <v>Condiments</v>
      </c>
      <c r="J701" t="str">
        <f>VLOOKUP(VLOOKUP(A701,orders!A:B,2,0),customers!A:F,6,0)</f>
        <v>Austria</v>
      </c>
      <c r="K701" t="str">
        <f>VLOOKUP(VLOOKUP(A701,orders!A:C,3,0),employees!A:B,2,0)</f>
        <v>Janet Leverling</v>
      </c>
    </row>
    <row r="702" spans="1:11" x14ac:dyDescent="0.25">
      <c r="A702">
        <v>10514</v>
      </c>
      <c r="B702">
        <v>75</v>
      </c>
      <c r="C702">
        <v>7.75</v>
      </c>
      <c r="D702">
        <v>50</v>
      </c>
      <c r="E702">
        <v>0</v>
      </c>
      <c r="F702">
        <f t="shared" si="10"/>
        <v>387.5</v>
      </c>
      <c r="G702">
        <f>YEAR(VLOOKUP(A702,orders!A:D,4,0))</f>
        <v>2014</v>
      </c>
      <c r="H702">
        <f>MONTH(INDEX(orders!D:D,MATCH(A702, orders!A:A,0)))</f>
        <v>4</v>
      </c>
      <c r="I702" t="str">
        <f>VLOOKUP(VLOOKUP(B702,products!A:F,6,0),categories!A:B,2,0)</f>
        <v>Beverages</v>
      </c>
      <c r="J702" t="str">
        <f>VLOOKUP(VLOOKUP(A702,orders!A:B,2,0),customers!A:F,6,0)</f>
        <v>Austria</v>
      </c>
      <c r="K702" t="str">
        <f>VLOOKUP(VLOOKUP(A702,orders!A:C,3,0),employees!A:B,2,0)</f>
        <v>Janet Leverling</v>
      </c>
    </row>
    <row r="703" spans="1:11" x14ac:dyDescent="0.25">
      <c r="A703">
        <v>10515</v>
      </c>
      <c r="B703">
        <v>9</v>
      </c>
      <c r="C703">
        <v>97</v>
      </c>
      <c r="D703">
        <v>16</v>
      </c>
      <c r="E703">
        <v>0.15</v>
      </c>
      <c r="F703">
        <f t="shared" si="10"/>
        <v>1319.2</v>
      </c>
      <c r="G703">
        <f>YEAR(VLOOKUP(A703,orders!A:D,4,0))</f>
        <v>2014</v>
      </c>
      <c r="H703">
        <f>MONTH(INDEX(orders!D:D,MATCH(A703, orders!A:A,0)))</f>
        <v>4</v>
      </c>
      <c r="I703" t="str">
        <f>VLOOKUP(VLOOKUP(B703,products!A:F,6,0),categories!A:B,2,0)</f>
        <v>Meat &amp; Poultry</v>
      </c>
      <c r="J703" t="str">
        <f>VLOOKUP(VLOOKUP(A703,orders!A:B,2,0),customers!A:F,6,0)</f>
        <v>Germany</v>
      </c>
      <c r="K703" t="str">
        <f>VLOOKUP(VLOOKUP(A703,orders!A:C,3,0),employees!A:B,2,0)</f>
        <v>Andrew Fuller</v>
      </c>
    </row>
    <row r="704" spans="1:11" x14ac:dyDescent="0.25">
      <c r="A704">
        <v>10515</v>
      </c>
      <c r="B704">
        <v>16</v>
      </c>
      <c r="C704">
        <v>17.45</v>
      </c>
      <c r="D704">
        <v>50</v>
      </c>
      <c r="E704">
        <v>0</v>
      </c>
      <c r="F704">
        <f t="shared" si="10"/>
        <v>872.5</v>
      </c>
      <c r="G704">
        <f>YEAR(VLOOKUP(A704,orders!A:D,4,0))</f>
        <v>2014</v>
      </c>
      <c r="H704">
        <f>MONTH(INDEX(orders!D:D,MATCH(A704, orders!A:A,0)))</f>
        <v>4</v>
      </c>
      <c r="I704" t="str">
        <f>VLOOKUP(VLOOKUP(B704,products!A:F,6,0),categories!A:B,2,0)</f>
        <v>Confections</v>
      </c>
      <c r="J704" t="str">
        <f>VLOOKUP(VLOOKUP(A704,orders!A:B,2,0),customers!A:F,6,0)</f>
        <v>Germany</v>
      </c>
      <c r="K704" t="str">
        <f>VLOOKUP(VLOOKUP(A704,orders!A:C,3,0),employees!A:B,2,0)</f>
        <v>Andrew Fuller</v>
      </c>
    </row>
    <row r="705" spans="1:11" x14ac:dyDescent="0.25">
      <c r="A705">
        <v>10515</v>
      </c>
      <c r="B705">
        <v>27</v>
      </c>
      <c r="C705">
        <v>43.9</v>
      </c>
      <c r="D705">
        <v>120</v>
      </c>
      <c r="E705">
        <v>0</v>
      </c>
      <c r="F705">
        <f t="shared" si="10"/>
        <v>5268</v>
      </c>
      <c r="G705">
        <f>YEAR(VLOOKUP(A705,orders!A:D,4,0))</f>
        <v>2014</v>
      </c>
      <c r="H705">
        <f>MONTH(INDEX(orders!D:D,MATCH(A705, orders!A:A,0)))</f>
        <v>4</v>
      </c>
      <c r="I705" t="str">
        <f>VLOOKUP(VLOOKUP(B705,products!A:F,6,0),categories!A:B,2,0)</f>
        <v>Confections</v>
      </c>
      <c r="J705" t="str">
        <f>VLOOKUP(VLOOKUP(A705,orders!A:B,2,0),customers!A:F,6,0)</f>
        <v>Germany</v>
      </c>
      <c r="K705" t="str">
        <f>VLOOKUP(VLOOKUP(A705,orders!A:C,3,0),employees!A:B,2,0)</f>
        <v>Andrew Fuller</v>
      </c>
    </row>
    <row r="706" spans="1:11" x14ac:dyDescent="0.25">
      <c r="A706">
        <v>10515</v>
      </c>
      <c r="B706">
        <v>33</v>
      </c>
      <c r="C706">
        <v>2.5</v>
      </c>
      <c r="D706">
        <v>16</v>
      </c>
      <c r="E706">
        <v>0.15</v>
      </c>
      <c r="F706">
        <f t="shared" si="10"/>
        <v>34</v>
      </c>
      <c r="G706">
        <f>YEAR(VLOOKUP(A706,orders!A:D,4,0))</f>
        <v>2014</v>
      </c>
      <c r="H706">
        <f>MONTH(INDEX(orders!D:D,MATCH(A706, orders!A:A,0)))</f>
        <v>4</v>
      </c>
      <c r="I706" t="str">
        <f>VLOOKUP(VLOOKUP(B706,products!A:F,6,0),categories!A:B,2,0)</f>
        <v>Dairy Products</v>
      </c>
      <c r="J706" t="str">
        <f>VLOOKUP(VLOOKUP(A706,orders!A:B,2,0),customers!A:F,6,0)</f>
        <v>Germany</v>
      </c>
      <c r="K706" t="str">
        <f>VLOOKUP(VLOOKUP(A706,orders!A:C,3,0),employees!A:B,2,0)</f>
        <v>Andrew Fuller</v>
      </c>
    </row>
    <row r="707" spans="1:11" x14ac:dyDescent="0.25">
      <c r="A707">
        <v>10515</v>
      </c>
      <c r="B707">
        <v>60</v>
      </c>
      <c r="C707">
        <v>34</v>
      </c>
      <c r="D707">
        <v>84</v>
      </c>
      <c r="E707">
        <v>0.15</v>
      </c>
      <c r="F707">
        <f t="shared" ref="F707:F770" si="11">C707*D707*(1-E707)</f>
        <v>2427.6</v>
      </c>
      <c r="G707">
        <f>YEAR(VLOOKUP(A707,orders!A:D,4,0))</f>
        <v>2014</v>
      </c>
      <c r="H707">
        <f>MONTH(INDEX(orders!D:D,MATCH(A707, orders!A:A,0)))</f>
        <v>4</v>
      </c>
      <c r="I707" t="str">
        <f>VLOOKUP(VLOOKUP(B707,products!A:F,6,0),categories!A:B,2,0)</f>
        <v>Dairy Products</v>
      </c>
      <c r="J707" t="str">
        <f>VLOOKUP(VLOOKUP(A707,orders!A:B,2,0),customers!A:F,6,0)</f>
        <v>Germany</v>
      </c>
      <c r="K707" t="str">
        <f>VLOOKUP(VLOOKUP(A707,orders!A:C,3,0),employees!A:B,2,0)</f>
        <v>Andrew Fuller</v>
      </c>
    </row>
    <row r="708" spans="1:11" x14ac:dyDescent="0.25">
      <c r="A708">
        <v>10516</v>
      </c>
      <c r="B708">
        <v>18</v>
      </c>
      <c r="C708">
        <v>62.5</v>
      </c>
      <c r="D708">
        <v>25</v>
      </c>
      <c r="E708">
        <v>0.1</v>
      </c>
      <c r="F708">
        <f t="shared" si="11"/>
        <v>1406.25</v>
      </c>
      <c r="G708">
        <f>YEAR(VLOOKUP(A708,orders!A:D,4,0))</f>
        <v>2014</v>
      </c>
      <c r="H708">
        <f>MONTH(INDEX(orders!D:D,MATCH(A708, orders!A:A,0)))</f>
        <v>4</v>
      </c>
      <c r="I708" t="str">
        <f>VLOOKUP(VLOOKUP(B708,products!A:F,6,0),categories!A:B,2,0)</f>
        <v>Seafood</v>
      </c>
      <c r="J708" t="str">
        <f>VLOOKUP(VLOOKUP(A708,orders!A:B,2,0),customers!A:F,6,0)</f>
        <v>Ireland</v>
      </c>
      <c r="K708" t="str">
        <f>VLOOKUP(VLOOKUP(A708,orders!A:C,3,0),employees!A:B,2,0)</f>
        <v>Andrew Fuller</v>
      </c>
    </row>
    <row r="709" spans="1:11" x14ac:dyDescent="0.25">
      <c r="A709">
        <v>10516</v>
      </c>
      <c r="B709">
        <v>41</v>
      </c>
      <c r="C709">
        <v>9.65</v>
      </c>
      <c r="D709">
        <v>80</v>
      </c>
      <c r="E709">
        <v>0.1</v>
      </c>
      <c r="F709">
        <f t="shared" si="11"/>
        <v>694.80000000000007</v>
      </c>
      <c r="G709">
        <f>YEAR(VLOOKUP(A709,orders!A:D,4,0))</f>
        <v>2014</v>
      </c>
      <c r="H709">
        <f>MONTH(INDEX(orders!D:D,MATCH(A709, orders!A:A,0)))</f>
        <v>4</v>
      </c>
      <c r="I709" t="str">
        <f>VLOOKUP(VLOOKUP(B709,products!A:F,6,0),categories!A:B,2,0)</f>
        <v>Seafood</v>
      </c>
      <c r="J709" t="str">
        <f>VLOOKUP(VLOOKUP(A709,orders!A:B,2,0),customers!A:F,6,0)</f>
        <v>Ireland</v>
      </c>
      <c r="K709" t="str">
        <f>VLOOKUP(VLOOKUP(A709,orders!A:C,3,0),employees!A:B,2,0)</f>
        <v>Andrew Fuller</v>
      </c>
    </row>
    <row r="710" spans="1:11" x14ac:dyDescent="0.25">
      <c r="A710">
        <v>10516</v>
      </c>
      <c r="B710">
        <v>42</v>
      </c>
      <c r="C710">
        <v>14</v>
      </c>
      <c r="D710">
        <v>20</v>
      </c>
      <c r="E710">
        <v>0</v>
      </c>
      <c r="F710">
        <f t="shared" si="11"/>
        <v>280</v>
      </c>
      <c r="G710">
        <f>YEAR(VLOOKUP(A710,orders!A:D,4,0))</f>
        <v>2014</v>
      </c>
      <c r="H710">
        <f>MONTH(INDEX(orders!D:D,MATCH(A710, orders!A:A,0)))</f>
        <v>4</v>
      </c>
      <c r="I710" t="str">
        <f>VLOOKUP(VLOOKUP(B710,products!A:F,6,0),categories!A:B,2,0)</f>
        <v>Grains &amp; Cereals</v>
      </c>
      <c r="J710" t="str">
        <f>VLOOKUP(VLOOKUP(A710,orders!A:B,2,0),customers!A:F,6,0)</f>
        <v>Ireland</v>
      </c>
      <c r="K710" t="str">
        <f>VLOOKUP(VLOOKUP(A710,orders!A:C,3,0),employees!A:B,2,0)</f>
        <v>Andrew Fuller</v>
      </c>
    </row>
    <row r="711" spans="1:11" x14ac:dyDescent="0.25">
      <c r="A711">
        <v>10517</v>
      </c>
      <c r="B711">
        <v>52</v>
      </c>
      <c r="C711">
        <v>7</v>
      </c>
      <c r="D711">
        <v>6</v>
      </c>
      <c r="E711">
        <v>0</v>
      </c>
      <c r="F711">
        <f t="shared" si="11"/>
        <v>42</v>
      </c>
      <c r="G711">
        <f>YEAR(VLOOKUP(A711,orders!A:D,4,0))</f>
        <v>2014</v>
      </c>
      <c r="H711">
        <f>MONTH(INDEX(orders!D:D,MATCH(A711, orders!A:A,0)))</f>
        <v>4</v>
      </c>
      <c r="I711" t="str">
        <f>VLOOKUP(VLOOKUP(B711,products!A:F,6,0),categories!A:B,2,0)</f>
        <v>Grains &amp; Cereals</v>
      </c>
      <c r="J711" t="str">
        <f>VLOOKUP(VLOOKUP(A711,orders!A:B,2,0),customers!A:F,6,0)</f>
        <v>UK</v>
      </c>
      <c r="K711" t="str">
        <f>VLOOKUP(VLOOKUP(A711,orders!A:C,3,0),employees!A:B,2,0)</f>
        <v>Janet Leverling</v>
      </c>
    </row>
    <row r="712" spans="1:11" x14ac:dyDescent="0.25">
      <c r="A712">
        <v>10517</v>
      </c>
      <c r="B712">
        <v>59</v>
      </c>
      <c r="C712">
        <v>55</v>
      </c>
      <c r="D712">
        <v>4</v>
      </c>
      <c r="E712">
        <v>0</v>
      </c>
      <c r="F712">
        <f t="shared" si="11"/>
        <v>220</v>
      </c>
      <c r="G712">
        <f>YEAR(VLOOKUP(A712,orders!A:D,4,0))</f>
        <v>2014</v>
      </c>
      <c r="H712">
        <f>MONTH(INDEX(orders!D:D,MATCH(A712, orders!A:A,0)))</f>
        <v>4</v>
      </c>
      <c r="I712" t="str">
        <f>VLOOKUP(VLOOKUP(B712,products!A:F,6,0),categories!A:B,2,0)</f>
        <v>Dairy Products</v>
      </c>
      <c r="J712" t="str">
        <f>VLOOKUP(VLOOKUP(A712,orders!A:B,2,0),customers!A:F,6,0)</f>
        <v>UK</v>
      </c>
      <c r="K712" t="str">
        <f>VLOOKUP(VLOOKUP(A712,orders!A:C,3,0),employees!A:B,2,0)</f>
        <v>Janet Leverling</v>
      </c>
    </row>
    <row r="713" spans="1:11" x14ac:dyDescent="0.25">
      <c r="A713">
        <v>10517</v>
      </c>
      <c r="B713">
        <v>70</v>
      </c>
      <c r="C713">
        <v>15</v>
      </c>
      <c r="D713">
        <v>6</v>
      </c>
      <c r="E713">
        <v>0</v>
      </c>
      <c r="F713">
        <f t="shared" si="11"/>
        <v>90</v>
      </c>
      <c r="G713">
        <f>YEAR(VLOOKUP(A713,orders!A:D,4,0))</f>
        <v>2014</v>
      </c>
      <c r="H713">
        <f>MONTH(INDEX(orders!D:D,MATCH(A713, orders!A:A,0)))</f>
        <v>4</v>
      </c>
      <c r="I713" t="str">
        <f>VLOOKUP(VLOOKUP(B713,products!A:F,6,0),categories!A:B,2,0)</f>
        <v>Beverages</v>
      </c>
      <c r="J713" t="str">
        <f>VLOOKUP(VLOOKUP(A713,orders!A:B,2,0),customers!A:F,6,0)</f>
        <v>UK</v>
      </c>
      <c r="K713" t="str">
        <f>VLOOKUP(VLOOKUP(A713,orders!A:C,3,0),employees!A:B,2,0)</f>
        <v>Janet Leverling</v>
      </c>
    </row>
    <row r="714" spans="1:11" x14ac:dyDescent="0.25">
      <c r="A714">
        <v>10518</v>
      </c>
      <c r="B714">
        <v>24</v>
      </c>
      <c r="C714">
        <v>4.5</v>
      </c>
      <c r="D714">
        <v>5</v>
      </c>
      <c r="E714">
        <v>0</v>
      </c>
      <c r="F714">
        <f t="shared" si="11"/>
        <v>22.5</v>
      </c>
      <c r="G714">
        <f>YEAR(VLOOKUP(A714,orders!A:D,4,0))</f>
        <v>2014</v>
      </c>
      <c r="H714">
        <f>MONTH(INDEX(orders!D:D,MATCH(A714, orders!A:A,0)))</f>
        <v>4</v>
      </c>
      <c r="I714" t="str">
        <f>VLOOKUP(VLOOKUP(B714,products!A:F,6,0),categories!A:B,2,0)</f>
        <v>Beverages</v>
      </c>
      <c r="J714" t="str">
        <f>VLOOKUP(VLOOKUP(A714,orders!A:B,2,0),customers!A:F,6,0)</f>
        <v>Mexico</v>
      </c>
      <c r="K714" t="str">
        <f>VLOOKUP(VLOOKUP(A714,orders!A:C,3,0),employees!A:B,2,0)</f>
        <v>Margaret Peacock</v>
      </c>
    </row>
    <row r="715" spans="1:11" x14ac:dyDescent="0.25">
      <c r="A715">
        <v>10518</v>
      </c>
      <c r="B715">
        <v>38</v>
      </c>
      <c r="C715">
        <v>263.5</v>
      </c>
      <c r="D715">
        <v>15</v>
      </c>
      <c r="E715">
        <v>0</v>
      </c>
      <c r="F715">
        <f t="shared" si="11"/>
        <v>3952.5</v>
      </c>
      <c r="G715">
        <f>YEAR(VLOOKUP(A715,orders!A:D,4,0))</f>
        <v>2014</v>
      </c>
      <c r="H715">
        <f>MONTH(INDEX(orders!D:D,MATCH(A715, orders!A:A,0)))</f>
        <v>4</v>
      </c>
      <c r="I715" t="str">
        <f>VLOOKUP(VLOOKUP(B715,products!A:F,6,0),categories!A:B,2,0)</f>
        <v>Beverages</v>
      </c>
      <c r="J715" t="str">
        <f>VLOOKUP(VLOOKUP(A715,orders!A:B,2,0),customers!A:F,6,0)</f>
        <v>Mexico</v>
      </c>
      <c r="K715" t="str">
        <f>VLOOKUP(VLOOKUP(A715,orders!A:C,3,0),employees!A:B,2,0)</f>
        <v>Margaret Peacock</v>
      </c>
    </row>
    <row r="716" spans="1:11" x14ac:dyDescent="0.25">
      <c r="A716">
        <v>10518</v>
      </c>
      <c r="B716">
        <v>44</v>
      </c>
      <c r="C716">
        <v>19.45</v>
      </c>
      <c r="D716">
        <v>9</v>
      </c>
      <c r="E716">
        <v>0</v>
      </c>
      <c r="F716">
        <f t="shared" si="11"/>
        <v>175.04999999999998</v>
      </c>
      <c r="G716">
        <f>YEAR(VLOOKUP(A716,orders!A:D,4,0))</f>
        <v>2014</v>
      </c>
      <c r="H716">
        <f>MONTH(INDEX(orders!D:D,MATCH(A716, orders!A:A,0)))</f>
        <v>4</v>
      </c>
      <c r="I716" t="str">
        <f>VLOOKUP(VLOOKUP(B716,products!A:F,6,0),categories!A:B,2,0)</f>
        <v>Condiments</v>
      </c>
      <c r="J716" t="str">
        <f>VLOOKUP(VLOOKUP(A716,orders!A:B,2,0),customers!A:F,6,0)</f>
        <v>Mexico</v>
      </c>
      <c r="K716" t="str">
        <f>VLOOKUP(VLOOKUP(A716,orders!A:C,3,0),employees!A:B,2,0)</f>
        <v>Margaret Peacock</v>
      </c>
    </row>
    <row r="717" spans="1:11" x14ac:dyDescent="0.25">
      <c r="A717">
        <v>10519</v>
      </c>
      <c r="B717">
        <v>10</v>
      </c>
      <c r="C717">
        <v>31</v>
      </c>
      <c r="D717">
        <v>16</v>
      </c>
      <c r="E717">
        <v>0.05</v>
      </c>
      <c r="F717">
        <f t="shared" si="11"/>
        <v>471.2</v>
      </c>
      <c r="G717">
        <f>YEAR(VLOOKUP(A717,orders!A:D,4,0))</f>
        <v>2014</v>
      </c>
      <c r="H717">
        <f>MONTH(INDEX(orders!D:D,MATCH(A717, orders!A:A,0)))</f>
        <v>4</v>
      </c>
      <c r="I717" t="str">
        <f>VLOOKUP(VLOOKUP(B717,products!A:F,6,0),categories!A:B,2,0)</f>
        <v>Seafood</v>
      </c>
      <c r="J717" t="str">
        <f>VLOOKUP(VLOOKUP(A717,orders!A:B,2,0),customers!A:F,6,0)</f>
        <v>Switzerland</v>
      </c>
      <c r="K717" t="str">
        <f>VLOOKUP(VLOOKUP(A717,orders!A:C,3,0),employees!A:B,2,0)</f>
        <v>Michael Suyama</v>
      </c>
    </row>
    <row r="718" spans="1:11" x14ac:dyDescent="0.25">
      <c r="A718">
        <v>10519</v>
      </c>
      <c r="B718">
        <v>56</v>
      </c>
      <c r="C718">
        <v>38</v>
      </c>
      <c r="D718">
        <v>40</v>
      </c>
      <c r="E718">
        <v>0</v>
      </c>
      <c r="F718">
        <f t="shared" si="11"/>
        <v>1520</v>
      </c>
      <c r="G718">
        <f>YEAR(VLOOKUP(A718,orders!A:D,4,0))</f>
        <v>2014</v>
      </c>
      <c r="H718">
        <f>MONTH(INDEX(orders!D:D,MATCH(A718, orders!A:A,0)))</f>
        <v>4</v>
      </c>
      <c r="I718" t="str">
        <f>VLOOKUP(VLOOKUP(B718,products!A:F,6,0),categories!A:B,2,0)</f>
        <v>Grains &amp; Cereals</v>
      </c>
      <c r="J718" t="str">
        <f>VLOOKUP(VLOOKUP(A718,orders!A:B,2,0),customers!A:F,6,0)</f>
        <v>Switzerland</v>
      </c>
      <c r="K718" t="str">
        <f>VLOOKUP(VLOOKUP(A718,orders!A:C,3,0),employees!A:B,2,0)</f>
        <v>Michael Suyama</v>
      </c>
    </row>
    <row r="719" spans="1:11" x14ac:dyDescent="0.25">
      <c r="A719">
        <v>10519</v>
      </c>
      <c r="B719">
        <v>60</v>
      </c>
      <c r="C719">
        <v>34</v>
      </c>
      <c r="D719">
        <v>10</v>
      </c>
      <c r="E719">
        <v>0.05</v>
      </c>
      <c r="F719">
        <f t="shared" si="11"/>
        <v>323</v>
      </c>
      <c r="G719">
        <f>YEAR(VLOOKUP(A719,orders!A:D,4,0))</f>
        <v>2014</v>
      </c>
      <c r="H719">
        <f>MONTH(INDEX(orders!D:D,MATCH(A719, orders!A:A,0)))</f>
        <v>4</v>
      </c>
      <c r="I719" t="str">
        <f>VLOOKUP(VLOOKUP(B719,products!A:F,6,0),categories!A:B,2,0)</f>
        <v>Dairy Products</v>
      </c>
      <c r="J719" t="str">
        <f>VLOOKUP(VLOOKUP(A719,orders!A:B,2,0),customers!A:F,6,0)</f>
        <v>Switzerland</v>
      </c>
      <c r="K719" t="str">
        <f>VLOOKUP(VLOOKUP(A719,orders!A:C,3,0),employees!A:B,2,0)</f>
        <v>Michael Suyama</v>
      </c>
    </row>
    <row r="720" spans="1:11" x14ac:dyDescent="0.25">
      <c r="A720">
        <v>10520</v>
      </c>
      <c r="B720">
        <v>24</v>
      </c>
      <c r="C720">
        <v>4.5</v>
      </c>
      <c r="D720">
        <v>8</v>
      </c>
      <c r="E720">
        <v>0</v>
      </c>
      <c r="F720">
        <f t="shared" si="11"/>
        <v>36</v>
      </c>
      <c r="G720">
        <f>YEAR(VLOOKUP(A720,orders!A:D,4,0))</f>
        <v>2014</v>
      </c>
      <c r="H720">
        <f>MONTH(INDEX(orders!D:D,MATCH(A720, orders!A:A,0)))</f>
        <v>4</v>
      </c>
      <c r="I720" t="str">
        <f>VLOOKUP(VLOOKUP(B720,products!A:F,6,0),categories!A:B,2,0)</f>
        <v>Beverages</v>
      </c>
      <c r="J720" t="str">
        <f>VLOOKUP(VLOOKUP(A720,orders!A:B,2,0),customers!A:F,6,0)</f>
        <v>Norway</v>
      </c>
      <c r="K720" t="str">
        <f>VLOOKUP(VLOOKUP(A720,orders!A:C,3,0),employees!A:B,2,0)</f>
        <v>Robert King</v>
      </c>
    </row>
    <row r="721" spans="1:11" x14ac:dyDescent="0.25">
      <c r="A721">
        <v>10520</v>
      </c>
      <c r="B721">
        <v>53</v>
      </c>
      <c r="C721">
        <v>32.799999999999997</v>
      </c>
      <c r="D721">
        <v>5</v>
      </c>
      <c r="E721">
        <v>0</v>
      </c>
      <c r="F721">
        <f t="shared" si="11"/>
        <v>164</v>
      </c>
      <c r="G721">
        <f>YEAR(VLOOKUP(A721,orders!A:D,4,0))</f>
        <v>2014</v>
      </c>
      <c r="H721">
        <f>MONTH(INDEX(orders!D:D,MATCH(A721, orders!A:A,0)))</f>
        <v>4</v>
      </c>
      <c r="I721" t="str">
        <f>VLOOKUP(VLOOKUP(B721,products!A:F,6,0),categories!A:B,2,0)</f>
        <v>Meat &amp; Poultry</v>
      </c>
      <c r="J721" t="str">
        <f>VLOOKUP(VLOOKUP(A721,orders!A:B,2,0),customers!A:F,6,0)</f>
        <v>Norway</v>
      </c>
      <c r="K721" t="str">
        <f>VLOOKUP(VLOOKUP(A721,orders!A:C,3,0),employees!A:B,2,0)</f>
        <v>Robert King</v>
      </c>
    </row>
    <row r="722" spans="1:11" x14ac:dyDescent="0.25">
      <c r="A722">
        <v>10521</v>
      </c>
      <c r="B722">
        <v>35</v>
      </c>
      <c r="C722">
        <v>18</v>
      </c>
      <c r="D722">
        <v>3</v>
      </c>
      <c r="E722">
        <v>0</v>
      </c>
      <c r="F722">
        <f t="shared" si="11"/>
        <v>54</v>
      </c>
      <c r="G722">
        <f>YEAR(VLOOKUP(A722,orders!A:D,4,0))</f>
        <v>2014</v>
      </c>
      <c r="H722">
        <f>MONTH(INDEX(orders!D:D,MATCH(A722, orders!A:A,0)))</f>
        <v>4</v>
      </c>
      <c r="I722" t="str">
        <f>VLOOKUP(VLOOKUP(B722,products!A:F,6,0),categories!A:B,2,0)</f>
        <v>Beverages</v>
      </c>
      <c r="J722" t="str">
        <f>VLOOKUP(VLOOKUP(A722,orders!A:B,2,0),customers!A:F,6,0)</f>
        <v>Argentina</v>
      </c>
      <c r="K722" t="str">
        <f>VLOOKUP(VLOOKUP(A722,orders!A:C,3,0),employees!A:B,2,0)</f>
        <v>Laura Callahan</v>
      </c>
    </row>
    <row r="723" spans="1:11" x14ac:dyDescent="0.25">
      <c r="A723">
        <v>10521</v>
      </c>
      <c r="B723">
        <v>41</v>
      </c>
      <c r="C723">
        <v>9.65</v>
      </c>
      <c r="D723">
        <v>10</v>
      </c>
      <c r="E723">
        <v>0</v>
      </c>
      <c r="F723">
        <f t="shared" si="11"/>
        <v>96.5</v>
      </c>
      <c r="G723">
        <f>YEAR(VLOOKUP(A723,orders!A:D,4,0))</f>
        <v>2014</v>
      </c>
      <c r="H723">
        <f>MONTH(INDEX(orders!D:D,MATCH(A723, orders!A:A,0)))</f>
        <v>4</v>
      </c>
      <c r="I723" t="str">
        <f>VLOOKUP(VLOOKUP(B723,products!A:F,6,0),categories!A:B,2,0)</f>
        <v>Seafood</v>
      </c>
      <c r="J723" t="str">
        <f>VLOOKUP(VLOOKUP(A723,orders!A:B,2,0),customers!A:F,6,0)</f>
        <v>Argentina</v>
      </c>
      <c r="K723" t="str">
        <f>VLOOKUP(VLOOKUP(A723,orders!A:C,3,0),employees!A:B,2,0)</f>
        <v>Laura Callahan</v>
      </c>
    </row>
    <row r="724" spans="1:11" x14ac:dyDescent="0.25">
      <c r="A724">
        <v>10521</v>
      </c>
      <c r="B724">
        <v>68</v>
      </c>
      <c r="C724">
        <v>12.5</v>
      </c>
      <c r="D724">
        <v>6</v>
      </c>
      <c r="E724">
        <v>0</v>
      </c>
      <c r="F724">
        <f t="shared" si="11"/>
        <v>75</v>
      </c>
      <c r="G724">
        <f>YEAR(VLOOKUP(A724,orders!A:D,4,0))</f>
        <v>2014</v>
      </c>
      <c r="H724">
        <f>MONTH(INDEX(orders!D:D,MATCH(A724, orders!A:A,0)))</f>
        <v>4</v>
      </c>
      <c r="I724" t="str">
        <f>VLOOKUP(VLOOKUP(B724,products!A:F,6,0),categories!A:B,2,0)</f>
        <v>Confections</v>
      </c>
      <c r="J724" t="str">
        <f>VLOOKUP(VLOOKUP(A724,orders!A:B,2,0),customers!A:F,6,0)</f>
        <v>Argentina</v>
      </c>
      <c r="K724" t="str">
        <f>VLOOKUP(VLOOKUP(A724,orders!A:C,3,0),employees!A:B,2,0)</f>
        <v>Laura Callahan</v>
      </c>
    </row>
    <row r="725" spans="1:11" x14ac:dyDescent="0.25">
      <c r="A725">
        <v>10522</v>
      </c>
      <c r="B725">
        <v>1</v>
      </c>
      <c r="C725">
        <v>18</v>
      </c>
      <c r="D725">
        <v>40</v>
      </c>
      <c r="E725">
        <v>0.2</v>
      </c>
      <c r="F725">
        <f t="shared" si="11"/>
        <v>576</v>
      </c>
      <c r="G725">
        <f>YEAR(VLOOKUP(A725,orders!A:D,4,0))</f>
        <v>2014</v>
      </c>
      <c r="H725">
        <f>MONTH(INDEX(orders!D:D,MATCH(A725, orders!A:A,0)))</f>
        <v>4</v>
      </c>
      <c r="I725" t="str">
        <f>VLOOKUP(VLOOKUP(B725,products!A:F,6,0),categories!A:B,2,0)</f>
        <v>Beverages</v>
      </c>
      <c r="J725" t="str">
        <f>VLOOKUP(VLOOKUP(A725,orders!A:B,2,0),customers!A:F,6,0)</f>
        <v>Germany</v>
      </c>
      <c r="K725" t="str">
        <f>VLOOKUP(VLOOKUP(A725,orders!A:C,3,0),employees!A:B,2,0)</f>
        <v>Margaret Peacock</v>
      </c>
    </row>
    <row r="726" spans="1:11" x14ac:dyDescent="0.25">
      <c r="A726">
        <v>10522</v>
      </c>
      <c r="B726">
        <v>8</v>
      </c>
      <c r="C726">
        <v>40</v>
      </c>
      <c r="D726">
        <v>24</v>
      </c>
      <c r="E726">
        <v>0</v>
      </c>
      <c r="F726">
        <f t="shared" si="11"/>
        <v>960</v>
      </c>
      <c r="G726">
        <f>YEAR(VLOOKUP(A726,orders!A:D,4,0))</f>
        <v>2014</v>
      </c>
      <c r="H726">
        <f>MONTH(INDEX(orders!D:D,MATCH(A726, orders!A:A,0)))</f>
        <v>4</v>
      </c>
      <c r="I726" t="str">
        <f>VLOOKUP(VLOOKUP(B726,products!A:F,6,0),categories!A:B,2,0)</f>
        <v>Condiments</v>
      </c>
      <c r="J726" t="str">
        <f>VLOOKUP(VLOOKUP(A726,orders!A:B,2,0),customers!A:F,6,0)</f>
        <v>Germany</v>
      </c>
      <c r="K726" t="str">
        <f>VLOOKUP(VLOOKUP(A726,orders!A:C,3,0),employees!A:B,2,0)</f>
        <v>Margaret Peacock</v>
      </c>
    </row>
    <row r="727" spans="1:11" x14ac:dyDescent="0.25">
      <c r="A727">
        <v>10522</v>
      </c>
      <c r="B727">
        <v>30</v>
      </c>
      <c r="C727">
        <v>25.89</v>
      </c>
      <c r="D727">
        <v>20</v>
      </c>
      <c r="E727">
        <v>0.2</v>
      </c>
      <c r="F727">
        <f t="shared" si="11"/>
        <v>414.24</v>
      </c>
      <c r="G727">
        <f>YEAR(VLOOKUP(A727,orders!A:D,4,0))</f>
        <v>2014</v>
      </c>
      <c r="H727">
        <f>MONTH(INDEX(orders!D:D,MATCH(A727, orders!A:A,0)))</f>
        <v>4</v>
      </c>
      <c r="I727" t="str">
        <f>VLOOKUP(VLOOKUP(B727,products!A:F,6,0),categories!A:B,2,0)</f>
        <v>Seafood</v>
      </c>
      <c r="J727" t="str">
        <f>VLOOKUP(VLOOKUP(A727,orders!A:B,2,0),customers!A:F,6,0)</f>
        <v>Germany</v>
      </c>
      <c r="K727" t="str">
        <f>VLOOKUP(VLOOKUP(A727,orders!A:C,3,0),employees!A:B,2,0)</f>
        <v>Margaret Peacock</v>
      </c>
    </row>
    <row r="728" spans="1:11" x14ac:dyDescent="0.25">
      <c r="A728">
        <v>10522</v>
      </c>
      <c r="B728">
        <v>40</v>
      </c>
      <c r="C728">
        <v>18.399999999999999</v>
      </c>
      <c r="D728">
        <v>25</v>
      </c>
      <c r="E728">
        <v>0.2</v>
      </c>
      <c r="F728">
        <f t="shared" si="11"/>
        <v>368</v>
      </c>
      <c r="G728">
        <f>YEAR(VLOOKUP(A728,orders!A:D,4,0))</f>
        <v>2014</v>
      </c>
      <c r="H728">
        <f>MONTH(INDEX(orders!D:D,MATCH(A728, orders!A:A,0)))</f>
        <v>4</v>
      </c>
      <c r="I728" t="str">
        <f>VLOOKUP(VLOOKUP(B728,products!A:F,6,0),categories!A:B,2,0)</f>
        <v>Seafood</v>
      </c>
      <c r="J728" t="str">
        <f>VLOOKUP(VLOOKUP(A728,orders!A:B,2,0),customers!A:F,6,0)</f>
        <v>Germany</v>
      </c>
      <c r="K728" t="str">
        <f>VLOOKUP(VLOOKUP(A728,orders!A:C,3,0),employees!A:B,2,0)</f>
        <v>Margaret Peacock</v>
      </c>
    </row>
    <row r="729" spans="1:11" x14ac:dyDescent="0.25">
      <c r="A729">
        <v>10523</v>
      </c>
      <c r="B729">
        <v>17</v>
      </c>
      <c r="C729">
        <v>39</v>
      </c>
      <c r="D729">
        <v>25</v>
      </c>
      <c r="E729">
        <v>0.1</v>
      </c>
      <c r="F729">
        <f t="shared" si="11"/>
        <v>877.5</v>
      </c>
      <c r="G729">
        <f>YEAR(VLOOKUP(A729,orders!A:D,4,0))</f>
        <v>2014</v>
      </c>
      <c r="H729">
        <f>MONTH(INDEX(orders!D:D,MATCH(A729, orders!A:A,0)))</f>
        <v>5</v>
      </c>
      <c r="I729" t="str">
        <f>VLOOKUP(VLOOKUP(B729,products!A:F,6,0),categories!A:B,2,0)</f>
        <v>Meat &amp; Poultry</v>
      </c>
      <c r="J729" t="str">
        <f>VLOOKUP(VLOOKUP(A729,orders!A:B,2,0),customers!A:F,6,0)</f>
        <v>UK</v>
      </c>
      <c r="K729" t="str">
        <f>VLOOKUP(VLOOKUP(A729,orders!A:C,3,0),employees!A:B,2,0)</f>
        <v>Robert King</v>
      </c>
    </row>
    <row r="730" spans="1:11" x14ac:dyDescent="0.25">
      <c r="A730">
        <v>10523</v>
      </c>
      <c r="B730">
        <v>20</v>
      </c>
      <c r="C730">
        <v>81</v>
      </c>
      <c r="D730">
        <v>15</v>
      </c>
      <c r="E730">
        <v>0.1</v>
      </c>
      <c r="F730">
        <f t="shared" si="11"/>
        <v>1093.5</v>
      </c>
      <c r="G730">
        <f>YEAR(VLOOKUP(A730,orders!A:D,4,0))</f>
        <v>2014</v>
      </c>
      <c r="H730">
        <f>MONTH(INDEX(orders!D:D,MATCH(A730, orders!A:A,0)))</f>
        <v>5</v>
      </c>
      <c r="I730" t="str">
        <f>VLOOKUP(VLOOKUP(B730,products!A:F,6,0),categories!A:B,2,0)</f>
        <v>Confections</v>
      </c>
      <c r="J730" t="str">
        <f>VLOOKUP(VLOOKUP(A730,orders!A:B,2,0),customers!A:F,6,0)</f>
        <v>UK</v>
      </c>
      <c r="K730" t="str">
        <f>VLOOKUP(VLOOKUP(A730,orders!A:C,3,0),employees!A:B,2,0)</f>
        <v>Robert King</v>
      </c>
    </row>
    <row r="731" spans="1:11" x14ac:dyDescent="0.25">
      <c r="A731">
        <v>10523</v>
      </c>
      <c r="B731">
        <v>37</v>
      </c>
      <c r="C731">
        <v>26</v>
      </c>
      <c r="D731">
        <v>18</v>
      </c>
      <c r="E731">
        <v>0.1</v>
      </c>
      <c r="F731">
        <f t="shared" si="11"/>
        <v>421.2</v>
      </c>
      <c r="G731">
        <f>YEAR(VLOOKUP(A731,orders!A:D,4,0))</f>
        <v>2014</v>
      </c>
      <c r="H731">
        <f>MONTH(INDEX(orders!D:D,MATCH(A731, orders!A:A,0)))</f>
        <v>5</v>
      </c>
      <c r="I731" t="str">
        <f>VLOOKUP(VLOOKUP(B731,products!A:F,6,0),categories!A:B,2,0)</f>
        <v>Seafood</v>
      </c>
      <c r="J731" t="str">
        <f>VLOOKUP(VLOOKUP(A731,orders!A:B,2,0),customers!A:F,6,0)</f>
        <v>UK</v>
      </c>
      <c r="K731" t="str">
        <f>VLOOKUP(VLOOKUP(A731,orders!A:C,3,0),employees!A:B,2,0)</f>
        <v>Robert King</v>
      </c>
    </row>
    <row r="732" spans="1:11" x14ac:dyDescent="0.25">
      <c r="A732">
        <v>10523</v>
      </c>
      <c r="B732">
        <v>41</v>
      </c>
      <c r="C732">
        <v>9.65</v>
      </c>
      <c r="D732">
        <v>6</v>
      </c>
      <c r="E732">
        <v>0.1</v>
      </c>
      <c r="F732">
        <f t="shared" si="11"/>
        <v>52.110000000000007</v>
      </c>
      <c r="G732">
        <f>YEAR(VLOOKUP(A732,orders!A:D,4,0))</f>
        <v>2014</v>
      </c>
      <c r="H732">
        <f>MONTH(INDEX(orders!D:D,MATCH(A732, orders!A:A,0)))</f>
        <v>5</v>
      </c>
      <c r="I732" t="str">
        <f>VLOOKUP(VLOOKUP(B732,products!A:F,6,0),categories!A:B,2,0)</f>
        <v>Seafood</v>
      </c>
      <c r="J732" t="str">
        <f>VLOOKUP(VLOOKUP(A732,orders!A:B,2,0),customers!A:F,6,0)</f>
        <v>UK</v>
      </c>
      <c r="K732" t="str">
        <f>VLOOKUP(VLOOKUP(A732,orders!A:C,3,0),employees!A:B,2,0)</f>
        <v>Robert King</v>
      </c>
    </row>
    <row r="733" spans="1:11" x14ac:dyDescent="0.25">
      <c r="A733">
        <v>10524</v>
      </c>
      <c r="B733">
        <v>10</v>
      </c>
      <c r="C733">
        <v>31</v>
      </c>
      <c r="D733">
        <v>2</v>
      </c>
      <c r="E733">
        <v>0</v>
      </c>
      <c r="F733">
        <f t="shared" si="11"/>
        <v>62</v>
      </c>
      <c r="G733">
        <f>YEAR(VLOOKUP(A733,orders!A:D,4,0))</f>
        <v>2014</v>
      </c>
      <c r="H733">
        <f>MONTH(INDEX(orders!D:D,MATCH(A733, orders!A:A,0)))</f>
        <v>5</v>
      </c>
      <c r="I733" t="str">
        <f>VLOOKUP(VLOOKUP(B733,products!A:F,6,0),categories!A:B,2,0)</f>
        <v>Seafood</v>
      </c>
      <c r="J733" t="str">
        <f>VLOOKUP(VLOOKUP(A733,orders!A:B,2,0),customers!A:F,6,0)</f>
        <v>Sweden</v>
      </c>
      <c r="K733" t="str">
        <f>VLOOKUP(VLOOKUP(A733,orders!A:C,3,0),employees!A:B,2,0)</f>
        <v>Nancy Davolio</v>
      </c>
    </row>
    <row r="734" spans="1:11" x14ac:dyDescent="0.25">
      <c r="A734">
        <v>10524</v>
      </c>
      <c r="B734">
        <v>30</v>
      </c>
      <c r="C734">
        <v>25.89</v>
      </c>
      <c r="D734">
        <v>10</v>
      </c>
      <c r="E734">
        <v>0</v>
      </c>
      <c r="F734">
        <f t="shared" si="11"/>
        <v>258.89999999999998</v>
      </c>
      <c r="G734">
        <f>YEAR(VLOOKUP(A734,orders!A:D,4,0))</f>
        <v>2014</v>
      </c>
      <c r="H734">
        <f>MONTH(INDEX(orders!D:D,MATCH(A734, orders!A:A,0)))</f>
        <v>5</v>
      </c>
      <c r="I734" t="str">
        <f>VLOOKUP(VLOOKUP(B734,products!A:F,6,0),categories!A:B,2,0)</f>
        <v>Seafood</v>
      </c>
      <c r="J734" t="str">
        <f>VLOOKUP(VLOOKUP(A734,orders!A:B,2,0),customers!A:F,6,0)</f>
        <v>Sweden</v>
      </c>
      <c r="K734" t="str">
        <f>VLOOKUP(VLOOKUP(A734,orders!A:C,3,0),employees!A:B,2,0)</f>
        <v>Nancy Davolio</v>
      </c>
    </row>
    <row r="735" spans="1:11" x14ac:dyDescent="0.25">
      <c r="A735">
        <v>10524</v>
      </c>
      <c r="B735">
        <v>43</v>
      </c>
      <c r="C735">
        <v>46</v>
      </c>
      <c r="D735">
        <v>60</v>
      </c>
      <c r="E735">
        <v>0</v>
      </c>
      <c r="F735">
        <f t="shared" si="11"/>
        <v>2760</v>
      </c>
      <c r="G735">
        <f>YEAR(VLOOKUP(A735,orders!A:D,4,0))</f>
        <v>2014</v>
      </c>
      <c r="H735">
        <f>MONTH(INDEX(orders!D:D,MATCH(A735, orders!A:A,0)))</f>
        <v>5</v>
      </c>
      <c r="I735" t="str">
        <f>VLOOKUP(VLOOKUP(B735,products!A:F,6,0),categories!A:B,2,0)</f>
        <v>Beverages</v>
      </c>
      <c r="J735" t="str">
        <f>VLOOKUP(VLOOKUP(A735,orders!A:B,2,0),customers!A:F,6,0)</f>
        <v>Sweden</v>
      </c>
      <c r="K735" t="str">
        <f>VLOOKUP(VLOOKUP(A735,orders!A:C,3,0),employees!A:B,2,0)</f>
        <v>Nancy Davolio</v>
      </c>
    </row>
    <row r="736" spans="1:11" x14ac:dyDescent="0.25">
      <c r="A736">
        <v>10524</v>
      </c>
      <c r="B736">
        <v>54</v>
      </c>
      <c r="C736">
        <v>7.45</v>
      </c>
      <c r="D736">
        <v>15</v>
      </c>
      <c r="E736">
        <v>0</v>
      </c>
      <c r="F736">
        <f t="shared" si="11"/>
        <v>111.75</v>
      </c>
      <c r="G736">
        <f>YEAR(VLOOKUP(A736,orders!A:D,4,0))</f>
        <v>2014</v>
      </c>
      <c r="H736">
        <f>MONTH(INDEX(orders!D:D,MATCH(A736, orders!A:A,0)))</f>
        <v>5</v>
      </c>
      <c r="I736" t="str">
        <f>VLOOKUP(VLOOKUP(B736,products!A:F,6,0),categories!A:B,2,0)</f>
        <v>Meat &amp; Poultry</v>
      </c>
      <c r="J736" t="str">
        <f>VLOOKUP(VLOOKUP(A736,orders!A:B,2,0),customers!A:F,6,0)</f>
        <v>Sweden</v>
      </c>
      <c r="K736" t="str">
        <f>VLOOKUP(VLOOKUP(A736,orders!A:C,3,0),employees!A:B,2,0)</f>
        <v>Nancy Davolio</v>
      </c>
    </row>
    <row r="737" spans="1:11" x14ac:dyDescent="0.25">
      <c r="A737">
        <v>10525</v>
      </c>
      <c r="B737">
        <v>36</v>
      </c>
      <c r="C737">
        <v>19</v>
      </c>
      <c r="D737">
        <v>30</v>
      </c>
      <c r="E737">
        <v>0</v>
      </c>
      <c r="F737">
        <f t="shared" si="11"/>
        <v>570</v>
      </c>
      <c r="G737">
        <f>YEAR(VLOOKUP(A737,orders!A:D,4,0))</f>
        <v>2014</v>
      </c>
      <c r="H737">
        <f>MONTH(INDEX(orders!D:D,MATCH(A737, orders!A:A,0)))</f>
        <v>5</v>
      </c>
      <c r="I737" t="str">
        <f>VLOOKUP(VLOOKUP(B737,products!A:F,6,0),categories!A:B,2,0)</f>
        <v>Seafood</v>
      </c>
      <c r="J737" t="str">
        <f>VLOOKUP(VLOOKUP(A737,orders!A:B,2,0),customers!A:F,6,0)</f>
        <v>France</v>
      </c>
      <c r="K737" t="str">
        <f>VLOOKUP(VLOOKUP(A737,orders!A:C,3,0),employees!A:B,2,0)</f>
        <v>Nancy Davolio</v>
      </c>
    </row>
    <row r="738" spans="1:11" x14ac:dyDescent="0.25">
      <c r="A738">
        <v>10525</v>
      </c>
      <c r="B738">
        <v>40</v>
      </c>
      <c r="C738">
        <v>18.399999999999999</v>
      </c>
      <c r="D738">
        <v>15</v>
      </c>
      <c r="E738">
        <v>0.1</v>
      </c>
      <c r="F738">
        <f t="shared" si="11"/>
        <v>248.4</v>
      </c>
      <c r="G738">
        <f>YEAR(VLOOKUP(A738,orders!A:D,4,0))</f>
        <v>2014</v>
      </c>
      <c r="H738">
        <f>MONTH(INDEX(orders!D:D,MATCH(A738, orders!A:A,0)))</f>
        <v>5</v>
      </c>
      <c r="I738" t="str">
        <f>VLOOKUP(VLOOKUP(B738,products!A:F,6,0),categories!A:B,2,0)</f>
        <v>Seafood</v>
      </c>
      <c r="J738" t="str">
        <f>VLOOKUP(VLOOKUP(A738,orders!A:B,2,0),customers!A:F,6,0)</f>
        <v>France</v>
      </c>
      <c r="K738" t="str">
        <f>VLOOKUP(VLOOKUP(A738,orders!A:C,3,0),employees!A:B,2,0)</f>
        <v>Nancy Davolio</v>
      </c>
    </row>
    <row r="739" spans="1:11" x14ac:dyDescent="0.25">
      <c r="A739">
        <v>10526</v>
      </c>
      <c r="B739">
        <v>1</v>
      </c>
      <c r="C739">
        <v>18</v>
      </c>
      <c r="D739">
        <v>8</v>
      </c>
      <c r="E739">
        <v>0.15</v>
      </c>
      <c r="F739">
        <f t="shared" si="11"/>
        <v>122.39999999999999</v>
      </c>
      <c r="G739">
        <f>YEAR(VLOOKUP(A739,orders!A:D,4,0))</f>
        <v>2014</v>
      </c>
      <c r="H739">
        <f>MONTH(INDEX(orders!D:D,MATCH(A739, orders!A:A,0)))</f>
        <v>5</v>
      </c>
      <c r="I739" t="str">
        <f>VLOOKUP(VLOOKUP(B739,products!A:F,6,0),categories!A:B,2,0)</f>
        <v>Beverages</v>
      </c>
      <c r="J739" t="str">
        <f>VLOOKUP(VLOOKUP(A739,orders!A:B,2,0),customers!A:F,6,0)</f>
        <v>Finland</v>
      </c>
      <c r="K739" t="str">
        <f>VLOOKUP(VLOOKUP(A739,orders!A:C,3,0),employees!A:B,2,0)</f>
        <v>Margaret Peacock</v>
      </c>
    </row>
    <row r="740" spans="1:11" x14ac:dyDescent="0.25">
      <c r="A740">
        <v>10526</v>
      </c>
      <c r="B740">
        <v>13</v>
      </c>
      <c r="C740">
        <v>6</v>
      </c>
      <c r="D740">
        <v>10</v>
      </c>
      <c r="E740">
        <v>0</v>
      </c>
      <c r="F740">
        <f t="shared" si="11"/>
        <v>60</v>
      </c>
      <c r="G740">
        <f>YEAR(VLOOKUP(A740,orders!A:D,4,0))</f>
        <v>2014</v>
      </c>
      <c r="H740">
        <f>MONTH(INDEX(orders!D:D,MATCH(A740, orders!A:A,0)))</f>
        <v>5</v>
      </c>
      <c r="I740" t="str">
        <f>VLOOKUP(VLOOKUP(B740,products!A:F,6,0),categories!A:B,2,0)</f>
        <v>Seafood</v>
      </c>
      <c r="J740" t="str">
        <f>VLOOKUP(VLOOKUP(A740,orders!A:B,2,0),customers!A:F,6,0)</f>
        <v>Finland</v>
      </c>
      <c r="K740" t="str">
        <f>VLOOKUP(VLOOKUP(A740,orders!A:C,3,0),employees!A:B,2,0)</f>
        <v>Margaret Peacock</v>
      </c>
    </row>
    <row r="741" spans="1:11" x14ac:dyDescent="0.25">
      <c r="A741">
        <v>10526</v>
      </c>
      <c r="B741">
        <v>56</v>
      </c>
      <c r="C741">
        <v>38</v>
      </c>
      <c r="D741">
        <v>30</v>
      </c>
      <c r="E741">
        <v>0.15</v>
      </c>
      <c r="F741">
        <f t="shared" si="11"/>
        <v>969</v>
      </c>
      <c r="G741">
        <f>YEAR(VLOOKUP(A741,orders!A:D,4,0))</f>
        <v>2014</v>
      </c>
      <c r="H741">
        <f>MONTH(INDEX(orders!D:D,MATCH(A741, orders!A:A,0)))</f>
        <v>5</v>
      </c>
      <c r="I741" t="str">
        <f>VLOOKUP(VLOOKUP(B741,products!A:F,6,0),categories!A:B,2,0)</f>
        <v>Grains &amp; Cereals</v>
      </c>
      <c r="J741" t="str">
        <f>VLOOKUP(VLOOKUP(A741,orders!A:B,2,0),customers!A:F,6,0)</f>
        <v>Finland</v>
      </c>
      <c r="K741" t="str">
        <f>VLOOKUP(VLOOKUP(A741,orders!A:C,3,0),employees!A:B,2,0)</f>
        <v>Margaret Peacock</v>
      </c>
    </row>
    <row r="742" spans="1:11" x14ac:dyDescent="0.25">
      <c r="A742">
        <v>10527</v>
      </c>
      <c r="B742">
        <v>4</v>
      </c>
      <c r="C742">
        <v>22</v>
      </c>
      <c r="D742">
        <v>50</v>
      </c>
      <c r="E742">
        <v>0.1</v>
      </c>
      <c r="F742">
        <f t="shared" si="11"/>
        <v>990</v>
      </c>
      <c r="G742">
        <f>YEAR(VLOOKUP(A742,orders!A:D,4,0))</f>
        <v>2014</v>
      </c>
      <c r="H742">
        <f>MONTH(INDEX(orders!D:D,MATCH(A742, orders!A:A,0)))</f>
        <v>5</v>
      </c>
      <c r="I742" t="str">
        <f>VLOOKUP(VLOOKUP(B742,products!A:F,6,0),categories!A:B,2,0)</f>
        <v>Condiments</v>
      </c>
      <c r="J742" t="str">
        <f>VLOOKUP(VLOOKUP(A742,orders!A:B,2,0),customers!A:F,6,0)</f>
        <v>Germany</v>
      </c>
      <c r="K742" t="str">
        <f>VLOOKUP(VLOOKUP(A742,orders!A:C,3,0),employees!A:B,2,0)</f>
        <v>Robert King</v>
      </c>
    </row>
    <row r="743" spans="1:11" x14ac:dyDescent="0.25">
      <c r="A743">
        <v>10527</v>
      </c>
      <c r="B743">
        <v>36</v>
      </c>
      <c r="C743">
        <v>19</v>
      </c>
      <c r="D743">
        <v>30</v>
      </c>
      <c r="E743">
        <v>0.1</v>
      </c>
      <c r="F743">
        <f t="shared" si="11"/>
        <v>513</v>
      </c>
      <c r="G743">
        <f>YEAR(VLOOKUP(A743,orders!A:D,4,0))</f>
        <v>2014</v>
      </c>
      <c r="H743">
        <f>MONTH(INDEX(orders!D:D,MATCH(A743, orders!A:A,0)))</f>
        <v>5</v>
      </c>
      <c r="I743" t="str">
        <f>VLOOKUP(VLOOKUP(B743,products!A:F,6,0),categories!A:B,2,0)</f>
        <v>Seafood</v>
      </c>
      <c r="J743" t="str">
        <f>VLOOKUP(VLOOKUP(A743,orders!A:B,2,0),customers!A:F,6,0)</f>
        <v>Germany</v>
      </c>
      <c r="K743" t="str">
        <f>VLOOKUP(VLOOKUP(A743,orders!A:C,3,0),employees!A:B,2,0)</f>
        <v>Robert King</v>
      </c>
    </row>
    <row r="744" spans="1:11" x14ac:dyDescent="0.25">
      <c r="A744">
        <v>10528</v>
      </c>
      <c r="B744">
        <v>11</v>
      </c>
      <c r="C744">
        <v>21</v>
      </c>
      <c r="D744">
        <v>3</v>
      </c>
      <c r="E744">
        <v>0</v>
      </c>
      <c r="F744">
        <f t="shared" si="11"/>
        <v>63</v>
      </c>
      <c r="G744">
        <f>YEAR(VLOOKUP(A744,orders!A:D,4,0))</f>
        <v>2014</v>
      </c>
      <c r="H744">
        <f>MONTH(INDEX(orders!D:D,MATCH(A744, orders!A:A,0)))</f>
        <v>5</v>
      </c>
      <c r="I744" t="str">
        <f>VLOOKUP(VLOOKUP(B744,products!A:F,6,0),categories!A:B,2,0)</f>
        <v>Dairy Products</v>
      </c>
      <c r="J744" t="str">
        <f>VLOOKUP(VLOOKUP(A744,orders!A:B,2,0),customers!A:F,6,0)</f>
        <v>USA</v>
      </c>
      <c r="K744" t="str">
        <f>VLOOKUP(VLOOKUP(A744,orders!A:C,3,0),employees!A:B,2,0)</f>
        <v>Michael Suyama</v>
      </c>
    </row>
    <row r="745" spans="1:11" x14ac:dyDescent="0.25">
      <c r="A745">
        <v>10528</v>
      </c>
      <c r="B745">
        <v>33</v>
      </c>
      <c r="C745">
        <v>2.5</v>
      </c>
      <c r="D745">
        <v>8</v>
      </c>
      <c r="E745">
        <v>0.2</v>
      </c>
      <c r="F745">
        <f t="shared" si="11"/>
        <v>16</v>
      </c>
      <c r="G745">
        <f>YEAR(VLOOKUP(A745,orders!A:D,4,0))</f>
        <v>2014</v>
      </c>
      <c r="H745">
        <f>MONTH(INDEX(orders!D:D,MATCH(A745, orders!A:A,0)))</f>
        <v>5</v>
      </c>
      <c r="I745" t="str">
        <f>VLOOKUP(VLOOKUP(B745,products!A:F,6,0),categories!A:B,2,0)</f>
        <v>Dairy Products</v>
      </c>
      <c r="J745" t="str">
        <f>VLOOKUP(VLOOKUP(A745,orders!A:B,2,0),customers!A:F,6,0)</f>
        <v>USA</v>
      </c>
      <c r="K745" t="str">
        <f>VLOOKUP(VLOOKUP(A745,orders!A:C,3,0),employees!A:B,2,0)</f>
        <v>Michael Suyama</v>
      </c>
    </row>
    <row r="746" spans="1:11" x14ac:dyDescent="0.25">
      <c r="A746">
        <v>10528</v>
      </c>
      <c r="B746">
        <v>72</v>
      </c>
      <c r="C746">
        <v>34.799999999999997</v>
      </c>
      <c r="D746">
        <v>9</v>
      </c>
      <c r="E746">
        <v>0</v>
      </c>
      <c r="F746">
        <f t="shared" si="11"/>
        <v>313.2</v>
      </c>
      <c r="G746">
        <f>YEAR(VLOOKUP(A746,orders!A:D,4,0))</f>
        <v>2014</v>
      </c>
      <c r="H746">
        <f>MONTH(INDEX(orders!D:D,MATCH(A746, orders!A:A,0)))</f>
        <v>5</v>
      </c>
      <c r="I746" t="str">
        <f>VLOOKUP(VLOOKUP(B746,products!A:F,6,0),categories!A:B,2,0)</f>
        <v>Dairy Products</v>
      </c>
      <c r="J746" t="str">
        <f>VLOOKUP(VLOOKUP(A746,orders!A:B,2,0),customers!A:F,6,0)</f>
        <v>USA</v>
      </c>
      <c r="K746" t="str">
        <f>VLOOKUP(VLOOKUP(A746,orders!A:C,3,0),employees!A:B,2,0)</f>
        <v>Michael Suyama</v>
      </c>
    </row>
    <row r="747" spans="1:11" x14ac:dyDescent="0.25">
      <c r="A747">
        <v>10529</v>
      </c>
      <c r="B747">
        <v>55</v>
      </c>
      <c r="C747">
        <v>24</v>
      </c>
      <c r="D747">
        <v>14</v>
      </c>
      <c r="E747">
        <v>0</v>
      </c>
      <c r="F747">
        <f t="shared" si="11"/>
        <v>336</v>
      </c>
      <c r="G747">
        <f>YEAR(VLOOKUP(A747,orders!A:D,4,0))</f>
        <v>2014</v>
      </c>
      <c r="H747">
        <f>MONTH(INDEX(orders!D:D,MATCH(A747, orders!A:A,0)))</f>
        <v>5</v>
      </c>
      <c r="I747" t="str">
        <f>VLOOKUP(VLOOKUP(B747,products!A:F,6,0),categories!A:B,2,0)</f>
        <v>Meat &amp; Poultry</v>
      </c>
      <c r="J747" t="str">
        <f>VLOOKUP(VLOOKUP(A747,orders!A:B,2,0),customers!A:F,6,0)</f>
        <v>Belgium</v>
      </c>
      <c r="K747" t="str">
        <f>VLOOKUP(VLOOKUP(A747,orders!A:C,3,0),employees!A:B,2,0)</f>
        <v>Steven Buchanan</v>
      </c>
    </row>
    <row r="748" spans="1:11" x14ac:dyDescent="0.25">
      <c r="A748">
        <v>10529</v>
      </c>
      <c r="B748">
        <v>68</v>
      </c>
      <c r="C748">
        <v>12.5</v>
      </c>
      <c r="D748">
        <v>20</v>
      </c>
      <c r="E748">
        <v>0</v>
      </c>
      <c r="F748">
        <f t="shared" si="11"/>
        <v>250</v>
      </c>
      <c r="G748">
        <f>YEAR(VLOOKUP(A748,orders!A:D,4,0))</f>
        <v>2014</v>
      </c>
      <c r="H748">
        <f>MONTH(INDEX(orders!D:D,MATCH(A748, orders!A:A,0)))</f>
        <v>5</v>
      </c>
      <c r="I748" t="str">
        <f>VLOOKUP(VLOOKUP(B748,products!A:F,6,0),categories!A:B,2,0)</f>
        <v>Confections</v>
      </c>
      <c r="J748" t="str">
        <f>VLOOKUP(VLOOKUP(A748,orders!A:B,2,0),customers!A:F,6,0)</f>
        <v>Belgium</v>
      </c>
      <c r="K748" t="str">
        <f>VLOOKUP(VLOOKUP(A748,orders!A:C,3,0),employees!A:B,2,0)</f>
        <v>Steven Buchanan</v>
      </c>
    </row>
    <row r="749" spans="1:11" x14ac:dyDescent="0.25">
      <c r="A749">
        <v>10529</v>
      </c>
      <c r="B749">
        <v>69</v>
      </c>
      <c r="C749">
        <v>36</v>
      </c>
      <c r="D749">
        <v>10</v>
      </c>
      <c r="E749">
        <v>0</v>
      </c>
      <c r="F749">
        <f t="shared" si="11"/>
        <v>360</v>
      </c>
      <c r="G749">
        <f>YEAR(VLOOKUP(A749,orders!A:D,4,0))</f>
        <v>2014</v>
      </c>
      <c r="H749">
        <f>MONTH(INDEX(orders!D:D,MATCH(A749, orders!A:A,0)))</f>
        <v>5</v>
      </c>
      <c r="I749" t="str">
        <f>VLOOKUP(VLOOKUP(B749,products!A:F,6,0),categories!A:B,2,0)</f>
        <v>Dairy Products</v>
      </c>
      <c r="J749" t="str">
        <f>VLOOKUP(VLOOKUP(A749,orders!A:B,2,0),customers!A:F,6,0)</f>
        <v>Belgium</v>
      </c>
      <c r="K749" t="str">
        <f>VLOOKUP(VLOOKUP(A749,orders!A:C,3,0),employees!A:B,2,0)</f>
        <v>Steven Buchanan</v>
      </c>
    </row>
    <row r="750" spans="1:11" x14ac:dyDescent="0.25">
      <c r="A750">
        <v>10530</v>
      </c>
      <c r="B750">
        <v>17</v>
      </c>
      <c r="C750">
        <v>39</v>
      </c>
      <c r="D750">
        <v>40</v>
      </c>
      <c r="E750">
        <v>0</v>
      </c>
      <c r="F750">
        <f t="shared" si="11"/>
        <v>1560</v>
      </c>
      <c r="G750">
        <f>YEAR(VLOOKUP(A750,orders!A:D,4,0))</f>
        <v>2014</v>
      </c>
      <c r="H750">
        <f>MONTH(INDEX(orders!D:D,MATCH(A750, orders!A:A,0)))</f>
        <v>5</v>
      </c>
      <c r="I750" t="str">
        <f>VLOOKUP(VLOOKUP(B750,products!A:F,6,0),categories!A:B,2,0)</f>
        <v>Meat &amp; Poultry</v>
      </c>
      <c r="J750" t="str">
        <f>VLOOKUP(VLOOKUP(A750,orders!A:B,2,0),customers!A:F,6,0)</f>
        <v>Austria</v>
      </c>
      <c r="K750" t="str">
        <f>VLOOKUP(VLOOKUP(A750,orders!A:C,3,0),employees!A:B,2,0)</f>
        <v>Janet Leverling</v>
      </c>
    </row>
    <row r="751" spans="1:11" x14ac:dyDescent="0.25">
      <c r="A751">
        <v>10530</v>
      </c>
      <c r="B751">
        <v>43</v>
      </c>
      <c r="C751">
        <v>46</v>
      </c>
      <c r="D751">
        <v>25</v>
      </c>
      <c r="E751">
        <v>0</v>
      </c>
      <c r="F751">
        <f t="shared" si="11"/>
        <v>1150</v>
      </c>
      <c r="G751">
        <f>YEAR(VLOOKUP(A751,orders!A:D,4,0))</f>
        <v>2014</v>
      </c>
      <c r="H751">
        <f>MONTH(INDEX(orders!D:D,MATCH(A751, orders!A:A,0)))</f>
        <v>5</v>
      </c>
      <c r="I751" t="str">
        <f>VLOOKUP(VLOOKUP(B751,products!A:F,6,0),categories!A:B,2,0)</f>
        <v>Beverages</v>
      </c>
      <c r="J751" t="str">
        <f>VLOOKUP(VLOOKUP(A751,orders!A:B,2,0),customers!A:F,6,0)</f>
        <v>Austria</v>
      </c>
      <c r="K751" t="str">
        <f>VLOOKUP(VLOOKUP(A751,orders!A:C,3,0),employees!A:B,2,0)</f>
        <v>Janet Leverling</v>
      </c>
    </row>
    <row r="752" spans="1:11" x14ac:dyDescent="0.25">
      <c r="A752">
        <v>10530</v>
      </c>
      <c r="B752">
        <v>61</v>
      </c>
      <c r="C752">
        <v>28.5</v>
      </c>
      <c r="D752">
        <v>20</v>
      </c>
      <c r="E752">
        <v>0</v>
      </c>
      <c r="F752">
        <f t="shared" si="11"/>
        <v>570</v>
      </c>
      <c r="G752">
        <f>YEAR(VLOOKUP(A752,orders!A:D,4,0))</f>
        <v>2014</v>
      </c>
      <c r="H752">
        <f>MONTH(INDEX(orders!D:D,MATCH(A752, orders!A:A,0)))</f>
        <v>5</v>
      </c>
      <c r="I752" t="str">
        <f>VLOOKUP(VLOOKUP(B752,products!A:F,6,0),categories!A:B,2,0)</f>
        <v>Condiments</v>
      </c>
      <c r="J752" t="str">
        <f>VLOOKUP(VLOOKUP(A752,orders!A:B,2,0),customers!A:F,6,0)</f>
        <v>Austria</v>
      </c>
      <c r="K752" t="str">
        <f>VLOOKUP(VLOOKUP(A752,orders!A:C,3,0),employees!A:B,2,0)</f>
        <v>Janet Leverling</v>
      </c>
    </row>
    <row r="753" spans="1:11" x14ac:dyDescent="0.25">
      <c r="A753">
        <v>10530</v>
      </c>
      <c r="B753">
        <v>76</v>
      </c>
      <c r="C753">
        <v>18</v>
      </c>
      <c r="D753">
        <v>50</v>
      </c>
      <c r="E753">
        <v>0</v>
      </c>
      <c r="F753">
        <f t="shared" si="11"/>
        <v>900</v>
      </c>
      <c r="G753">
        <f>YEAR(VLOOKUP(A753,orders!A:D,4,0))</f>
        <v>2014</v>
      </c>
      <c r="H753">
        <f>MONTH(INDEX(orders!D:D,MATCH(A753, orders!A:A,0)))</f>
        <v>5</v>
      </c>
      <c r="I753" t="str">
        <f>VLOOKUP(VLOOKUP(B753,products!A:F,6,0),categories!A:B,2,0)</f>
        <v>Beverages</v>
      </c>
      <c r="J753" t="str">
        <f>VLOOKUP(VLOOKUP(A753,orders!A:B,2,0),customers!A:F,6,0)</f>
        <v>Austria</v>
      </c>
      <c r="K753" t="str">
        <f>VLOOKUP(VLOOKUP(A753,orders!A:C,3,0),employees!A:B,2,0)</f>
        <v>Janet Leverling</v>
      </c>
    </row>
    <row r="754" spans="1:11" x14ac:dyDescent="0.25">
      <c r="A754">
        <v>10531</v>
      </c>
      <c r="B754">
        <v>59</v>
      </c>
      <c r="C754">
        <v>55</v>
      </c>
      <c r="D754">
        <v>2</v>
      </c>
      <c r="E754">
        <v>0</v>
      </c>
      <c r="F754">
        <f t="shared" si="11"/>
        <v>110</v>
      </c>
      <c r="G754">
        <f>YEAR(VLOOKUP(A754,orders!A:D,4,0))</f>
        <v>2014</v>
      </c>
      <c r="H754">
        <f>MONTH(INDEX(orders!D:D,MATCH(A754, orders!A:A,0)))</f>
        <v>5</v>
      </c>
      <c r="I754" t="str">
        <f>VLOOKUP(VLOOKUP(B754,products!A:F,6,0),categories!A:B,2,0)</f>
        <v>Dairy Products</v>
      </c>
      <c r="J754" t="str">
        <f>VLOOKUP(VLOOKUP(A754,orders!A:B,2,0),customers!A:F,6,0)</f>
        <v>Argentina</v>
      </c>
      <c r="K754" t="str">
        <f>VLOOKUP(VLOOKUP(A754,orders!A:C,3,0),employees!A:B,2,0)</f>
        <v>Robert King</v>
      </c>
    </row>
    <row r="755" spans="1:11" x14ac:dyDescent="0.25">
      <c r="A755">
        <v>10532</v>
      </c>
      <c r="B755">
        <v>30</v>
      </c>
      <c r="C755">
        <v>25.89</v>
      </c>
      <c r="D755">
        <v>15</v>
      </c>
      <c r="E755">
        <v>0</v>
      </c>
      <c r="F755">
        <f t="shared" si="11"/>
        <v>388.35</v>
      </c>
      <c r="G755">
        <f>YEAR(VLOOKUP(A755,orders!A:D,4,0))</f>
        <v>2014</v>
      </c>
      <c r="H755">
        <f>MONTH(INDEX(orders!D:D,MATCH(A755, orders!A:A,0)))</f>
        <v>5</v>
      </c>
      <c r="I755" t="str">
        <f>VLOOKUP(VLOOKUP(B755,products!A:F,6,0),categories!A:B,2,0)</f>
        <v>Seafood</v>
      </c>
      <c r="J755" t="str">
        <f>VLOOKUP(VLOOKUP(A755,orders!A:B,2,0),customers!A:F,6,0)</f>
        <v>UK</v>
      </c>
      <c r="K755" t="str">
        <f>VLOOKUP(VLOOKUP(A755,orders!A:C,3,0),employees!A:B,2,0)</f>
        <v>Robert King</v>
      </c>
    </row>
    <row r="756" spans="1:11" x14ac:dyDescent="0.25">
      <c r="A756">
        <v>10532</v>
      </c>
      <c r="B756">
        <v>66</v>
      </c>
      <c r="C756">
        <v>17</v>
      </c>
      <c r="D756">
        <v>24</v>
      </c>
      <c r="E756">
        <v>0</v>
      </c>
      <c r="F756">
        <f t="shared" si="11"/>
        <v>408</v>
      </c>
      <c r="G756">
        <f>YEAR(VLOOKUP(A756,orders!A:D,4,0))</f>
        <v>2014</v>
      </c>
      <c r="H756">
        <f>MONTH(INDEX(orders!D:D,MATCH(A756, orders!A:A,0)))</f>
        <v>5</v>
      </c>
      <c r="I756" t="str">
        <f>VLOOKUP(VLOOKUP(B756,products!A:F,6,0),categories!A:B,2,0)</f>
        <v>Condiments</v>
      </c>
      <c r="J756" t="str">
        <f>VLOOKUP(VLOOKUP(A756,orders!A:B,2,0),customers!A:F,6,0)</f>
        <v>UK</v>
      </c>
      <c r="K756" t="str">
        <f>VLOOKUP(VLOOKUP(A756,orders!A:C,3,0),employees!A:B,2,0)</f>
        <v>Robert King</v>
      </c>
    </row>
    <row r="757" spans="1:11" x14ac:dyDescent="0.25">
      <c r="A757">
        <v>10533</v>
      </c>
      <c r="B757">
        <v>4</v>
      </c>
      <c r="C757">
        <v>22</v>
      </c>
      <c r="D757">
        <v>50</v>
      </c>
      <c r="E757">
        <v>0.05</v>
      </c>
      <c r="F757">
        <f t="shared" si="11"/>
        <v>1045</v>
      </c>
      <c r="G757">
        <f>YEAR(VLOOKUP(A757,orders!A:D,4,0))</f>
        <v>2014</v>
      </c>
      <c r="H757">
        <f>MONTH(INDEX(orders!D:D,MATCH(A757, orders!A:A,0)))</f>
        <v>5</v>
      </c>
      <c r="I757" t="str">
        <f>VLOOKUP(VLOOKUP(B757,products!A:F,6,0),categories!A:B,2,0)</f>
        <v>Condiments</v>
      </c>
      <c r="J757" t="str">
        <f>VLOOKUP(VLOOKUP(A757,orders!A:B,2,0),customers!A:F,6,0)</f>
        <v>Sweden</v>
      </c>
      <c r="K757" t="str">
        <f>VLOOKUP(VLOOKUP(A757,orders!A:C,3,0),employees!A:B,2,0)</f>
        <v>Laura Callahan</v>
      </c>
    </row>
    <row r="758" spans="1:11" x14ac:dyDescent="0.25">
      <c r="A758">
        <v>10533</v>
      </c>
      <c r="B758">
        <v>72</v>
      </c>
      <c r="C758">
        <v>34.799999999999997</v>
      </c>
      <c r="D758">
        <v>24</v>
      </c>
      <c r="E758">
        <v>0</v>
      </c>
      <c r="F758">
        <f t="shared" si="11"/>
        <v>835.19999999999993</v>
      </c>
      <c r="G758">
        <f>YEAR(VLOOKUP(A758,orders!A:D,4,0))</f>
        <v>2014</v>
      </c>
      <c r="H758">
        <f>MONTH(INDEX(orders!D:D,MATCH(A758, orders!A:A,0)))</f>
        <v>5</v>
      </c>
      <c r="I758" t="str">
        <f>VLOOKUP(VLOOKUP(B758,products!A:F,6,0),categories!A:B,2,0)</f>
        <v>Dairy Products</v>
      </c>
      <c r="J758" t="str">
        <f>VLOOKUP(VLOOKUP(A758,orders!A:B,2,0),customers!A:F,6,0)</f>
        <v>Sweden</v>
      </c>
      <c r="K758" t="str">
        <f>VLOOKUP(VLOOKUP(A758,orders!A:C,3,0),employees!A:B,2,0)</f>
        <v>Laura Callahan</v>
      </c>
    </row>
    <row r="759" spans="1:11" x14ac:dyDescent="0.25">
      <c r="A759">
        <v>10533</v>
      </c>
      <c r="B759">
        <v>73</v>
      </c>
      <c r="C759">
        <v>15</v>
      </c>
      <c r="D759">
        <v>24</v>
      </c>
      <c r="E759">
        <v>0.05</v>
      </c>
      <c r="F759">
        <f t="shared" si="11"/>
        <v>342</v>
      </c>
      <c r="G759">
        <f>YEAR(VLOOKUP(A759,orders!A:D,4,0))</f>
        <v>2014</v>
      </c>
      <c r="H759">
        <f>MONTH(INDEX(orders!D:D,MATCH(A759, orders!A:A,0)))</f>
        <v>5</v>
      </c>
      <c r="I759" t="str">
        <f>VLOOKUP(VLOOKUP(B759,products!A:F,6,0),categories!A:B,2,0)</f>
        <v>Seafood</v>
      </c>
      <c r="J759" t="str">
        <f>VLOOKUP(VLOOKUP(A759,orders!A:B,2,0),customers!A:F,6,0)</f>
        <v>Sweden</v>
      </c>
      <c r="K759" t="str">
        <f>VLOOKUP(VLOOKUP(A759,orders!A:C,3,0),employees!A:B,2,0)</f>
        <v>Laura Callahan</v>
      </c>
    </row>
    <row r="760" spans="1:11" x14ac:dyDescent="0.25">
      <c r="A760">
        <v>10534</v>
      </c>
      <c r="B760">
        <v>30</v>
      </c>
      <c r="C760">
        <v>25.89</v>
      </c>
      <c r="D760">
        <v>10</v>
      </c>
      <c r="E760">
        <v>0</v>
      </c>
      <c r="F760">
        <f t="shared" si="11"/>
        <v>258.89999999999998</v>
      </c>
      <c r="G760">
        <f>YEAR(VLOOKUP(A760,orders!A:D,4,0))</f>
        <v>2014</v>
      </c>
      <c r="H760">
        <f>MONTH(INDEX(orders!D:D,MATCH(A760, orders!A:A,0)))</f>
        <v>5</v>
      </c>
      <c r="I760" t="str">
        <f>VLOOKUP(VLOOKUP(B760,products!A:F,6,0),categories!A:B,2,0)</f>
        <v>Seafood</v>
      </c>
      <c r="J760" t="str">
        <f>VLOOKUP(VLOOKUP(A760,orders!A:B,2,0),customers!A:F,6,0)</f>
        <v>Germany</v>
      </c>
      <c r="K760" t="str">
        <f>VLOOKUP(VLOOKUP(A760,orders!A:C,3,0),employees!A:B,2,0)</f>
        <v>Laura Callahan</v>
      </c>
    </row>
    <row r="761" spans="1:11" x14ac:dyDescent="0.25">
      <c r="A761">
        <v>10534</v>
      </c>
      <c r="B761">
        <v>40</v>
      </c>
      <c r="C761">
        <v>18.399999999999999</v>
      </c>
      <c r="D761">
        <v>10</v>
      </c>
      <c r="E761">
        <v>0.2</v>
      </c>
      <c r="F761">
        <f t="shared" si="11"/>
        <v>147.20000000000002</v>
      </c>
      <c r="G761">
        <f>YEAR(VLOOKUP(A761,orders!A:D,4,0))</f>
        <v>2014</v>
      </c>
      <c r="H761">
        <f>MONTH(INDEX(orders!D:D,MATCH(A761, orders!A:A,0)))</f>
        <v>5</v>
      </c>
      <c r="I761" t="str">
        <f>VLOOKUP(VLOOKUP(B761,products!A:F,6,0),categories!A:B,2,0)</f>
        <v>Seafood</v>
      </c>
      <c r="J761" t="str">
        <f>VLOOKUP(VLOOKUP(A761,orders!A:B,2,0),customers!A:F,6,0)</f>
        <v>Germany</v>
      </c>
      <c r="K761" t="str">
        <f>VLOOKUP(VLOOKUP(A761,orders!A:C,3,0),employees!A:B,2,0)</f>
        <v>Laura Callahan</v>
      </c>
    </row>
    <row r="762" spans="1:11" x14ac:dyDescent="0.25">
      <c r="A762">
        <v>10534</v>
      </c>
      <c r="B762">
        <v>54</v>
      </c>
      <c r="C762">
        <v>7.45</v>
      </c>
      <c r="D762">
        <v>10</v>
      </c>
      <c r="E762">
        <v>0.2</v>
      </c>
      <c r="F762">
        <f t="shared" si="11"/>
        <v>59.6</v>
      </c>
      <c r="G762">
        <f>YEAR(VLOOKUP(A762,orders!A:D,4,0))</f>
        <v>2014</v>
      </c>
      <c r="H762">
        <f>MONTH(INDEX(orders!D:D,MATCH(A762, orders!A:A,0)))</f>
        <v>5</v>
      </c>
      <c r="I762" t="str">
        <f>VLOOKUP(VLOOKUP(B762,products!A:F,6,0),categories!A:B,2,0)</f>
        <v>Meat &amp; Poultry</v>
      </c>
      <c r="J762" t="str">
        <f>VLOOKUP(VLOOKUP(A762,orders!A:B,2,0),customers!A:F,6,0)</f>
        <v>Germany</v>
      </c>
      <c r="K762" t="str">
        <f>VLOOKUP(VLOOKUP(A762,orders!A:C,3,0),employees!A:B,2,0)</f>
        <v>Laura Callahan</v>
      </c>
    </row>
    <row r="763" spans="1:11" x14ac:dyDescent="0.25">
      <c r="A763">
        <v>10535</v>
      </c>
      <c r="B763">
        <v>11</v>
      </c>
      <c r="C763">
        <v>21</v>
      </c>
      <c r="D763">
        <v>50</v>
      </c>
      <c r="E763">
        <v>0.1</v>
      </c>
      <c r="F763">
        <f t="shared" si="11"/>
        <v>945</v>
      </c>
      <c r="G763">
        <f>YEAR(VLOOKUP(A763,orders!A:D,4,0))</f>
        <v>2014</v>
      </c>
      <c r="H763">
        <f>MONTH(INDEX(orders!D:D,MATCH(A763, orders!A:A,0)))</f>
        <v>5</v>
      </c>
      <c r="I763" t="str">
        <f>VLOOKUP(VLOOKUP(B763,products!A:F,6,0),categories!A:B,2,0)</f>
        <v>Dairy Products</v>
      </c>
      <c r="J763" t="str">
        <f>VLOOKUP(VLOOKUP(A763,orders!A:B,2,0),customers!A:F,6,0)</f>
        <v>Mexico</v>
      </c>
      <c r="K763" t="str">
        <f>VLOOKUP(VLOOKUP(A763,orders!A:C,3,0),employees!A:B,2,0)</f>
        <v>Margaret Peacock</v>
      </c>
    </row>
    <row r="764" spans="1:11" x14ac:dyDescent="0.25">
      <c r="A764">
        <v>10535</v>
      </c>
      <c r="B764">
        <v>40</v>
      </c>
      <c r="C764">
        <v>18.399999999999999</v>
      </c>
      <c r="D764">
        <v>10</v>
      </c>
      <c r="E764">
        <v>0.1</v>
      </c>
      <c r="F764">
        <f t="shared" si="11"/>
        <v>165.6</v>
      </c>
      <c r="G764">
        <f>YEAR(VLOOKUP(A764,orders!A:D,4,0))</f>
        <v>2014</v>
      </c>
      <c r="H764">
        <f>MONTH(INDEX(orders!D:D,MATCH(A764, orders!A:A,0)))</f>
        <v>5</v>
      </c>
      <c r="I764" t="str">
        <f>VLOOKUP(VLOOKUP(B764,products!A:F,6,0),categories!A:B,2,0)</f>
        <v>Seafood</v>
      </c>
      <c r="J764" t="str">
        <f>VLOOKUP(VLOOKUP(A764,orders!A:B,2,0),customers!A:F,6,0)</f>
        <v>Mexico</v>
      </c>
      <c r="K764" t="str">
        <f>VLOOKUP(VLOOKUP(A764,orders!A:C,3,0),employees!A:B,2,0)</f>
        <v>Margaret Peacock</v>
      </c>
    </row>
    <row r="765" spans="1:11" x14ac:dyDescent="0.25">
      <c r="A765">
        <v>10535</v>
      </c>
      <c r="B765">
        <v>57</v>
      </c>
      <c r="C765">
        <v>19.5</v>
      </c>
      <c r="D765">
        <v>5</v>
      </c>
      <c r="E765">
        <v>0.1</v>
      </c>
      <c r="F765">
        <f t="shared" si="11"/>
        <v>87.75</v>
      </c>
      <c r="G765">
        <f>YEAR(VLOOKUP(A765,orders!A:D,4,0))</f>
        <v>2014</v>
      </c>
      <c r="H765">
        <f>MONTH(INDEX(orders!D:D,MATCH(A765, orders!A:A,0)))</f>
        <v>5</v>
      </c>
      <c r="I765" t="str">
        <f>VLOOKUP(VLOOKUP(B765,products!A:F,6,0),categories!A:B,2,0)</f>
        <v>Grains &amp; Cereals</v>
      </c>
      <c r="J765" t="str">
        <f>VLOOKUP(VLOOKUP(A765,orders!A:B,2,0),customers!A:F,6,0)</f>
        <v>Mexico</v>
      </c>
      <c r="K765" t="str">
        <f>VLOOKUP(VLOOKUP(A765,orders!A:C,3,0),employees!A:B,2,0)</f>
        <v>Margaret Peacock</v>
      </c>
    </row>
    <row r="766" spans="1:11" x14ac:dyDescent="0.25">
      <c r="A766">
        <v>10535</v>
      </c>
      <c r="B766">
        <v>59</v>
      </c>
      <c r="C766">
        <v>55</v>
      </c>
      <c r="D766">
        <v>15</v>
      </c>
      <c r="E766">
        <v>0.1</v>
      </c>
      <c r="F766">
        <f t="shared" si="11"/>
        <v>742.5</v>
      </c>
      <c r="G766">
        <f>YEAR(VLOOKUP(A766,orders!A:D,4,0))</f>
        <v>2014</v>
      </c>
      <c r="H766">
        <f>MONTH(INDEX(orders!D:D,MATCH(A766, orders!A:A,0)))</f>
        <v>5</v>
      </c>
      <c r="I766" t="str">
        <f>VLOOKUP(VLOOKUP(B766,products!A:F,6,0),categories!A:B,2,0)</f>
        <v>Dairy Products</v>
      </c>
      <c r="J766" t="str">
        <f>VLOOKUP(VLOOKUP(A766,orders!A:B,2,0),customers!A:F,6,0)</f>
        <v>Mexico</v>
      </c>
      <c r="K766" t="str">
        <f>VLOOKUP(VLOOKUP(A766,orders!A:C,3,0),employees!A:B,2,0)</f>
        <v>Margaret Peacock</v>
      </c>
    </row>
    <row r="767" spans="1:11" x14ac:dyDescent="0.25">
      <c r="A767">
        <v>10536</v>
      </c>
      <c r="B767">
        <v>12</v>
      </c>
      <c r="C767">
        <v>38</v>
      </c>
      <c r="D767">
        <v>15</v>
      </c>
      <c r="E767">
        <v>0.25</v>
      </c>
      <c r="F767">
        <f t="shared" si="11"/>
        <v>427.5</v>
      </c>
      <c r="G767">
        <f>YEAR(VLOOKUP(A767,orders!A:D,4,0))</f>
        <v>2014</v>
      </c>
      <c r="H767">
        <f>MONTH(INDEX(orders!D:D,MATCH(A767, orders!A:A,0)))</f>
        <v>5</v>
      </c>
      <c r="I767" t="str">
        <f>VLOOKUP(VLOOKUP(B767,products!A:F,6,0),categories!A:B,2,0)</f>
        <v>Dairy Products</v>
      </c>
      <c r="J767" t="str">
        <f>VLOOKUP(VLOOKUP(A767,orders!A:B,2,0),customers!A:F,6,0)</f>
        <v>Germany</v>
      </c>
      <c r="K767" t="str">
        <f>VLOOKUP(VLOOKUP(A767,orders!A:C,3,0),employees!A:B,2,0)</f>
        <v>Janet Leverling</v>
      </c>
    </row>
    <row r="768" spans="1:11" x14ac:dyDescent="0.25">
      <c r="A768">
        <v>10536</v>
      </c>
      <c r="B768">
        <v>31</v>
      </c>
      <c r="C768">
        <v>12.5</v>
      </c>
      <c r="D768">
        <v>20</v>
      </c>
      <c r="E768">
        <v>0</v>
      </c>
      <c r="F768">
        <f t="shared" si="11"/>
        <v>250</v>
      </c>
      <c r="G768">
        <f>YEAR(VLOOKUP(A768,orders!A:D,4,0))</f>
        <v>2014</v>
      </c>
      <c r="H768">
        <f>MONTH(INDEX(orders!D:D,MATCH(A768, orders!A:A,0)))</f>
        <v>5</v>
      </c>
      <c r="I768" t="str">
        <f>VLOOKUP(VLOOKUP(B768,products!A:F,6,0),categories!A:B,2,0)</f>
        <v>Dairy Products</v>
      </c>
      <c r="J768" t="str">
        <f>VLOOKUP(VLOOKUP(A768,orders!A:B,2,0),customers!A:F,6,0)</f>
        <v>Germany</v>
      </c>
      <c r="K768" t="str">
        <f>VLOOKUP(VLOOKUP(A768,orders!A:C,3,0),employees!A:B,2,0)</f>
        <v>Janet Leverling</v>
      </c>
    </row>
    <row r="769" spans="1:11" x14ac:dyDescent="0.25">
      <c r="A769">
        <v>10536</v>
      </c>
      <c r="B769">
        <v>33</v>
      </c>
      <c r="C769">
        <v>2.5</v>
      </c>
      <c r="D769">
        <v>30</v>
      </c>
      <c r="E769">
        <v>0</v>
      </c>
      <c r="F769">
        <f t="shared" si="11"/>
        <v>75</v>
      </c>
      <c r="G769">
        <f>YEAR(VLOOKUP(A769,orders!A:D,4,0))</f>
        <v>2014</v>
      </c>
      <c r="H769">
        <f>MONTH(INDEX(orders!D:D,MATCH(A769, orders!A:A,0)))</f>
        <v>5</v>
      </c>
      <c r="I769" t="str">
        <f>VLOOKUP(VLOOKUP(B769,products!A:F,6,0),categories!A:B,2,0)</f>
        <v>Dairy Products</v>
      </c>
      <c r="J769" t="str">
        <f>VLOOKUP(VLOOKUP(A769,orders!A:B,2,0),customers!A:F,6,0)</f>
        <v>Germany</v>
      </c>
      <c r="K769" t="str">
        <f>VLOOKUP(VLOOKUP(A769,orders!A:C,3,0),employees!A:B,2,0)</f>
        <v>Janet Leverling</v>
      </c>
    </row>
    <row r="770" spans="1:11" x14ac:dyDescent="0.25">
      <c r="A770">
        <v>10536</v>
      </c>
      <c r="B770">
        <v>60</v>
      </c>
      <c r="C770">
        <v>34</v>
      </c>
      <c r="D770">
        <v>35</v>
      </c>
      <c r="E770">
        <v>0.25</v>
      </c>
      <c r="F770">
        <f t="shared" si="11"/>
        <v>892.5</v>
      </c>
      <c r="G770">
        <f>YEAR(VLOOKUP(A770,orders!A:D,4,0))</f>
        <v>2014</v>
      </c>
      <c r="H770">
        <f>MONTH(INDEX(orders!D:D,MATCH(A770, orders!A:A,0)))</f>
        <v>5</v>
      </c>
      <c r="I770" t="str">
        <f>VLOOKUP(VLOOKUP(B770,products!A:F,6,0),categories!A:B,2,0)</f>
        <v>Dairy Products</v>
      </c>
      <c r="J770" t="str">
        <f>VLOOKUP(VLOOKUP(A770,orders!A:B,2,0),customers!A:F,6,0)</f>
        <v>Germany</v>
      </c>
      <c r="K770" t="str">
        <f>VLOOKUP(VLOOKUP(A770,orders!A:C,3,0),employees!A:B,2,0)</f>
        <v>Janet Leverling</v>
      </c>
    </row>
    <row r="771" spans="1:11" x14ac:dyDescent="0.25">
      <c r="A771">
        <v>10537</v>
      </c>
      <c r="B771">
        <v>31</v>
      </c>
      <c r="C771">
        <v>12.5</v>
      </c>
      <c r="D771">
        <v>30</v>
      </c>
      <c r="E771">
        <v>0</v>
      </c>
      <c r="F771">
        <f t="shared" ref="F771:F834" si="12">C771*D771*(1-E771)</f>
        <v>375</v>
      </c>
      <c r="G771">
        <f>YEAR(VLOOKUP(A771,orders!A:D,4,0))</f>
        <v>2014</v>
      </c>
      <c r="H771">
        <f>MONTH(INDEX(orders!D:D,MATCH(A771, orders!A:A,0)))</f>
        <v>5</v>
      </c>
      <c r="I771" t="str">
        <f>VLOOKUP(VLOOKUP(B771,products!A:F,6,0),categories!A:B,2,0)</f>
        <v>Dairy Products</v>
      </c>
      <c r="J771" t="str">
        <f>VLOOKUP(VLOOKUP(A771,orders!A:B,2,0),customers!A:F,6,0)</f>
        <v>Switzerland</v>
      </c>
      <c r="K771" t="str">
        <f>VLOOKUP(VLOOKUP(A771,orders!A:C,3,0),employees!A:B,2,0)</f>
        <v>Nancy Davolio</v>
      </c>
    </row>
    <row r="772" spans="1:11" x14ac:dyDescent="0.25">
      <c r="A772">
        <v>10537</v>
      </c>
      <c r="B772">
        <v>51</v>
      </c>
      <c r="C772">
        <v>53</v>
      </c>
      <c r="D772">
        <v>6</v>
      </c>
      <c r="E772">
        <v>0</v>
      </c>
      <c r="F772">
        <f t="shared" si="12"/>
        <v>318</v>
      </c>
      <c r="G772">
        <f>YEAR(VLOOKUP(A772,orders!A:D,4,0))</f>
        <v>2014</v>
      </c>
      <c r="H772">
        <f>MONTH(INDEX(orders!D:D,MATCH(A772, orders!A:A,0)))</f>
        <v>5</v>
      </c>
      <c r="I772" t="str">
        <f>VLOOKUP(VLOOKUP(B772,products!A:F,6,0),categories!A:B,2,0)</f>
        <v>Produce</v>
      </c>
      <c r="J772" t="str">
        <f>VLOOKUP(VLOOKUP(A772,orders!A:B,2,0),customers!A:F,6,0)</f>
        <v>Switzerland</v>
      </c>
      <c r="K772" t="str">
        <f>VLOOKUP(VLOOKUP(A772,orders!A:C,3,0),employees!A:B,2,0)</f>
        <v>Nancy Davolio</v>
      </c>
    </row>
    <row r="773" spans="1:11" x14ac:dyDescent="0.25">
      <c r="A773">
        <v>10537</v>
      </c>
      <c r="B773">
        <v>58</v>
      </c>
      <c r="C773">
        <v>13.25</v>
      </c>
      <c r="D773">
        <v>20</v>
      </c>
      <c r="E773">
        <v>0</v>
      </c>
      <c r="F773">
        <f t="shared" si="12"/>
        <v>265</v>
      </c>
      <c r="G773">
        <f>YEAR(VLOOKUP(A773,orders!A:D,4,0))</f>
        <v>2014</v>
      </c>
      <c r="H773">
        <f>MONTH(INDEX(orders!D:D,MATCH(A773, orders!A:A,0)))</f>
        <v>5</v>
      </c>
      <c r="I773" t="str">
        <f>VLOOKUP(VLOOKUP(B773,products!A:F,6,0),categories!A:B,2,0)</f>
        <v>Seafood</v>
      </c>
      <c r="J773" t="str">
        <f>VLOOKUP(VLOOKUP(A773,orders!A:B,2,0),customers!A:F,6,0)</f>
        <v>Switzerland</v>
      </c>
      <c r="K773" t="str">
        <f>VLOOKUP(VLOOKUP(A773,orders!A:C,3,0),employees!A:B,2,0)</f>
        <v>Nancy Davolio</v>
      </c>
    </row>
    <row r="774" spans="1:11" x14ac:dyDescent="0.25">
      <c r="A774">
        <v>10537</v>
      </c>
      <c r="B774">
        <v>72</v>
      </c>
      <c r="C774">
        <v>34.799999999999997</v>
      </c>
      <c r="D774">
        <v>21</v>
      </c>
      <c r="E774">
        <v>0</v>
      </c>
      <c r="F774">
        <f t="shared" si="12"/>
        <v>730.8</v>
      </c>
      <c r="G774">
        <f>YEAR(VLOOKUP(A774,orders!A:D,4,0))</f>
        <v>2014</v>
      </c>
      <c r="H774">
        <f>MONTH(INDEX(orders!D:D,MATCH(A774, orders!A:A,0)))</f>
        <v>5</v>
      </c>
      <c r="I774" t="str">
        <f>VLOOKUP(VLOOKUP(B774,products!A:F,6,0),categories!A:B,2,0)</f>
        <v>Dairy Products</v>
      </c>
      <c r="J774" t="str">
        <f>VLOOKUP(VLOOKUP(A774,orders!A:B,2,0),customers!A:F,6,0)</f>
        <v>Switzerland</v>
      </c>
      <c r="K774" t="str">
        <f>VLOOKUP(VLOOKUP(A774,orders!A:C,3,0),employees!A:B,2,0)</f>
        <v>Nancy Davolio</v>
      </c>
    </row>
    <row r="775" spans="1:11" x14ac:dyDescent="0.25">
      <c r="A775">
        <v>10537</v>
      </c>
      <c r="B775">
        <v>73</v>
      </c>
      <c r="C775">
        <v>15</v>
      </c>
      <c r="D775">
        <v>9</v>
      </c>
      <c r="E775">
        <v>0</v>
      </c>
      <c r="F775">
        <f t="shared" si="12"/>
        <v>135</v>
      </c>
      <c r="G775">
        <f>YEAR(VLOOKUP(A775,orders!A:D,4,0))</f>
        <v>2014</v>
      </c>
      <c r="H775">
        <f>MONTH(INDEX(orders!D:D,MATCH(A775, orders!A:A,0)))</f>
        <v>5</v>
      </c>
      <c r="I775" t="str">
        <f>VLOOKUP(VLOOKUP(B775,products!A:F,6,0),categories!A:B,2,0)</f>
        <v>Seafood</v>
      </c>
      <c r="J775" t="str">
        <f>VLOOKUP(VLOOKUP(A775,orders!A:B,2,0),customers!A:F,6,0)</f>
        <v>Switzerland</v>
      </c>
      <c r="K775" t="str">
        <f>VLOOKUP(VLOOKUP(A775,orders!A:C,3,0),employees!A:B,2,0)</f>
        <v>Nancy Davolio</v>
      </c>
    </row>
    <row r="776" spans="1:11" x14ac:dyDescent="0.25">
      <c r="A776">
        <v>10538</v>
      </c>
      <c r="B776">
        <v>70</v>
      </c>
      <c r="C776">
        <v>15</v>
      </c>
      <c r="D776">
        <v>7</v>
      </c>
      <c r="E776">
        <v>0</v>
      </c>
      <c r="F776">
        <f t="shared" si="12"/>
        <v>105</v>
      </c>
      <c r="G776">
        <f>YEAR(VLOOKUP(A776,orders!A:D,4,0))</f>
        <v>2014</v>
      </c>
      <c r="H776">
        <f>MONTH(INDEX(orders!D:D,MATCH(A776, orders!A:A,0)))</f>
        <v>5</v>
      </c>
      <c r="I776" t="str">
        <f>VLOOKUP(VLOOKUP(B776,products!A:F,6,0),categories!A:B,2,0)</f>
        <v>Beverages</v>
      </c>
      <c r="J776" t="str">
        <f>VLOOKUP(VLOOKUP(A776,orders!A:B,2,0),customers!A:F,6,0)</f>
        <v>UK</v>
      </c>
      <c r="K776" t="str">
        <f>VLOOKUP(VLOOKUP(A776,orders!A:C,3,0),employees!A:B,2,0)</f>
        <v>Anne Dodsworth</v>
      </c>
    </row>
    <row r="777" spans="1:11" x14ac:dyDescent="0.25">
      <c r="A777">
        <v>10538</v>
      </c>
      <c r="B777">
        <v>72</v>
      </c>
      <c r="C777">
        <v>34.799999999999997</v>
      </c>
      <c r="D777">
        <v>1</v>
      </c>
      <c r="E777">
        <v>0</v>
      </c>
      <c r="F777">
        <f t="shared" si="12"/>
        <v>34.799999999999997</v>
      </c>
      <c r="G777">
        <f>YEAR(VLOOKUP(A777,orders!A:D,4,0))</f>
        <v>2014</v>
      </c>
      <c r="H777">
        <f>MONTH(INDEX(orders!D:D,MATCH(A777, orders!A:A,0)))</f>
        <v>5</v>
      </c>
      <c r="I777" t="str">
        <f>VLOOKUP(VLOOKUP(B777,products!A:F,6,0),categories!A:B,2,0)</f>
        <v>Dairy Products</v>
      </c>
      <c r="J777" t="str">
        <f>VLOOKUP(VLOOKUP(A777,orders!A:B,2,0),customers!A:F,6,0)</f>
        <v>UK</v>
      </c>
      <c r="K777" t="str">
        <f>VLOOKUP(VLOOKUP(A777,orders!A:C,3,0),employees!A:B,2,0)</f>
        <v>Anne Dodsworth</v>
      </c>
    </row>
    <row r="778" spans="1:11" x14ac:dyDescent="0.25">
      <c r="A778">
        <v>10539</v>
      </c>
      <c r="B778">
        <v>13</v>
      </c>
      <c r="C778">
        <v>6</v>
      </c>
      <c r="D778">
        <v>8</v>
      </c>
      <c r="E778">
        <v>0</v>
      </c>
      <c r="F778">
        <f t="shared" si="12"/>
        <v>48</v>
      </c>
      <c r="G778">
        <f>YEAR(VLOOKUP(A778,orders!A:D,4,0))</f>
        <v>2014</v>
      </c>
      <c r="H778">
        <f>MONTH(INDEX(orders!D:D,MATCH(A778, orders!A:A,0)))</f>
        <v>5</v>
      </c>
      <c r="I778" t="str">
        <f>VLOOKUP(VLOOKUP(B778,products!A:F,6,0),categories!A:B,2,0)</f>
        <v>Seafood</v>
      </c>
      <c r="J778" t="str">
        <f>VLOOKUP(VLOOKUP(A778,orders!A:B,2,0),customers!A:F,6,0)</f>
        <v>UK</v>
      </c>
      <c r="K778" t="str">
        <f>VLOOKUP(VLOOKUP(A778,orders!A:C,3,0),employees!A:B,2,0)</f>
        <v>Michael Suyama</v>
      </c>
    </row>
    <row r="779" spans="1:11" x14ac:dyDescent="0.25">
      <c r="A779">
        <v>10539</v>
      </c>
      <c r="B779">
        <v>21</v>
      </c>
      <c r="C779">
        <v>10</v>
      </c>
      <c r="D779">
        <v>15</v>
      </c>
      <c r="E779">
        <v>0</v>
      </c>
      <c r="F779">
        <f t="shared" si="12"/>
        <v>150</v>
      </c>
      <c r="G779">
        <f>YEAR(VLOOKUP(A779,orders!A:D,4,0))</f>
        <v>2014</v>
      </c>
      <c r="H779">
        <f>MONTH(INDEX(orders!D:D,MATCH(A779, orders!A:A,0)))</f>
        <v>5</v>
      </c>
      <c r="I779" t="str">
        <f>VLOOKUP(VLOOKUP(B779,products!A:F,6,0),categories!A:B,2,0)</f>
        <v>Confections</v>
      </c>
      <c r="J779" t="str">
        <f>VLOOKUP(VLOOKUP(A779,orders!A:B,2,0),customers!A:F,6,0)</f>
        <v>UK</v>
      </c>
      <c r="K779" t="str">
        <f>VLOOKUP(VLOOKUP(A779,orders!A:C,3,0),employees!A:B,2,0)</f>
        <v>Michael Suyama</v>
      </c>
    </row>
    <row r="780" spans="1:11" x14ac:dyDescent="0.25">
      <c r="A780">
        <v>10539</v>
      </c>
      <c r="B780">
        <v>33</v>
      </c>
      <c r="C780">
        <v>2.5</v>
      </c>
      <c r="D780">
        <v>15</v>
      </c>
      <c r="E780">
        <v>0</v>
      </c>
      <c r="F780">
        <f t="shared" si="12"/>
        <v>37.5</v>
      </c>
      <c r="G780">
        <f>YEAR(VLOOKUP(A780,orders!A:D,4,0))</f>
        <v>2014</v>
      </c>
      <c r="H780">
        <f>MONTH(INDEX(orders!D:D,MATCH(A780, orders!A:A,0)))</f>
        <v>5</v>
      </c>
      <c r="I780" t="str">
        <f>VLOOKUP(VLOOKUP(B780,products!A:F,6,0),categories!A:B,2,0)</f>
        <v>Dairy Products</v>
      </c>
      <c r="J780" t="str">
        <f>VLOOKUP(VLOOKUP(A780,orders!A:B,2,0),customers!A:F,6,0)</f>
        <v>UK</v>
      </c>
      <c r="K780" t="str">
        <f>VLOOKUP(VLOOKUP(A780,orders!A:C,3,0),employees!A:B,2,0)</f>
        <v>Michael Suyama</v>
      </c>
    </row>
    <row r="781" spans="1:11" x14ac:dyDescent="0.25">
      <c r="A781">
        <v>10539</v>
      </c>
      <c r="B781">
        <v>49</v>
      </c>
      <c r="C781">
        <v>20</v>
      </c>
      <c r="D781">
        <v>6</v>
      </c>
      <c r="E781">
        <v>0</v>
      </c>
      <c r="F781">
        <f t="shared" si="12"/>
        <v>120</v>
      </c>
      <c r="G781">
        <f>YEAR(VLOOKUP(A781,orders!A:D,4,0))</f>
        <v>2014</v>
      </c>
      <c r="H781">
        <f>MONTH(INDEX(orders!D:D,MATCH(A781, orders!A:A,0)))</f>
        <v>5</v>
      </c>
      <c r="I781" t="str">
        <f>VLOOKUP(VLOOKUP(B781,products!A:F,6,0),categories!A:B,2,0)</f>
        <v>Confections</v>
      </c>
      <c r="J781" t="str">
        <f>VLOOKUP(VLOOKUP(A781,orders!A:B,2,0),customers!A:F,6,0)</f>
        <v>UK</v>
      </c>
      <c r="K781" t="str">
        <f>VLOOKUP(VLOOKUP(A781,orders!A:C,3,0),employees!A:B,2,0)</f>
        <v>Michael Suyama</v>
      </c>
    </row>
    <row r="782" spans="1:11" x14ac:dyDescent="0.25">
      <c r="A782">
        <v>10540</v>
      </c>
      <c r="B782">
        <v>3</v>
      </c>
      <c r="C782">
        <v>10</v>
      </c>
      <c r="D782">
        <v>60</v>
      </c>
      <c r="E782">
        <v>0</v>
      </c>
      <c r="F782">
        <f t="shared" si="12"/>
        <v>600</v>
      </c>
      <c r="G782">
        <f>YEAR(VLOOKUP(A782,orders!A:D,4,0))</f>
        <v>2014</v>
      </c>
      <c r="H782">
        <f>MONTH(INDEX(orders!D:D,MATCH(A782, orders!A:A,0)))</f>
        <v>5</v>
      </c>
      <c r="I782" t="str">
        <f>VLOOKUP(VLOOKUP(B782,products!A:F,6,0),categories!A:B,2,0)</f>
        <v>Condiments</v>
      </c>
      <c r="J782" t="str">
        <f>VLOOKUP(VLOOKUP(A782,orders!A:B,2,0),customers!A:F,6,0)</f>
        <v>Germany</v>
      </c>
      <c r="K782" t="str">
        <f>VLOOKUP(VLOOKUP(A782,orders!A:C,3,0),employees!A:B,2,0)</f>
        <v>Janet Leverling</v>
      </c>
    </row>
    <row r="783" spans="1:11" x14ac:dyDescent="0.25">
      <c r="A783">
        <v>10540</v>
      </c>
      <c r="B783">
        <v>26</v>
      </c>
      <c r="C783">
        <v>31.23</v>
      </c>
      <c r="D783">
        <v>40</v>
      </c>
      <c r="E783">
        <v>0</v>
      </c>
      <c r="F783">
        <f t="shared" si="12"/>
        <v>1249.2</v>
      </c>
      <c r="G783">
        <f>YEAR(VLOOKUP(A783,orders!A:D,4,0))</f>
        <v>2014</v>
      </c>
      <c r="H783">
        <f>MONTH(INDEX(orders!D:D,MATCH(A783, orders!A:A,0)))</f>
        <v>5</v>
      </c>
      <c r="I783" t="str">
        <f>VLOOKUP(VLOOKUP(B783,products!A:F,6,0),categories!A:B,2,0)</f>
        <v>Confections</v>
      </c>
      <c r="J783" t="str">
        <f>VLOOKUP(VLOOKUP(A783,orders!A:B,2,0),customers!A:F,6,0)</f>
        <v>Germany</v>
      </c>
      <c r="K783" t="str">
        <f>VLOOKUP(VLOOKUP(A783,orders!A:C,3,0),employees!A:B,2,0)</f>
        <v>Janet Leverling</v>
      </c>
    </row>
    <row r="784" spans="1:11" x14ac:dyDescent="0.25">
      <c r="A784">
        <v>10540</v>
      </c>
      <c r="B784">
        <v>38</v>
      </c>
      <c r="C784">
        <v>263.5</v>
      </c>
      <c r="D784">
        <v>30</v>
      </c>
      <c r="E784">
        <v>0</v>
      </c>
      <c r="F784">
        <f t="shared" si="12"/>
        <v>7905</v>
      </c>
      <c r="G784">
        <f>YEAR(VLOOKUP(A784,orders!A:D,4,0))</f>
        <v>2014</v>
      </c>
      <c r="H784">
        <f>MONTH(INDEX(orders!D:D,MATCH(A784, orders!A:A,0)))</f>
        <v>5</v>
      </c>
      <c r="I784" t="str">
        <f>VLOOKUP(VLOOKUP(B784,products!A:F,6,0),categories!A:B,2,0)</f>
        <v>Beverages</v>
      </c>
      <c r="J784" t="str">
        <f>VLOOKUP(VLOOKUP(A784,orders!A:B,2,0),customers!A:F,6,0)</f>
        <v>Germany</v>
      </c>
      <c r="K784" t="str">
        <f>VLOOKUP(VLOOKUP(A784,orders!A:C,3,0),employees!A:B,2,0)</f>
        <v>Janet Leverling</v>
      </c>
    </row>
    <row r="785" spans="1:11" x14ac:dyDescent="0.25">
      <c r="A785">
        <v>10540</v>
      </c>
      <c r="B785">
        <v>68</v>
      </c>
      <c r="C785">
        <v>12.5</v>
      </c>
      <c r="D785">
        <v>35</v>
      </c>
      <c r="E785">
        <v>0</v>
      </c>
      <c r="F785">
        <f t="shared" si="12"/>
        <v>437.5</v>
      </c>
      <c r="G785">
        <f>YEAR(VLOOKUP(A785,orders!A:D,4,0))</f>
        <v>2014</v>
      </c>
      <c r="H785">
        <f>MONTH(INDEX(orders!D:D,MATCH(A785, orders!A:A,0)))</f>
        <v>5</v>
      </c>
      <c r="I785" t="str">
        <f>VLOOKUP(VLOOKUP(B785,products!A:F,6,0),categories!A:B,2,0)</f>
        <v>Confections</v>
      </c>
      <c r="J785" t="str">
        <f>VLOOKUP(VLOOKUP(A785,orders!A:B,2,0),customers!A:F,6,0)</f>
        <v>Germany</v>
      </c>
      <c r="K785" t="str">
        <f>VLOOKUP(VLOOKUP(A785,orders!A:C,3,0),employees!A:B,2,0)</f>
        <v>Janet Leverling</v>
      </c>
    </row>
    <row r="786" spans="1:11" x14ac:dyDescent="0.25">
      <c r="A786">
        <v>10541</v>
      </c>
      <c r="B786">
        <v>24</v>
      </c>
      <c r="C786">
        <v>4.5</v>
      </c>
      <c r="D786">
        <v>35</v>
      </c>
      <c r="E786">
        <v>0.1</v>
      </c>
      <c r="F786">
        <f t="shared" si="12"/>
        <v>141.75</v>
      </c>
      <c r="G786">
        <f>YEAR(VLOOKUP(A786,orders!A:D,4,0))</f>
        <v>2014</v>
      </c>
      <c r="H786">
        <f>MONTH(INDEX(orders!D:D,MATCH(A786, orders!A:A,0)))</f>
        <v>5</v>
      </c>
      <c r="I786" t="str">
        <f>VLOOKUP(VLOOKUP(B786,products!A:F,6,0),categories!A:B,2,0)</f>
        <v>Beverages</v>
      </c>
      <c r="J786" t="str">
        <f>VLOOKUP(VLOOKUP(A786,orders!A:B,2,0),customers!A:F,6,0)</f>
        <v>Brazil</v>
      </c>
      <c r="K786" t="str">
        <f>VLOOKUP(VLOOKUP(A786,orders!A:C,3,0),employees!A:B,2,0)</f>
        <v>Andrew Fuller</v>
      </c>
    </row>
    <row r="787" spans="1:11" x14ac:dyDescent="0.25">
      <c r="A787">
        <v>10541</v>
      </c>
      <c r="B787">
        <v>38</v>
      </c>
      <c r="C787">
        <v>263.5</v>
      </c>
      <c r="D787">
        <v>4</v>
      </c>
      <c r="E787">
        <v>0.1</v>
      </c>
      <c r="F787">
        <f t="shared" si="12"/>
        <v>948.6</v>
      </c>
      <c r="G787">
        <f>YEAR(VLOOKUP(A787,orders!A:D,4,0))</f>
        <v>2014</v>
      </c>
      <c r="H787">
        <f>MONTH(INDEX(orders!D:D,MATCH(A787, orders!A:A,0)))</f>
        <v>5</v>
      </c>
      <c r="I787" t="str">
        <f>VLOOKUP(VLOOKUP(B787,products!A:F,6,0),categories!A:B,2,0)</f>
        <v>Beverages</v>
      </c>
      <c r="J787" t="str">
        <f>VLOOKUP(VLOOKUP(A787,orders!A:B,2,0),customers!A:F,6,0)</f>
        <v>Brazil</v>
      </c>
      <c r="K787" t="str">
        <f>VLOOKUP(VLOOKUP(A787,orders!A:C,3,0),employees!A:B,2,0)</f>
        <v>Andrew Fuller</v>
      </c>
    </row>
    <row r="788" spans="1:11" x14ac:dyDescent="0.25">
      <c r="A788">
        <v>10541</v>
      </c>
      <c r="B788">
        <v>65</v>
      </c>
      <c r="C788">
        <v>21.05</v>
      </c>
      <c r="D788">
        <v>36</v>
      </c>
      <c r="E788">
        <v>0.1</v>
      </c>
      <c r="F788">
        <f t="shared" si="12"/>
        <v>682.0200000000001</v>
      </c>
      <c r="G788">
        <f>YEAR(VLOOKUP(A788,orders!A:D,4,0))</f>
        <v>2014</v>
      </c>
      <c r="H788">
        <f>MONTH(INDEX(orders!D:D,MATCH(A788, orders!A:A,0)))</f>
        <v>5</v>
      </c>
      <c r="I788" t="str">
        <f>VLOOKUP(VLOOKUP(B788,products!A:F,6,0),categories!A:B,2,0)</f>
        <v>Condiments</v>
      </c>
      <c r="J788" t="str">
        <f>VLOOKUP(VLOOKUP(A788,orders!A:B,2,0),customers!A:F,6,0)</f>
        <v>Brazil</v>
      </c>
      <c r="K788" t="str">
        <f>VLOOKUP(VLOOKUP(A788,orders!A:C,3,0),employees!A:B,2,0)</f>
        <v>Andrew Fuller</v>
      </c>
    </row>
    <row r="789" spans="1:11" x14ac:dyDescent="0.25">
      <c r="A789">
        <v>10541</v>
      </c>
      <c r="B789">
        <v>71</v>
      </c>
      <c r="C789">
        <v>21.5</v>
      </c>
      <c r="D789">
        <v>9</v>
      </c>
      <c r="E789">
        <v>0.1</v>
      </c>
      <c r="F789">
        <f t="shared" si="12"/>
        <v>174.15</v>
      </c>
      <c r="G789">
        <f>YEAR(VLOOKUP(A789,orders!A:D,4,0))</f>
        <v>2014</v>
      </c>
      <c r="H789">
        <f>MONTH(INDEX(orders!D:D,MATCH(A789, orders!A:A,0)))</f>
        <v>5</v>
      </c>
      <c r="I789" t="str">
        <f>VLOOKUP(VLOOKUP(B789,products!A:F,6,0),categories!A:B,2,0)</f>
        <v>Dairy Products</v>
      </c>
      <c r="J789" t="str">
        <f>VLOOKUP(VLOOKUP(A789,orders!A:B,2,0),customers!A:F,6,0)</f>
        <v>Brazil</v>
      </c>
      <c r="K789" t="str">
        <f>VLOOKUP(VLOOKUP(A789,orders!A:C,3,0),employees!A:B,2,0)</f>
        <v>Andrew Fuller</v>
      </c>
    </row>
    <row r="790" spans="1:11" x14ac:dyDescent="0.25">
      <c r="A790">
        <v>10542</v>
      </c>
      <c r="B790">
        <v>11</v>
      </c>
      <c r="C790">
        <v>21</v>
      </c>
      <c r="D790">
        <v>15</v>
      </c>
      <c r="E790">
        <v>0.05</v>
      </c>
      <c r="F790">
        <f t="shared" si="12"/>
        <v>299.25</v>
      </c>
      <c r="G790">
        <f>YEAR(VLOOKUP(A790,orders!A:D,4,0))</f>
        <v>2014</v>
      </c>
      <c r="H790">
        <f>MONTH(INDEX(orders!D:D,MATCH(A790, orders!A:A,0)))</f>
        <v>5</v>
      </c>
      <c r="I790" t="str">
        <f>VLOOKUP(VLOOKUP(B790,products!A:F,6,0),categories!A:B,2,0)</f>
        <v>Dairy Products</v>
      </c>
      <c r="J790" t="str">
        <f>VLOOKUP(VLOOKUP(A790,orders!A:B,2,0),customers!A:F,6,0)</f>
        <v>Germany</v>
      </c>
      <c r="K790" t="str">
        <f>VLOOKUP(VLOOKUP(A790,orders!A:C,3,0),employees!A:B,2,0)</f>
        <v>Nancy Davolio</v>
      </c>
    </row>
    <row r="791" spans="1:11" x14ac:dyDescent="0.25">
      <c r="A791">
        <v>10542</v>
      </c>
      <c r="B791">
        <v>54</v>
      </c>
      <c r="C791">
        <v>7.45</v>
      </c>
      <c r="D791">
        <v>24</v>
      </c>
      <c r="E791">
        <v>0.05</v>
      </c>
      <c r="F791">
        <f t="shared" si="12"/>
        <v>169.86</v>
      </c>
      <c r="G791">
        <f>YEAR(VLOOKUP(A791,orders!A:D,4,0))</f>
        <v>2014</v>
      </c>
      <c r="H791">
        <f>MONTH(INDEX(orders!D:D,MATCH(A791, orders!A:A,0)))</f>
        <v>5</v>
      </c>
      <c r="I791" t="str">
        <f>VLOOKUP(VLOOKUP(B791,products!A:F,6,0),categories!A:B,2,0)</f>
        <v>Meat &amp; Poultry</v>
      </c>
      <c r="J791" t="str">
        <f>VLOOKUP(VLOOKUP(A791,orders!A:B,2,0),customers!A:F,6,0)</f>
        <v>Germany</v>
      </c>
      <c r="K791" t="str">
        <f>VLOOKUP(VLOOKUP(A791,orders!A:C,3,0),employees!A:B,2,0)</f>
        <v>Nancy Davolio</v>
      </c>
    </row>
    <row r="792" spans="1:11" x14ac:dyDescent="0.25">
      <c r="A792">
        <v>10543</v>
      </c>
      <c r="B792">
        <v>12</v>
      </c>
      <c r="C792">
        <v>38</v>
      </c>
      <c r="D792">
        <v>30</v>
      </c>
      <c r="E792">
        <v>0.15</v>
      </c>
      <c r="F792">
        <f t="shared" si="12"/>
        <v>969</v>
      </c>
      <c r="G792">
        <f>YEAR(VLOOKUP(A792,orders!A:D,4,0))</f>
        <v>2014</v>
      </c>
      <c r="H792">
        <f>MONTH(INDEX(orders!D:D,MATCH(A792, orders!A:A,0)))</f>
        <v>5</v>
      </c>
      <c r="I792" t="str">
        <f>VLOOKUP(VLOOKUP(B792,products!A:F,6,0),categories!A:B,2,0)</f>
        <v>Dairy Products</v>
      </c>
      <c r="J792" t="str">
        <f>VLOOKUP(VLOOKUP(A792,orders!A:B,2,0),customers!A:F,6,0)</f>
        <v>Venezuela</v>
      </c>
      <c r="K792" t="str">
        <f>VLOOKUP(VLOOKUP(A792,orders!A:C,3,0),employees!A:B,2,0)</f>
        <v>Laura Callahan</v>
      </c>
    </row>
    <row r="793" spans="1:11" x14ac:dyDescent="0.25">
      <c r="A793">
        <v>10543</v>
      </c>
      <c r="B793">
        <v>23</v>
      </c>
      <c r="C793">
        <v>9</v>
      </c>
      <c r="D793">
        <v>70</v>
      </c>
      <c r="E793">
        <v>0.15</v>
      </c>
      <c r="F793">
        <f t="shared" si="12"/>
        <v>535.5</v>
      </c>
      <c r="G793">
        <f>YEAR(VLOOKUP(A793,orders!A:D,4,0))</f>
        <v>2014</v>
      </c>
      <c r="H793">
        <f>MONTH(INDEX(orders!D:D,MATCH(A793, orders!A:A,0)))</f>
        <v>5</v>
      </c>
      <c r="I793" t="str">
        <f>VLOOKUP(VLOOKUP(B793,products!A:F,6,0),categories!A:B,2,0)</f>
        <v>Grains &amp; Cereals</v>
      </c>
      <c r="J793" t="str">
        <f>VLOOKUP(VLOOKUP(A793,orders!A:B,2,0),customers!A:F,6,0)</f>
        <v>Venezuela</v>
      </c>
      <c r="K793" t="str">
        <f>VLOOKUP(VLOOKUP(A793,orders!A:C,3,0),employees!A:B,2,0)</f>
        <v>Laura Callahan</v>
      </c>
    </row>
    <row r="794" spans="1:11" x14ac:dyDescent="0.25">
      <c r="A794">
        <v>10544</v>
      </c>
      <c r="B794">
        <v>28</v>
      </c>
      <c r="C794">
        <v>45.6</v>
      </c>
      <c r="D794">
        <v>7</v>
      </c>
      <c r="E794">
        <v>0</v>
      </c>
      <c r="F794">
        <f t="shared" si="12"/>
        <v>319.2</v>
      </c>
      <c r="G794">
        <f>YEAR(VLOOKUP(A794,orders!A:D,4,0))</f>
        <v>2014</v>
      </c>
      <c r="H794">
        <f>MONTH(INDEX(orders!D:D,MATCH(A794, orders!A:A,0)))</f>
        <v>5</v>
      </c>
      <c r="I794" t="str">
        <f>VLOOKUP(VLOOKUP(B794,products!A:F,6,0),categories!A:B,2,0)</f>
        <v>Produce</v>
      </c>
      <c r="J794" t="str">
        <f>VLOOKUP(VLOOKUP(A794,orders!A:B,2,0),customers!A:F,6,0)</f>
        <v>USA</v>
      </c>
      <c r="K794" t="str">
        <f>VLOOKUP(VLOOKUP(A794,orders!A:C,3,0),employees!A:B,2,0)</f>
        <v>Margaret Peacock</v>
      </c>
    </row>
    <row r="795" spans="1:11" x14ac:dyDescent="0.25">
      <c r="A795">
        <v>10544</v>
      </c>
      <c r="B795">
        <v>67</v>
      </c>
      <c r="C795">
        <v>14</v>
      </c>
      <c r="D795">
        <v>7</v>
      </c>
      <c r="E795">
        <v>0</v>
      </c>
      <c r="F795">
        <f t="shared" si="12"/>
        <v>98</v>
      </c>
      <c r="G795">
        <f>YEAR(VLOOKUP(A795,orders!A:D,4,0))</f>
        <v>2014</v>
      </c>
      <c r="H795">
        <f>MONTH(INDEX(orders!D:D,MATCH(A795, orders!A:A,0)))</f>
        <v>5</v>
      </c>
      <c r="I795" t="str">
        <f>VLOOKUP(VLOOKUP(B795,products!A:F,6,0),categories!A:B,2,0)</f>
        <v>Beverages</v>
      </c>
      <c r="J795" t="str">
        <f>VLOOKUP(VLOOKUP(A795,orders!A:B,2,0),customers!A:F,6,0)</f>
        <v>USA</v>
      </c>
      <c r="K795" t="str">
        <f>VLOOKUP(VLOOKUP(A795,orders!A:C,3,0),employees!A:B,2,0)</f>
        <v>Margaret Peacock</v>
      </c>
    </row>
    <row r="796" spans="1:11" x14ac:dyDescent="0.25">
      <c r="A796">
        <v>10545</v>
      </c>
      <c r="B796">
        <v>11</v>
      </c>
      <c r="C796">
        <v>21</v>
      </c>
      <c r="D796">
        <v>10</v>
      </c>
      <c r="E796">
        <v>0</v>
      </c>
      <c r="F796">
        <f t="shared" si="12"/>
        <v>210</v>
      </c>
      <c r="G796">
        <f>YEAR(VLOOKUP(A796,orders!A:D,4,0))</f>
        <v>2014</v>
      </c>
      <c r="H796">
        <f>MONTH(INDEX(orders!D:D,MATCH(A796, orders!A:A,0)))</f>
        <v>5</v>
      </c>
      <c r="I796" t="str">
        <f>VLOOKUP(VLOOKUP(B796,products!A:F,6,0),categories!A:B,2,0)</f>
        <v>Dairy Products</v>
      </c>
      <c r="J796" t="str">
        <f>VLOOKUP(VLOOKUP(A796,orders!A:B,2,0),customers!A:F,6,0)</f>
        <v>USA</v>
      </c>
      <c r="K796" t="str">
        <f>VLOOKUP(VLOOKUP(A796,orders!A:C,3,0),employees!A:B,2,0)</f>
        <v>Laura Callahan</v>
      </c>
    </row>
    <row r="797" spans="1:11" x14ac:dyDescent="0.25">
      <c r="A797">
        <v>10546</v>
      </c>
      <c r="B797">
        <v>7</v>
      </c>
      <c r="C797">
        <v>30</v>
      </c>
      <c r="D797">
        <v>10</v>
      </c>
      <c r="E797">
        <v>0</v>
      </c>
      <c r="F797">
        <f t="shared" si="12"/>
        <v>300</v>
      </c>
      <c r="G797">
        <f>YEAR(VLOOKUP(A797,orders!A:D,4,0))</f>
        <v>2014</v>
      </c>
      <c r="H797">
        <f>MONTH(INDEX(orders!D:D,MATCH(A797, orders!A:A,0)))</f>
        <v>5</v>
      </c>
      <c r="I797" t="str">
        <f>VLOOKUP(VLOOKUP(B797,products!A:F,6,0),categories!A:B,2,0)</f>
        <v>Produce</v>
      </c>
      <c r="J797" t="str">
        <f>VLOOKUP(VLOOKUP(A797,orders!A:B,2,0),customers!A:F,6,0)</f>
        <v>France</v>
      </c>
      <c r="K797" t="str">
        <f>VLOOKUP(VLOOKUP(A797,orders!A:C,3,0),employees!A:B,2,0)</f>
        <v>Nancy Davolio</v>
      </c>
    </row>
    <row r="798" spans="1:11" x14ac:dyDescent="0.25">
      <c r="A798">
        <v>10546</v>
      </c>
      <c r="B798">
        <v>35</v>
      </c>
      <c r="C798">
        <v>18</v>
      </c>
      <c r="D798">
        <v>30</v>
      </c>
      <c r="E798">
        <v>0</v>
      </c>
      <c r="F798">
        <f t="shared" si="12"/>
        <v>540</v>
      </c>
      <c r="G798">
        <f>YEAR(VLOOKUP(A798,orders!A:D,4,0))</f>
        <v>2014</v>
      </c>
      <c r="H798">
        <f>MONTH(INDEX(orders!D:D,MATCH(A798, orders!A:A,0)))</f>
        <v>5</v>
      </c>
      <c r="I798" t="str">
        <f>VLOOKUP(VLOOKUP(B798,products!A:F,6,0),categories!A:B,2,0)</f>
        <v>Beverages</v>
      </c>
      <c r="J798" t="str">
        <f>VLOOKUP(VLOOKUP(A798,orders!A:B,2,0),customers!A:F,6,0)</f>
        <v>France</v>
      </c>
      <c r="K798" t="str">
        <f>VLOOKUP(VLOOKUP(A798,orders!A:C,3,0),employees!A:B,2,0)</f>
        <v>Nancy Davolio</v>
      </c>
    </row>
    <row r="799" spans="1:11" x14ac:dyDescent="0.25">
      <c r="A799">
        <v>10546</v>
      </c>
      <c r="B799">
        <v>62</v>
      </c>
      <c r="C799">
        <v>49.3</v>
      </c>
      <c r="D799">
        <v>40</v>
      </c>
      <c r="E799">
        <v>0</v>
      </c>
      <c r="F799">
        <f t="shared" si="12"/>
        <v>1972</v>
      </c>
      <c r="G799">
        <f>YEAR(VLOOKUP(A799,orders!A:D,4,0))</f>
        <v>2014</v>
      </c>
      <c r="H799">
        <f>MONTH(INDEX(orders!D:D,MATCH(A799, orders!A:A,0)))</f>
        <v>5</v>
      </c>
      <c r="I799" t="str">
        <f>VLOOKUP(VLOOKUP(B799,products!A:F,6,0),categories!A:B,2,0)</f>
        <v>Confections</v>
      </c>
      <c r="J799" t="str">
        <f>VLOOKUP(VLOOKUP(A799,orders!A:B,2,0),customers!A:F,6,0)</f>
        <v>France</v>
      </c>
      <c r="K799" t="str">
        <f>VLOOKUP(VLOOKUP(A799,orders!A:C,3,0),employees!A:B,2,0)</f>
        <v>Nancy Davolio</v>
      </c>
    </row>
    <row r="800" spans="1:11" x14ac:dyDescent="0.25">
      <c r="A800">
        <v>10547</v>
      </c>
      <c r="B800">
        <v>32</v>
      </c>
      <c r="C800">
        <v>32</v>
      </c>
      <c r="D800">
        <v>24</v>
      </c>
      <c r="E800">
        <v>0.15</v>
      </c>
      <c r="F800">
        <f t="shared" si="12"/>
        <v>652.79999999999995</v>
      </c>
      <c r="G800">
        <f>YEAR(VLOOKUP(A800,orders!A:D,4,0))</f>
        <v>2014</v>
      </c>
      <c r="H800">
        <f>MONTH(INDEX(orders!D:D,MATCH(A800, orders!A:A,0)))</f>
        <v>5</v>
      </c>
      <c r="I800" t="str">
        <f>VLOOKUP(VLOOKUP(B800,products!A:F,6,0),categories!A:B,2,0)</f>
        <v>Dairy Products</v>
      </c>
      <c r="J800" t="str">
        <f>VLOOKUP(VLOOKUP(A800,orders!A:B,2,0),customers!A:F,6,0)</f>
        <v>UK</v>
      </c>
      <c r="K800" t="str">
        <f>VLOOKUP(VLOOKUP(A800,orders!A:C,3,0),employees!A:B,2,0)</f>
        <v>Janet Leverling</v>
      </c>
    </row>
    <row r="801" spans="1:11" x14ac:dyDescent="0.25">
      <c r="A801">
        <v>10547</v>
      </c>
      <c r="B801">
        <v>36</v>
      </c>
      <c r="C801">
        <v>19</v>
      </c>
      <c r="D801">
        <v>60</v>
      </c>
      <c r="E801">
        <v>0</v>
      </c>
      <c r="F801">
        <f t="shared" si="12"/>
        <v>1140</v>
      </c>
      <c r="G801">
        <f>YEAR(VLOOKUP(A801,orders!A:D,4,0))</f>
        <v>2014</v>
      </c>
      <c r="H801">
        <f>MONTH(INDEX(orders!D:D,MATCH(A801, orders!A:A,0)))</f>
        <v>5</v>
      </c>
      <c r="I801" t="str">
        <f>VLOOKUP(VLOOKUP(B801,products!A:F,6,0),categories!A:B,2,0)</f>
        <v>Seafood</v>
      </c>
      <c r="J801" t="str">
        <f>VLOOKUP(VLOOKUP(A801,orders!A:B,2,0),customers!A:F,6,0)</f>
        <v>UK</v>
      </c>
      <c r="K801" t="str">
        <f>VLOOKUP(VLOOKUP(A801,orders!A:C,3,0),employees!A:B,2,0)</f>
        <v>Janet Leverling</v>
      </c>
    </row>
    <row r="802" spans="1:11" x14ac:dyDescent="0.25">
      <c r="A802">
        <v>10548</v>
      </c>
      <c r="B802">
        <v>34</v>
      </c>
      <c r="C802">
        <v>14</v>
      </c>
      <c r="D802">
        <v>10</v>
      </c>
      <c r="E802">
        <v>0.25</v>
      </c>
      <c r="F802">
        <f t="shared" si="12"/>
        <v>105</v>
      </c>
      <c r="G802">
        <f>YEAR(VLOOKUP(A802,orders!A:D,4,0))</f>
        <v>2014</v>
      </c>
      <c r="H802">
        <f>MONTH(INDEX(orders!D:D,MATCH(A802, orders!A:A,0)))</f>
        <v>5</v>
      </c>
      <c r="I802" t="str">
        <f>VLOOKUP(VLOOKUP(B802,products!A:F,6,0),categories!A:B,2,0)</f>
        <v>Beverages</v>
      </c>
      <c r="J802" t="str">
        <f>VLOOKUP(VLOOKUP(A802,orders!A:B,2,0),customers!A:F,6,0)</f>
        <v>Germany</v>
      </c>
      <c r="K802" t="str">
        <f>VLOOKUP(VLOOKUP(A802,orders!A:C,3,0),employees!A:B,2,0)</f>
        <v>Janet Leverling</v>
      </c>
    </row>
    <row r="803" spans="1:11" x14ac:dyDescent="0.25">
      <c r="A803">
        <v>10548</v>
      </c>
      <c r="B803">
        <v>41</v>
      </c>
      <c r="C803">
        <v>9.65</v>
      </c>
      <c r="D803">
        <v>14</v>
      </c>
      <c r="E803">
        <v>0</v>
      </c>
      <c r="F803">
        <f t="shared" si="12"/>
        <v>135.1</v>
      </c>
      <c r="G803">
        <f>YEAR(VLOOKUP(A803,orders!A:D,4,0))</f>
        <v>2014</v>
      </c>
      <c r="H803">
        <f>MONTH(INDEX(orders!D:D,MATCH(A803, orders!A:A,0)))</f>
        <v>5</v>
      </c>
      <c r="I803" t="str">
        <f>VLOOKUP(VLOOKUP(B803,products!A:F,6,0),categories!A:B,2,0)</f>
        <v>Seafood</v>
      </c>
      <c r="J803" t="str">
        <f>VLOOKUP(VLOOKUP(A803,orders!A:B,2,0),customers!A:F,6,0)</f>
        <v>Germany</v>
      </c>
      <c r="K803" t="str">
        <f>VLOOKUP(VLOOKUP(A803,orders!A:C,3,0),employees!A:B,2,0)</f>
        <v>Janet Leverling</v>
      </c>
    </row>
    <row r="804" spans="1:11" x14ac:dyDescent="0.25">
      <c r="A804">
        <v>10549</v>
      </c>
      <c r="B804">
        <v>31</v>
      </c>
      <c r="C804">
        <v>12.5</v>
      </c>
      <c r="D804">
        <v>55</v>
      </c>
      <c r="E804">
        <v>0.15</v>
      </c>
      <c r="F804">
        <f t="shared" si="12"/>
        <v>584.375</v>
      </c>
      <c r="G804">
        <f>YEAR(VLOOKUP(A804,orders!A:D,4,0))</f>
        <v>2014</v>
      </c>
      <c r="H804">
        <f>MONTH(INDEX(orders!D:D,MATCH(A804, orders!A:A,0)))</f>
        <v>5</v>
      </c>
      <c r="I804" t="str">
        <f>VLOOKUP(VLOOKUP(B804,products!A:F,6,0),categories!A:B,2,0)</f>
        <v>Dairy Products</v>
      </c>
      <c r="J804" t="str">
        <f>VLOOKUP(VLOOKUP(A804,orders!A:B,2,0),customers!A:F,6,0)</f>
        <v>Germany</v>
      </c>
      <c r="K804" t="str">
        <f>VLOOKUP(VLOOKUP(A804,orders!A:C,3,0),employees!A:B,2,0)</f>
        <v>Steven Buchanan</v>
      </c>
    </row>
    <row r="805" spans="1:11" x14ac:dyDescent="0.25">
      <c r="A805">
        <v>10549</v>
      </c>
      <c r="B805">
        <v>45</v>
      </c>
      <c r="C805">
        <v>9.5</v>
      </c>
      <c r="D805">
        <v>100</v>
      </c>
      <c r="E805">
        <v>0.15</v>
      </c>
      <c r="F805">
        <f t="shared" si="12"/>
        <v>807.5</v>
      </c>
      <c r="G805">
        <f>YEAR(VLOOKUP(A805,orders!A:D,4,0))</f>
        <v>2014</v>
      </c>
      <c r="H805">
        <f>MONTH(INDEX(orders!D:D,MATCH(A805, orders!A:A,0)))</f>
        <v>5</v>
      </c>
      <c r="I805" t="str">
        <f>VLOOKUP(VLOOKUP(B805,products!A:F,6,0),categories!A:B,2,0)</f>
        <v>Seafood</v>
      </c>
      <c r="J805" t="str">
        <f>VLOOKUP(VLOOKUP(A805,orders!A:B,2,0),customers!A:F,6,0)</f>
        <v>Germany</v>
      </c>
      <c r="K805" t="str">
        <f>VLOOKUP(VLOOKUP(A805,orders!A:C,3,0),employees!A:B,2,0)</f>
        <v>Steven Buchanan</v>
      </c>
    </row>
    <row r="806" spans="1:11" x14ac:dyDescent="0.25">
      <c r="A806">
        <v>10549</v>
      </c>
      <c r="B806">
        <v>51</v>
      </c>
      <c r="C806">
        <v>53</v>
      </c>
      <c r="D806">
        <v>48</v>
      </c>
      <c r="E806">
        <v>0.15</v>
      </c>
      <c r="F806">
        <f t="shared" si="12"/>
        <v>2162.4</v>
      </c>
      <c r="G806">
        <f>YEAR(VLOOKUP(A806,orders!A:D,4,0))</f>
        <v>2014</v>
      </c>
      <c r="H806">
        <f>MONTH(INDEX(orders!D:D,MATCH(A806, orders!A:A,0)))</f>
        <v>5</v>
      </c>
      <c r="I806" t="str">
        <f>VLOOKUP(VLOOKUP(B806,products!A:F,6,0),categories!A:B,2,0)</f>
        <v>Produce</v>
      </c>
      <c r="J806" t="str">
        <f>VLOOKUP(VLOOKUP(A806,orders!A:B,2,0),customers!A:F,6,0)</f>
        <v>Germany</v>
      </c>
      <c r="K806" t="str">
        <f>VLOOKUP(VLOOKUP(A806,orders!A:C,3,0),employees!A:B,2,0)</f>
        <v>Steven Buchanan</v>
      </c>
    </row>
    <row r="807" spans="1:11" x14ac:dyDescent="0.25">
      <c r="A807">
        <v>10550</v>
      </c>
      <c r="B807">
        <v>17</v>
      </c>
      <c r="C807">
        <v>39</v>
      </c>
      <c r="D807">
        <v>8</v>
      </c>
      <c r="E807">
        <v>0.1</v>
      </c>
      <c r="F807">
        <f t="shared" si="12"/>
        <v>280.8</v>
      </c>
      <c r="G807">
        <f>YEAR(VLOOKUP(A807,orders!A:D,4,0))</f>
        <v>2014</v>
      </c>
      <c r="H807">
        <f>MONTH(INDEX(orders!D:D,MATCH(A807, orders!A:A,0)))</f>
        <v>5</v>
      </c>
      <c r="I807" t="str">
        <f>VLOOKUP(VLOOKUP(B807,products!A:F,6,0),categories!A:B,2,0)</f>
        <v>Meat &amp; Poultry</v>
      </c>
      <c r="J807" t="str">
        <f>VLOOKUP(VLOOKUP(A807,orders!A:B,2,0),customers!A:F,6,0)</f>
        <v>Spain</v>
      </c>
      <c r="K807" t="str">
        <f>VLOOKUP(VLOOKUP(A807,orders!A:C,3,0),employees!A:B,2,0)</f>
        <v>Robert King</v>
      </c>
    </row>
    <row r="808" spans="1:11" x14ac:dyDescent="0.25">
      <c r="A808">
        <v>10550</v>
      </c>
      <c r="B808">
        <v>19</v>
      </c>
      <c r="C808">
        <v>9.1999999999999993</v>
      </c>
      <c r="D808">
        <v>10</v>
      </c>
      <c r="E808">
        <v>0</v>
      </c>
      <c r="F808">
        <f t="shared" si="12"/>
        <v>92</v>
      </c>
      <c r="G808">
        <f>YEAR(VLOOKUP(A808,orders!A:D,4,0))</f>
        <v>2014</v>
      </c>
      <c r="H808">
        <f>MONTH(INDEX(orders!D:D,MATCH(A808, orders!A:A,0)))</f>
        <v>5</v>
      </c>
      <c r="I808" t="str">
        <f>VLOOKUP(VLOOKUP(B808,products!A:F,6,0),categories!A:B,2,0)</f>
        <v>Confections</v>
      </c>
      <c r="J808" t="str">
        <f>VLOOKUP(VLOOKUP(A808,orders!A:B,2,0),customers!A:F,6,0)</f>
        <v>Spain</v>
      </c>
      <c r="K808" t="str">
        <f>VLOOKUP(VLOOKUP(A808,orders!A:C,3,0),employees!A:B,2,0)</f>
        <v>Robert King</v>
      </c>
    </row>
    <row r="809" spans="1:11" x14ac:dyDescent="0.25">
      <c r="A809">
        <v>10550</v>
      </c>
      <c r="B809">
        <v>21</v>
      </c>
      <c r="C809">
        <v>10</v>
      </c>
      <c r="D809">
        <v>6</v>
      </c>
      <c r="E809">
        <v>0.1</v>
      </c>
      <c r="F809">
        <f t="shared" si="12"/>
        <v>54</v>
      </c>
      <c r="G809">
        <f>YEAR(VLOOKUP(A809,orders!A:D,4,0))</f>
        <v>2014</v>
      </c>
      <c r="H809">
        <f>MONTH(INDEX(orders!D:D,MATCH(A809, orders!A:A,0)))</f>
        <v>5</v>
      </c>
      <c r="I809" t="str">
        <f>VLOOKUP(VLOOKUP(B809,products!A:F,6,0),categories!A:B,2,0)</f>
        <v>Confections</v>
      </c>
      <c r="J809" t="str">
        <f>VLOOKUP(VLOOKUP(A809,orders!A:B,2,0),customers!A:F,6,0)</f>
        <v>Spain</v>
      </c>
      <c r="K809" t="str">
        <f>VLOOKUP(VLOOKUP(A809,orders!A:C,3,0),employees!A:B,2,0)</f>
        <v>Robert King</v>
      </c>
    </row>
    <row r="810" spans="1:11" x14ac:dyDescent="0.25">
      <c r="A810">
        <v>10550</v>
      </c>
      <c r="B810">
        <v>61</v>
      </c>
      <c r="C810">
        <v>28.5</v>
      </c>
      <c r="D810">
        <v>10</v>
      </c>
      <c r="E810">
        <v>0.1</v>
      </c>
      <c r="F810">
        <f t="shared" si="12"/>
        <v>256.5</v>
      </c>
      <c r="G810">
        <f>YEAR(VLOOKUP(A810,orders!A:D,4,0))</f>
        <v>2014</v>
      </c>
      <c r="H810">
        <f>MONTH(INDEX(orders!D:D,MATCH(A810, orders!A:A,0)))</f>
        <v>5</v>
      </c>
      <c r="I810" t="str">
        <f>VLOOKUP(VLOOKUP(B810,products!A:F,6,0),categories!A:B,2,0)</f>
        <v>Condiments</v>
      </c>
      <c r="J810" t="str">
        <f>VLOOKUP(VLOOKUP(A810,orders!A:B,2,0),customers!A:F,6,0)</f>
        <v>Spain</v>
      </c>
      <c r="K810" t="str">
        <f>VLOOKUP(VLOOKUP(A810,orders!A:C,3,0),employees!A:B,2,0)</f>
        <v>Robert King</v>
      </c>
    </row>
    <row r="811" spans="1:11" x14ac:dyDescent="0.25">
      <c r="A811">
        <v>10551</v>
      </c>
      <c r="B811">
        <v>16</v>
      </c>
      <c r="C811">
        <v>17.45</v>
      </c>
      <c r="D811">
        <v>40</v>
      </c>
      <c r="E811">
        <v>0.15</v>
      </c>
      <c r="F811">
        <f t="shared" si="12"/>
        <v>593.29999999999995</v>
      </c>
      <c r="G811">
        <f>YEAR(VLOOKUP(A811,orders!A:D,4,0))</f>
        <v>2014</v>
      </c>
      <c r="H811">
        <f>MONTH(INDEX(orders!D:D,MATCH(A811, orders!A:A,0)))</f>
        <v>5</v>
      </c>
      <c r="I811" t="str">
        <f>VLOOKUP(VLOOKUP(B811,products!A:F,6,0),categories!A:B,2,0)</f>
        <v>Confections</v>
      </c>
      <c r="J811" t="str">
        <f>VLOOKUP(VLOOKUP(A811,orders!A:B,2,0),customers!A:F,6,0)</f>
        <v>Portugal</v>
      </c>
      <c r="K811" t="str">
        <f>VLOOKUP(VLOOKUP(A811,orders!A:C,3,0),employees!A:B,2,0)</f>
        <v>Margaret Peacock</v>
      </c>
    </row>
    <row r="812" spans="1:11" x14ac:dyDescent="0.25">
      <c r="A812">
        <v>10551</v>
      </c>
      <c r="B812">
        <v>35</v>
      </c>
      <c r="C812">
        <v>18</v>
      </c>
      <c r="D812">
        <v>20</v>
      </c>
      <c r="E812">
        <v>0.15</v>
      </c>
      <c r="F812">
        <f t="shared" si="12"/>
        <v>306</v>
      </c>
      <c r="G812">
        <f>YEAR(VLOOKUP(A812,orders!A:D,4,0))</f>
        <v>2014</v>
      </c>
      <c r="H812">
        <f>MONTH(INDEX(orders!D:D,MATCH(A812, orders!A:A,0)))</f>
        <v>5</v>
      </c>
      <c r="I812" t="str">
        <f>VLOOKUP(VLOOKUP(B812,products!A:F,6,0),categories!A:B,2,0)</f>
        <v>Beverages</v>
      </c>
      <c r="J812" t="str">
        <f>VLOOKUP(VLOOKUP(A812,orders!A:B,2,0),customers!A:F,6,0)</f>
        <v>Portugal</v>
      </c>
      <c r="K812" t="str">
        <f>VLOOKUP(VLOOKUP(A812,orders!A:C,3,0),employees!A:B,2,0)</f>
        <v>Margaret Peacock</v>
      </c>
    </row>
    <row r="813" spans="1:11" x14ac:dyDescent="0.25">
      <c r="A813">
        <v>10551</v>
      </c>
      <c r="B813">
        <v>44</v>
      </c>
      <c r="C813">
        <v>19.45</v>
      </c>
      <c r="D813">
        <v>40</v>
      </c>
      <c r="E813">
        <v>0</v>
      </c>
      <c r="F813">
        <f t="shared" si="12"/>
        <v>778</v>
      </c>
      <c r="G813">
        <f>YEAR(VLOOKUP(A813,orders!A:D,4,0))</f>
        <v>2014</v>
      </c>
      <c r="H813">
        <f>MONTH(INDEX(orders!D:D,MATCH(A813, orders!A:A,0)))</f>
        <v>5</v>
      </c>
      <c r="I813" t="str">
        <f>VLOOKUP(VLOOKUP(B813,products!A:F,6,0),categories!A:B,2,0)</f>
        <v>Condiments</v>
      </c>
      <c r="J813" t="str">
        <f>VLOOKUP(VLOOKUP(A813,orders!A:B,2,0),customers!A:F,6,0)</f>
        <v>Portugal</v>
      </c>
      <c r="K813" t="str">
        <f>VLOOKUP(VLOOKUP(A813,orders!A:C,3,0),employees!A:B,2,0)</f>
        <v>Margaret Peacock</v>
      </c>
    </row>
    <row r="814" spans="1:11" x14ac:dyDescent="0.25">
      <c r="A814">
        <v>10552</v>
      </c>
      <c r="B814">
        <v>69</v>
      </c>
      <c r="C814">
        <v>36</v>
      </c>
      <c r="D814">
        <v>18</v>
      </c>
      <c r="E814">
        <v>0</v>
      </c>
      <c r="F814">
        <f t="shared" si="12"/>
        <v>648</v>
      </c>
      <c r="G814">
        <f>YEAR(VLOOKUP(A814,orders!A:D,4,0))</f>
        <v>2014</v>
      </c>
      <c r="H814">
        <f>MONTH(INDEX(orders!D:D,MATCH(A814, orders!A:A,0)))</f>
        <v>5</v>
      </c>
      <c r="I814" t="str">
        <f>VLOOKUP(VLOOKUP(B814,products!A:F,6,0),categories!A:B,2,0)</f>
        <v>Dairy Products</v>
      </c>
      <c r="J814" t="str">
        <f>VLOOKUP(VLOOKUP(A814,orders!A:B,2,0),customers!A:F,6,0)</f>
        <v>Venezuela</v>
      </c>
      <c r="K814" t="str">
        <f>VLOOKUP(VLOOKUP(A814,orders!A:C,3,0),employees!A:B,2,0)</f>
        <v>Andrew Fuller</v>
      </c>
    </row>
    <row r="815" spans="1:11" x14ac:dyDescent="0.25">
      <c r="A815">
        <v>10552</v>
      </c>
      <c r="B815">
        <v>75</v>
      </c>
      <c r="C815">
        <v>7.75</v>
      </c>
      <c r="D815">
        <v>30</v>
      </c>
      <c r="E815">
        <v>0</v>
      </c>
      <c r="F815">
        <f t="shared" si="12"/>
        <v>232.5</v>
      </c>
      <c r="G815">
        <f>YEAR(VLOOKUP(A815,orders!A:D,4,0))</f>
        <v>2014</v>
      </c>
      <c r="H815">
        <f>MONTH(INDEX(orders!D:D,MATCH(A815, orders!A:A,0)))</f>
        <v>5</v>
      </c>
      <c r="I815" t="str">
        <f>VLOOKUP(VLOOKUP(B815,products!A:F,6,0),categories!A:B,2,0)</f>
        <v>Beverages</v>
      </c>
      <c r="J815" t="str">
        <f>VLOOKUP(VLOOKUP(A815,orders!A:B,2,0),customers!A:F,6,0)</f>
        <v>Venezuela</v>
      </c>
      <c r="K815" t="str">
        <f>VLOOKUP(VLOOKUP(A815,orders!A:C,3,0),employees!A:B,2,0)</f>
        <v>Andrew Fuller</v>
      </c>
    </row>
    <row r="816" spans="1:11" x14ac:dyDescent="0.25">
      <c r="A816">
        <v>10553</v>
      </c>
      <c r="B816">
        <v>11</v>
      </c>
      <c r="C816">
        <v>21</v>
      </c>
      <c r="D816">
        <v>15</v>
      </c>
      <c r="E816">
        <v>0</v>
      </c>
      <c r="F816">
        <f t="shared" si="12"/>
        <v>315</v>
      </c>
      <c r="G816">
        <f>YEAR(VLOOKUP(A816,orders!A:D,4,0))</f>
        <v>2014</v>
      </c>
      <c r="H816">
        <f>MONTH(INDEX(orders!D:D,MATCH(A816, orders!A:A,0)))</f>
        <v>5</v>
      </c>
      <c r="I816" t="str">
        <f>VLOOKUP(VLOOKUP(B816,products!A:F,6,0),categories!A:B,2,0)</f>
        <v>Dairy Products</v>
      </c>
      <c r="J816" t="str">
        <f>VLOOKUP(VLOOKUP(A816,orders!A:B,2,0),customers!A:F,6,0)</f>
        <v>Finland</v>
      </c>
      <c r="K816" t="str">
        <f>VLOOKUP(VLOOKUP(A816,orders!A:C,3,0),employees!A:B,2,0)</f>
        <v>Andrew Fuller</v>
      </c>
    </row>
    <row r="817" spans="1:11" x14ac:dyDescent="0.25">
      <c r="A817">
        <v>10553</v>
      </c>
      <c r="B817">
        <v>16</v>
      </c>
      <c r="C817">
        <v>17.45</v>
      </c>
      <c r="D817">
        <v>14</v>
      </c>
      <c r="E817">
        <v>0</v>
      </c>
      <c r="F817">
        <f t="shared" si="12"/>
        <v>244.29999999999998</v>
      </c>
      <c r="G817">
        <f>YEAR(VLOOKUP(A817,orders!A:D,4,0))</f>
        <v>2014</v>
      </c>
      <c r="H817">
        <f>MONTH(INDEX(orders!D:D,MATCH(A817, orders!A:A,0)))</f>
        <v>5</v>
      </c>
      <c r="I817" t="str">
        <f>VLOOKUP(VLOOKUP(B817,products!A:F,6,0),categories!A:B,2,0)</f>
        <v>Confections</v>
      </c>
      <c r="J817" t="str">
        <f>VLOOKUP(VLOOKUP(A817,orders!A:B,2,0),customers!A:F,6,0)</f>
        <v>Finland</v>
      </c>
      <c r="K817" t="str">
        <f>VLOOKUP(VLOOKUP(A817,orders!A:C,3,0),employees!A:B,2,0)</f>
        <v>Andrew Fuller</v>
      </c>
    </row>
    <row r="818" spans="1:11" x14ac:dyDescent="0.25">
      <c r="A818">
        <v>10553</v>
      </c>
      <c r="B818">
        <v>22</v>
      </c>
      <c r="C818">
        <v>21</v>
      </c>
      <c r="D818">
        <v>24</v>
      </c>
      <c r="E818">
        <v>0</v>
      </c>
      <c r="F818">
        <f t="shared" si="12"/>
        <v>504</v>
      </c>
      <c r="G818">
        <f>YEAR(VLOOKUP(A818,orders!A:D,4,0))</f>
        <v>2014</v>
      </c>
      <c r="H818">
        <f>MONTH(INDEX(orders!D:D,MATCH(A818, orders!A:A,0)))</f>
        <v>5</v>
      </c>
      <c r="I818" t="str">
        <f>VLOOKUP(VLOOKUP(B818,products!A:F,6,0),categories!A:B,2,0)</f>
        <v>Grains &amp; Cereals</v>
      </c>
      <c r="J818" t="str">
        <f>VLOOKUP(VLOOKUP(A818,orders!A:B,2,0),customers!A:F,6,0)</f>
        <v>Finland</v>
      </c>
      <c r="K818" t="str">
        <f>VLOOKUP(VLOOKUP(A818,orders!A:C,3,0),employees!A:B,2,0)</f>
        <v>Andrew Fuller</v>
      </c>
    </row>
    <row r="819" spans="1:11" x14ac:dyDescent="0.25">
      <c r="A819">
        <v>10553</v>
      </c>
      <c r="B819">
        <v>31</v>
      </c>
      <c r="C819">
        <v>12.5</v>
      </c>
      <c r="D819">
        <v>30</v>
      </c>
      <c r="E819">
        <v>0</v>
      </c>
      <c r="F819">
        <f t="shared" si="12"/>
        <v>375</v>
      </c>
      <c r="G819">
        <f>YEAR(VLOOKUP(A819,orders!A:D,4,0))</f>
        <v>2014</v>
      </c>
      <c r="H819">
        <f>MONTH(INDEX(orders!D:D,MATCH(A819, orders!A:A,0)))</f>
        <v>5</v>
      </c>
      <c r="I819" t="str">
        <f>VLOOKUP(VLOOKUP(B819,products!A:F,6,0),categories!A:B,2,0)</f>
        <v>Dairy Products</v>
      </c>
      <c r="J819" t="str">
        <f>VLOOKUP(VLOOKUP(A819,orders!A:B,2,0),customers!A:F,6,0)</f>
        <v>Finland</v>
      </c>
      <c r="K819" t="str">
        <f>VLOOKUP(VLOOKUP(A819,orders!A:C,3,0),employees!A:B,2,0)</f>
        <v>Andrew Fuller</v>
      </c>
    </row>
    <row r="820" spans="1:11" x14ac:dyDescent="0.25">
      <c r="A820">
        <v>10553</v>
      </c>
      <c r="B820">
        <v>35</v>
      </c>
      <c r="C820">
        <v>18</v>
      </c>
      <c r="D820">
        <v>6</v>
      </c>
      <c r="E820">
        <v>0</v>
      </c>
      <c r="F820">
        <f t="shared" si="12"/>
        <v>108</v>
      </c>
      <c r="G820">
        <f>YEAR(VLOOKUP(A820,orders!A:D,4,0))</f>
        <v>2014</v>
      </c>
      <c r="H820">
        <f>MONTH(INDEX(orders!D:D,MATCH(A820, orders!A:A,0)))</f>
        <v>5</v>
      </c>
      <c r="I820" t="str">
        <f>VLOOKUP(VLOOKUP(B820,products!A:F,6,0),categories!A:B,2,0)</f>
        <v>Beverages</v>
      </c>
      <c r="J820" t="str">
        <f>VLOOKUP(VLOOKUP(A820,orders!A:B,2,0),customers!A:F,6,0)</f>
        <v>Finland</v>
      </c>
      <c r="K820" t="str">
        <f>VLOOKUP(VLOOKUP(A820,orders!A:C,3,0),employees!A:B,2,0)</f>
        <v>Andrew Fuller</v>
      </c>
    </row>
    <row r="821" spans="1:11" x14ac:dyDescent="0.25">
      <c r="A821">
        <v>10554</v>
      </c>
      <c r="B821">
        <v>16</v>
      </c>
      <c r="C821">
        <v>17.45</v>
      </c>
      <c r="D821">
        <v>30</v>
      </c>
      <c r="E821">
        <v>0.05</v>
      </c>
      <c r="F821">
        <f t="shared" si="12"/>
        <v>497.32499999999999</v>
      </c>
      <c r="G821">
        <f>YEAR(VLOOKUP(A821,orders!A:D,4,0))</f>
        <v>2014</v>
      </c>
      <c r="H821">
        <f>MONTH(INDEX(orders!D:D,MATCH(A821, orders!A:A,0)))</f>
        <v>5</v>
      </c>
      <c r="I821" t="str">
        <f>VLOOKUP(VLOOKUP(B821,products!A:F,6,0),categories!A:B,2,0)</f>
        <v>Confections</v>
      </c>
      <c r="J821" t="str">
        <f>VLOOKUP(VLOOKUP(A821,orders!A:B,2,0),customers!A:F,6,0)</f>
        <v>Germany</v>
      </c>
      <c r="K821" t="str">
        <f>VLOOKUP(VLOOKUP(A821,orders!A:C,3,0),employees!A:B,2,0)</f>
        <v>Margaret Peacock</v>
      </c>
    </row>
    <row r="822" spans="1:11" x14ac:dyDescent="0.25">
      <c r="A822">
        <v>10554</v>
      </c>
      <c r="B822">
        <v>23</v>
      </c>
      <c r="C822">
        <v>9</v>
      </c>
      <c r="D822">
        <v>20</v>
      </c>
      <c r="E822">
        <v>0.05</v>
      </c>
      <c r="F822">
        <f t="shared" si="12"/>
        <v>171</v>
      </c>
      <c r="G822">
        <f>YEAR(VLOOKUP(A822,orders!A:D,4,0))</f>
        <v>2014</v>
      </c>
      <c r="H822">
        <f>MONTH(INDEX(orders!D:D,MATCH(A822, orders!A:A,0)))</f>
        <v>5</v>
      </c>
      <c r="I822" t="str">
        <f>VLOOKUP(VLOOKUP(B822,products!A:F,6,0),categories!A:B,2,0)</f>
        <v>Grains &amp; Cereals</v>
      </c>
      <c r="J822" t="str">
        <f>VLOOKUP(VLOOKUP(A822,orders!A:B,2,0),customers!A:F,6,0)</f>
        <v>Germany</v>
      </c>
      <c r="K822" t="str">
        <f>VLOOKUP(VLOOKUP(A822,orders!A:C,3,0),employees!A:B,2,0)</f>
        <v>Margaret Peacock</v>
      </c>
    </row>
    <row r="823" spans="1:11" x14ac:dyDescent="0.25">
      <c r="A823">
        <v>10554</v>
      </c>
      <c r="B823">
        <v>62</v>
      </c>
      <c r="C823">
        <v>49.3</v>
      </c>
      <c r="D823">
        <v>20</v>
      </c>
      <c r="E823">
        <v>0.05</v>
      </c>
      <c r="F823">
        <f t="shared" si="12"/>
        <v>936.69999999999993</v>
      </c>
      <c r="G823">
        <f>YEAR(VLOOKUP(A823,orders!A:D,4,0))</f>
        <v>2014</v>
      </c>
      <c r="H823">
        <f>MONTH(INDEX(orders!D:D,MATCH(A823, orders!A:A,0)))</f>
        <v>5</v>
      </c>
      <c r="I823" t="str">
        <f>VLOOKUP(VLOOKUP(B823,products!A:F,6,0),categories!A:B,2,0)</f>
        <v>Confections</v>
      </c>
      <c r="J823" t="str">
        <f>VLOOKUP(VLOOKUP(A823,orders!A:B,2,0),customers!A:F,6,0)</f>
        <v>Germany</v>
      </c>
      <c r="K823" t="str">
        <f>VLOOKUP(VLOOKUP(A823,orders!A:C,3,0),employees!A:B,2,0)</f>
        <v>Margaret Peacock</v>
      </c>
    </row>
    <row r="824" spans="1:11" x14ac:dyDescent="0.25">
      <c r="A824">
        <v>10554</v>
      </c>
      <c r="B824">
        <v>77</v>
      </c>
      <c r="C824">
        <v>13</v>
      </c>
      <c r="D824">
        <v>10</v>
      </c>
      <c r="E824">
        <v>0.05</v>
      </c>
      <c r="F824">
        <f t="shared" si="12"/>
        <v>123.5</v>
      </c>
      <c r="G824">
        <f>YEAR(VLOOKUP(A824,orders!A:D,4,0))</f>
        <v>2014</v>
      </c>
      <c r="H824">
        <f>MONTH(INDEX(orders!D:D,MATCH(A824, orders!A:A,0)))</f>
        <v>5</v>
      </c>
      <c r="I824" t="str">
        <f>VLOOKUP(VLOOKUP(B824,products!A:F,6,0),categories!A:B,2,0)</f>
        <v>Condiments</v>
      </c>
      <c r="J824" t="str">
        <f>VLOOKUP(VLOOKUP(A824,orders!A:B,2,0),customers!A:F,6,0)</f>
        <v>Germany</v>
      </c>
      <c r="K824" t="str">
        <f>VLOOKUP(VLOOKUP(A824,orders!A:C,3,0),employees!A:B,2,0)</f>
        <v>Margaret Peacock</v>
      </c>
    </row>
    <row r="825" spans="1:11" x14ac:dyDescent="0.25">
      <c r="A825">
        <v>10555</v>
      </c>
      <c r="B825">
        <v>14</v>
      </c>
      <c r="C825">
        <v>23.25</v>
      </c>
      <c r="D825">
        <v>30</v>
      </c>
      <c r="E825">
        <v>0.2</v>
      </c>
      <c r="F825">
        <f t="shared" si="12"/>
        <v>558</v>
      </c>
      <c r="G825">
        <f>YEAR(VLOOKUP(A825,orders!A:D,4,0))</f>
        <v>2014</v>
      </c>
      <c r="H825">
        <f>MONTH(INDEX(orders!D:D,MATCH(A825, orders!A:A,0)))</f>
        <v>6</v>
      </c>
      <c r="I825" t="str">
        <f>VLOOKUP(VLOOKUP(B825,products!A:F,6,0),categories!A:B,2,0)</f>
        <v>Produce</v>
      </c>
      <c r="J825" t="str">
        <f>VLOOKUP(VLOOKUP(A825,orders!A:B,2,0),customers!A:F,6,0)</f>
        <v>USA</v>
      </c>
      <c r="K825" t="str">
        <f>VLOOKUP(VLOOKUP(A825,orders!A:C,3,0),employees!A:B,2,0)</f>
        <v>Michael Suyama</v>
      </c>
    </row>
    <row r="826" spans="1:11" x14ac:dyDescent="0.25">
      <c r="A826">
        <v>10555</v>
      </c>
      <c r="B826">
        <v>19</v>
      </c>
      <c r="C826">
        <v>9.1999999999999993</v>
      </c>
      <c r="D826">
        <v>35</v>
      </c>
      <c r="E826">
        <v>0.2</v>
      </c>
      <c r="F826">
        <f t="shared" si="12"/>
        <v>257.60000000000002</v>
      </c>
      <c r="G826">
        <f>YEAR(VLOOKUP(A826,orders!A:D,4,0))</f>
        <v>2014</v>
      </c>
      <c r="H826">
        <f>MONTH(INDEX(orders!D:D,MATCH(A826, orders!A:A,0)))</f>
        <v>6</v>
      </c>
      <c r="I826" t="str">
        <f>VLOOKUP(VLOOKUP(B826,products!A:F,6,0),categories!A:B,2,0)</f>
        <v>Confections</v>
      </c>
      <c r="J826" t="str">
        <f>VLOOKUP(VLOOKUP(A826,orders!A:B,2,0),customers!A:F,6,0)</f>
        <v>USA</v>
      </c>
      <c r="K826" t="str">
        <f>VLOOKUP(VLOOKUP(A826,orders!A:C,3,0),employees!A:B,2,0)</f>
        <v>Michael Suyama</v>
      </c>
    </row>
    <row r="827" spans="1:11" x14ac:dyDescent="0.25">
      <c r="A827">
        <v>10555</v>
      </c>
      <c r="B827">
        <v>24</v>
      </c>
      <c r="C827">
        <v>4.5</v>
      </c>
      <c r="D827">
        <v>18</v>
      </c>
      <c r="E827">
        <v>0.2</v>
      </c>
      <c r="F827">
        <f t="shared" si="12"/>
        <v>64.8</v>
      </c>
      <c r="G827">
        <f>YEAR(VLOOKUP(A827,orders!A:D,4,0))</f>
        <v>2014</v>
      </c>
      <c r="H827">
        <f>MONTH(INDEX(orders!D:D,MATCH(A827, orders!A:A,0)))</f>
        <v>6</v>
      </c>
      <c r="I827" t="str">
        <f>VLOOKUP(VLOOKUP(B827,products!A:F,6,0),categories!A:B,2,0)</f>
        <v>Beverages</v>
      </c>
      <c r="J827" t="str">
        <f>VLOOKUP(VLOOKUP(A827,orders!A:B,2,0),customers!A:F,6,0)</f>
        <v>USA</v>
      </c>
      <c r="K827" t="str">
        <f>VLOOKUP(VLOOKUP(A827,orders!A:C,3,0),employees!A:B,2,0)</f>
        <v>Michael Suyama</v>
      </c>
    </row>
    <row r="828" spans="1:11" x14ac:dyDescent="0.25">
      <c r="A828">
        <v>10555</v>
      </c>
      <c r="B828">
        <v>51</v>
      </c>
      <c r="C828">
        <v>53</v>
      </c>
      <c r="D828">
        <v>20</v>
      </c>
      <c r="E828">
        <v>0.2</v>
      </c>
      <c r="F828">
        <f t="shared" si="12"/>
        <v>848</v>
      </c>
      <c r="G828">
        <f>YEAR(VLOOKUP(A828,orders!A:D,4,0))</f>
        <v>2014</v>
      </c>
      <c r="H828">
        <f>MONTH(INDEX(orders!D:D,MATCH(A828, orders!A:A,0)))</f>
        <v>6</v>
      </c>
      <c r="I828" t="str">
        <f>VLOOKUP(VLOOKUP(B828,products!A:F,6,0),categories!A:B,2,0)</f>
        <v>Produce</v>
      </c>
      <c r="J828" t="str">
        <f>VLOOKUP(VLOOKUP(A828,orders!A:B,2,0),customers!A:F,6,0)</f>
        <v>USA</v>
      </c>
      <c r="K828" t="str">
        <f>VLOOKUP(VLOOKUP(A828,orders!A:C,3,0),employees!A:B,2,0)</f>
        <v>Michael Suyama</v>
      </c>
    </row>
    <row r="829" spans="1:11" x14ac:dyDescent="0.25">
      <c r="A829">
        <v>10555</v>
      </c>
      <c r="B829">
        <v>56</v>
      </c>
      <c r="C829">
        <v>38</v>
      </c>
      <c r="D829">
        <v>40</v>
      </c>
      <c r="E829">
        <v>0.2</v>
      </c>
      <c r="F829">
        <f t="shared" si="12"/>
        <v>1216</v>
      </c>
      <c r="G829">
        <f>YEAR(VLOOKUP(A829,orders!A:D,4,0))</f>
        <v>2014</v>
      </c>
      <c r="H829">
        <f>MONTH(INDEX(orders!D:D,MATCH(A829, orders!A:A,0)))</f>
        <v>6</v>
      </c>
      <c r="I829" t="str">
        <f>VLOOKUP(VLOOKUP(B829,products!A:F,6,0),categories!A:B,2,0)</f>
        <v>Grains &amp; Cereals</v>
      </c>
      <c r="J829" t="str">
        <f>VLOOKUP(VLOOKUP(A829,orders!A:B,2,0),customers!A:F,6,0)</f>
        <v>USA</v>
      </c>
      <c r="K829" t="str">
        <f>VLOOKUP(VLOOKUP(A829,orders!A:C,3,0),employees!A:B,2,0)</f>
        <v>Michael Suyama</v>
      </c>
    </row>
    <row r="830" spans="1:11" x14ac:dyDescent="0.25">
      <c r="A830">
        <v>10556</v>
      </c>
      <c r="B830">
        <v>72</v>
      </c>
      <c r="C830">
        <v>34.799999999999997</v>
      </c>
      <c r="D830">
        <v>24</v>
      </c>
      <c r="E830">
        <v>0</v>
      </c>
      <c r="F830">
        <f t="shared" si="12"/>
        <v>835.19999999999993</v>
      </c>
      <c r="G830">
        <f>YEAR(VLOOKUP(A830,orders!A:D,4,0))</f>
        <v>2014</v>
      </c>
      <c r="H830">
        <f>MONTH(INDEX(orders!D:D,MATCH(A830, orders!A:A,0)))</f>
        <v>6</v>
      </c>
      <c r="I830" t="str">
        <f>VLOOKUP(VLOOKUP(B830,products!A:F,6,0),categories!A:B,2,0)</f>
        <v>Dairy Products</v>
      </c>
      <c r="J830" t="str">
        <f>VLOOKUP(VLOOKUP(A830,orders!A:B,2,0),customers!A:F,6,0)</f>
        <v>Denmark</v>
      </c>
      <c r="K830" t="str">
        <f>VLOOKUP(VLOOKUP(A830,orders!A:C,3,0),employees!A:B,2,0)</f>
        <v>Andrew Fuller</v>
      </c>
    </row>
    <row r="831" spans="1:11" x14ac:dyDescent="0.25">
      <c r="A831">
        <v>10557</v>
      </c>
      <c r="B831">
        <v>64</v>
      </c>
      <c r="C831">
        <v>33.25</v>
      </c>
      <c r="D831">
        <v>30</v>
      </c>
      <c r="E831">
        <v>0</v>
      </c>
      <c r="F831">
        <f t="shared" si="12"/>
        <v>997.5</v>
      </c>
      <c r="G831">
        <f>YEAR(VLOOKUP(A831,orders!A:D,4,0))</f>
        <v>2014</v>
      </c>
      <c r="H831">
        <f>MONTH(INDEX(orders!D:D,MATCH(A831, orders!A:A,0)))</f>
        <v>6</v>
      </c>
      <c r="I831" t="str">
        <f>VLOOKUP(VLOOKUP(B831,products!A:F,6,0),categories!A:B,2,0)</f>
        <v>Grains &amp; Cereals</v>
      </c>
      <c r="J831" t="str">
        <f>VLOOKUP(VLOOKUP(A831,orders!A:B,2,0),customers!A:F,6,0)</f>
        <v>Germany</v>
      </c>
      <c r="K831" t="str">
        <f>VLOOKUP(VLOOKUP(A831,orders!A:C,3,0),employees!A:B,2,0)</f>
        <v>Anne Dodsworth</v>
      </c>
    </row>
    <row r="832" spans="1:11" x14ac:dyDescent="0.25">
      <c r="A832">
        <v>10557</v>
      </c>
      <c r="B832">
        <v>75</v>
      </c>
      <c r="C832">
        <v>7.75</v>
      </c>
      <c r="D832">
        <v>20</v>
      </c>
      <c r="E832">
        <v>0</v>
      </c>
      <c r="F832">
        <f t="shared" si="12"/>
        <v>155</v>
      </c>
      <c r="G832">
        <f>YEAR(VLOOKUP(A832,orders!A:D,4,0))</f>
        <v>2014</v>
      </c>
      <c r="H832">
        <f>MONTH(INDEX(orders!D:D,MATCH(A832, orders!A:A,0)))</f>
        <v>6</v>
      </c>
      <c r="I832" t="str">
        <f>VLOOKUP(VLOOKUP(B832,products!A:F,6,0),categories!A:B,2,0)</f>
        <v>Beverages</v>
      </c>
      <c r="J832" t="str">
        <f>VLOOKUP(VLOOKUP(A832,orders!A:B,2,0),customers!A:F,6,0)</f>
        <v>Germany</v>
      </c>
      <c r="K832" t="str">
        <f>VLOOKUP(VLOOKUP(A832,orders!A:C,3,0),employees!A:B,2,0)</f>
        <v>Anne Dodsworth</v>
      </c>
    </row>
    <row r="833" spans="1:11" x14ac:dyDescent="0.25">
      <c r="A833">
        <v>10558</v>
      </c>
      <c r="B833">
        <v>47</v>
      </c>
      <c r="C833">
        <v>9.5</v>
      </c>
      <c r="D833">
        <v>25</v>
      </c>
      <c r="E833">
        <v>0</v>
      </c>
      <c r="F833">
        <f t="shared" si="12"/>
        <v>237.5</v>
      </c>
      <c r="G833">
        <f>YEAR(VLOOKUP(A833,orders!A:D,4,0))</f>
        <v>2014</v>
      </c>
      <c r="H833">
        <f>MONTH(INDEX(orders!D:D,MATCH(A833, orders!A:A,0)))</f>
        <v>6</v>
      </c>
      <c r="I833" t="str">
        <f>VLOOKUP(VLOOKUP(B833,products!A:F,6,0),categories!A:B,2,0)</f>
        <v>Confections</v>
      </c>
      <c r="J833" t="str">
        <f>VLOOKUP(VLOOKUP(A833,orders!A:B,2,0),customers!A:F,6,0)</f>
        <v>UK</v>
      </c>
      <c r="K833" t="str">
        <f>VLOOKUP(VLOOKUP(A833,orders!A:C,3,0),employees!A:B,2,0)</f>
        <v>Nancy Davolio</v>
      </c>
    </row>
    <row r="834" spans="1:11" x14ac:dyDescent="0.25">
      <c r="A834">
        <v>10558</v>
      </c>
      <c r="B834">
        <v>51</v>
      </c>
      <c r="C834">
        <v>53</v>
      </c>
      <c r="D834">
        <v>20</v>
      </c>
      <c r="E834">
        <v>0</v>
      </c>
      <c r="F834">
        <f t="shared" si="12"/>
        <v>1060</v>
      </c>
      <c r="G834">
        <f>YEAR(VLOOKUP(A834,orders!A:D,4,0))</f>
        <v>2014</v>
      </c>
      <c r="H834">
        <f>MONTH(INDEX(orders!D:D,MATCH(A834, orders!A:A,0)))</f>
        <v>6</v>
      </c>
      <c r="I834" t="str">
        <f>VLOOKUP(VLOOKUP(B834,products!A:F,6,0),categories!A:B,2,0)</f>
        <v>Produce</v>
      </c>
      <c r="J834" t="str">
        <f>VLOOKUP(VLOOKUP(A834,orders!A:B,2,0),customers!A:F,6,0)</f>
        <v>UK</v>
      </c>
      <c r="K834" t="str">
        <f>VLOOKUP(VLOOKUP(A834,orders!A:C,3,0),employees!A:B,2,0)</f>
        <v>Nancy Davolio</v>
      </c>
    </row>
    <row r="835" spans="1:11" x14ac:dyDescent="0.25">
      <c r="A835">
        <v>10558</v>
      </c>
      <c r="B835">
        <v>52</v>
      </c>
      <c r="C835">
        <v>7</v>
      </c>
      <c r="D835">
        <v>30</v>
      </c>
      <c r="E835">
        <v>0</v>
      </c>
      <c r="F835">
        <f t="shared" ref="F835:F898" si="13">C835*D835*(1-E835)</f>
        <v>210</v>
      </c>
      <c r="G835">
        <f>YEAR(VLOOKUP(A835,orders!A:D,4,0))</f>
        <v>2014</v>
      </c>
      <c r="H835">
        <f>MONTH(INDEX(orders!D:D,MATCH(A835, orders!A:A,0)))</f>
        <v>6</v>
      </c>
      <c r="I835" t="str">
        <f>VLOOKUP(VLOOKUP(B835,products!A:F,6,0),categories!A:B,2,0)</f>
        <v>Grains &amp; Cereals</v>
      </c>
      <c r="J835" t="str">
        <f>VLOOKUP(VLOOKUP(A835,orders!A:B,2,0),customers!A:F,6,0)</f>
        <v>UK</v>
      </c>
      <c r="K835" t="str">
        <f>VLOOKUP(VLOOKUP(A835,orders!A:C,3,0),employees!A:B,2,0)</f>
        <v>Nancy Davolio</v>
      </c>
    </row>
    <row r="836" spans="1:11" x14ac:dyDescent="0.25">
      <c r="A836">
        <v>10558</v>
      </c>
      <c r="B836">
        <v>53</v>
      </c>
      <c r="C836">
        <v>32.799999999999997</v>
      </c>
      <c r="D836">
        <v>18</v>
      </c>
      <c r="E836">
        <v>0</v>
      </c>
      <c r="F836">
        <f t="shared" si="13"/>
        <v>590.4</v>
      </c>
      <c r="G836">
        <f>YEAR(VLOOKUP(A836,orders!A:D,4,0))</f>
        <v>2014</v>
      </c>
      <c r="H836">
        <f>MONTH(INDEX(orders!D:D,MATCH(A836, orders!A:A,0)))</f>
        <v>6</v>
      </c>
      <c r="I836" t="str">
        <f>VLOOKUP(VLOOKUP(B836,products!A:F,6,0),categories!A:B,2,0)</f>
        <v>Meat &amp; Poultry</v>
      </c>
      <c r="J836" t="str">
        <f>VLOOKUP(VLOOKUP(A836,orders!A:B,2,0),customers!A:F,6,0)</f>
        <v>UK</v>
      </c>
      <c r="K836" t="str">
        <f>VLOOKUP(VLOOKUP(A836,orders!A:C,3,0),employees!A:B,2,0)</f>
        <v>Nancy Davolio</v>
      </c>
    </row>
    <row r="837" spans="1:11" x14ac:dyDescent="0.25">
      <c r="A837">
        <v>10558</v>
      </c>
      <c r="B837">
        <v>73</v>
      </c>
      <c r="C837">
        <v>15</v>
      </c>
      <c r="D837">
        <v>3</v>
      </c>
      <c r="E837">
        <v>0</v>
      </c>
      <c r="F837">
        <f t="shared" si="13"/>
        <v>45</v>
      </c>
      <c r="G837">
        <f>YEAR(VLOOKUP(A837,orders!A:D,4,0))</f>
        <v>2014</v>
      </c>
      <c r="H837">
        <f>MONTH(INDEX(orders!D:D,MATCH(A837, orders!A:A,0)))</f>
        <v>6</v>
      </c>
      <c r="I837" t="str">
        <f>VLOOKUP(VLOOKUP(B837,products!A:F,6,0),categories!A:B,2,0)</f>
        <v>Seafood</v>
      </c>
      <c r="J837" t="str">
        <f>VLOOKUP(VLOOKUP(A837,orders!A:B,2,0),customers!A:F,6,0)</f>
        <v>UK</v>
      </c>
      <c r="K837" t="str">
        <f>VLOOKUP(VLOOKUP(A837,orders!A:C,3,0),employees!A:B,2,0)</f>
        <v>Nancy Davolio</v>
      </c>
    </row>
    <row r="838" spans="1:11" x14ac:dyDescent="0.25">
      <c r="A838">
        <v>10559</v>
      </c>
      <c r="B838">
        <v>41</v>
      </c>
      <c r="C838">
        <v>9.65</v>
      </c>
      <c r="D838">
        <v>12</v>
      </c>
      <c r="E838">
        <v>0.05</v>
      </c>
      <c r="F838">
        <f t="shared" si="13"/>
        <v>110.01</v>
      </c>
      <c r="G838">
        <f>YEAR(VLOOKUP(A838,orders!A:D,4,0))</f>
        <v>2014</v>
      </c>
      <c r="H838">
        <f>MONTH(INDEX(orders!D:D,MATCH(A838, orders!A:A,0)))</f>
        <v>6</v>
      </c>
      <c r="I838" t="str">
        <f>VLOOKUP(VLOOKUP(B838,products!A:F,6,0),categories!A:B,2,0)</f>
        <v>Seafood</v>
      </c>
      <c r="J838" t="str">
        <f>VLOOKUP(VLOOKUP(A838,orders!A:B,2,0),customers!A:F,6,0)</f>
        <v>France</v>
      </c>
      <c r="K838" t="str">
        <f>VLOOKUP(VLOOKUP(A838,orders!A:C,3,0),employees!A:B,2,0)</f>
        <v>Michael Suyama</v>
      </c>
    </row>
    <row r="839" spans="1:11" x14ac:dyDescent="0.25">
      <c r="A839">
        <v>10559</v>
      </c>
      <c r="B839">
        <v>55</v>
      </c>
      <c r="C839">
        <v>24</v>
      </c>
      <c r="D839">
        <v>18</v>
      </c>
      <c r="E839">
        <v>0.05</v>
      </c>
      <c r="F839">
        <f t="shared" si="13"/>
        <v>410.4</v>
      </c>
      <c r="G839">
        <f>YEAR(VLOOKUP(A839,orders!A:D,4,0))</f>
        <v>2014</v>
      </c>
      <c r="H839">
        <f>MONTH(INDEX(orders!D:D,MATCH(A839, orders!A:A,0)))</f>
        <v>6</v>
      </c>
      <c r="I839" t="str">
        <f>VLOOKUP(VLOOKUP(B839,products!A:F,6,0),categories!A:B,2,0)</f>
        <v>Meat &amp; Poultry</v>
      </c>
      <c r="J839" t="str">
        <f>VLOOKUP(VLOOKUP(A839,orders!A:B,2,0),customers!A:F,6,0)</f>
        <v>France</v>
      </c>
      <c r="K839" t="str">
        <f>VLOOKUP(VLOOKUP(A839,orders!A:C,3,0),employees!A:B,2,0)</f>
        <v>Michael Suyama</v>
      </c>
    </row>
    <row r="840" spans="1:11" x14ac:dyDescent="0.25">
      <c r="A840">
        <v>10560</v>
      </c>
      <c r="B840">
        <v>30</v>
      </c>
      <c r="C840">
        <v>25.89</v>
      </c>
      <c r="D840">
        <v>20</v>
      </c>
      <c r="E840">
        <v>0</v>
      </c>
      <c r="F840">
        <f t="shared" si="13"/>
        <v>517.79999999999995</v>
      </c>
      <c r="G840">
        <f>YEAR(VLOOKUP(A840,orders!A:D,4,0))</f>
        <v>2014</v>
      </c>
      <c r="H840">
        <f>MONTH(INDEX(orders!D:D,MATCH(A840, orders!A:A,0)))</f>
        <v>6</v>
      </c>
      <c r="I840" t="str">
        <f>VLOOKUP(VLOOKUP(B840,products!A:F,6,0),categories!A:B,2,0)</f>
        <v>Seafood</v>
      </c>
      <c r="J840" t="str">
        <f>VLOOKUP(VLOOKUP(A840,orders!A:B,2,0),customers!A:F,6,0)</f>
        <v>Germany</v>
      </c>
      <c r="K840" t="str">
        <f>VLOOKUP(VLOOKUP(A840,orders!A:C,3,0),employees!A:B,2,0)</f>
        <v>Laura Callahan</v>
      </c>
    </row>
    <row r="841" spans="1:11" x14ac:dyDescent="0.25">
      <c r="A841">
        <v>10560</v>
      </c>
      <c r="B841">
        <v>62</v>
      </c>
      <c r="C841">
        <v>49.3</v>
      </c>
      <c r="D841">
        <v>15</v>
      </c>
      <c r="E841">
        <v>0.25</v>
      </c>
      <c r="F841">
        <f t="shared" si="13"/>
        <v>554.625</v>
      </c>
      <c r="G841">
        <f>YEAR(VLOOKUP(A841,orders!A:D,4,0))</f>
        <v>2014</v>
      </c>
      <c r="H841">
        <f>MONTH(INDEX(orders!D:D,MATCH(A841, orders!A:A,0)))</f>
        <v>6</v>
      </c>
      <c r="I841" t="str">
        <f>VLOOKUP(VLOOKUP(B841,products!A:F,6,0),categories!A:B,2,0)</f>
        <v>Confections</v>
      </c>
      <c r="J841" t="str">
        <f>VLOOKUP(VLOOKUP(A841,orders!A:B,2,0),customers!A:F,6,0)</f>
        <v>Germany</v>
      </c>
      <c r="K841" t="str">
        <f>VLOOKUP(VLOOKUP(A841,orders!A:C,3,0),employees!A:B,2,0)</f>
        <v>Laura Callahan</v>
      </c>
    </row>
    <row r="842" spans="1:11" x14ac:dyDescent="0.25">
      <c r="A842">
        <v>10561</v>
      </c>
      <c r="B842">
        <v>44</v>
      </c>
      <c r="C842">
        <v>19.45</v>
      </c>
      <c r="D842">
        <v>10</v>
      </c>
      <c r="E842">
        <v>0</v>
      </c>
      <c r="F842">
        <f t="shared" si="13"/>
        <v>194.5</v>
      </c>
      <c r="G842">
        <f>YEAR(VLOOKUP(A842,orders!A:D,4,0))</f>
        <v>2014</v>
      </c>
      <c r="H842">
        <f>MONTH(INDEX(orders!D:D,MATCH(A842, orders!A:A,0)))</f>
        <v>6</v>
      </c>
      <c r="I842" t="str">
        <f>VLOOKUP(VLOOKUP(B842,products!A:F,6,0),categories!A:B,2,0)</f>
        <v>Condiments</v>
      </c>
      <c r="J842" t="str">
        <f>VLOOKUP(VLOOKUP(A842,orders!A:B,2,0),customers!A:F,6,0)</f>
        <v>Sweden</v>
      </c>
      <c r="K842" t="str">
        <f>VLOOKUP(VLOOKUP(A842,orders!A:C,3,0),employees!A:B,2,0)</f>
        <v>Andrew Fuller</v>
      </c>
    </row>
    <row r="843" spans="1:11" x14ac:dyDescent="0.25">
      <c r="A843">
        <v>10561</v>
      </c>
      <c r="B843">
        <v>51</v>
      </c>
      <c r="C843">
        <v>53</v>
      </c>
      <c r="D843">
        <v>50</v>
      </c>
      <c r="E843">
        <v>0</v>
      </c>
      <c r="F843">
        <f t="shared" si="13"/>
        <v>2650</v>
      </c>
      <c r="G843">
        <f>YEAR(VLOOKUP(A843,orders!A:D,4,0))</f>
        <v>2014</v>
      </c>
      <c r="H843">
        <f>MONTH(INDEX(orders!D:D,MATCH(A843, orders!A:A,0)))</f>
        <v>6</v>
      </c>
      <c r="I843" t="str">
        <f>VLOOKUP(VLOOKUP(B843,products!A:F,6,0),categories!A:B,2,0)</f>
        <v>Produce</v>
      </c>
      <c r="J843" t="str">
        <f>VLOOKUP(VLOOKUP(A843,orders!A:B,2,0),customers!A:F,6,0)</f>
        <v>Sweden</v>
      </c>
      <c r="K843" t="str">
        <f>VLOOKUP(VLOOKUP(A843,orders!A:C,3,0),employees!A:B,2,0)</f>
        <v>Andrew Fuller</v>
      </c>
    </row>
    <row r="844" spans="1:11" x14ac:dyDescent="0.25">
      <c r="A844">
        <v>10562</v>
      </c>
      <c r="B844">
        <v>33</v>
      </c>
      <c r="C844">
        <v>2.5</v>
      </c>
      <c r="D844">
        <v>20</v>
      </c>
      <c r="E844">
        <v>0.1</v>
      </c>
      <c r="F844">
        <f t="shared" si="13"/>
        <v>45</v>
      </c>
      <c r="G844">
        <f>YEAR(VLOOKUP(A844,orders!A:D,4,0))</f>
        <v>2014</v>
      </c>
      <c r="H844">
        <f>MONTH(INDEX(orders!D:D,MATCH(A844, orders!A:A,0)))</f>
        <v>6</v>
      </c>
      <c r="I844" t="str">
        <f>VLOOKUP(VLOOKUP(B844,products!A:F,6,0),categories!A:B,2,0)</f>
        <v>Dairy Products</v>
      </c>
      <c r="J844" t="str">
        <f>VLOOKUP(VLOOKUP(A844,orders!A:B,2,0),customers!A:F,6,0)</f>
        <v>Italy</v>
      </c>
      <c r="K844" t="str">
        <f>VLOOKUP(VLOOKUP(A844,orders!A:C,3,0),employees!A:B,2,0)</f>
        <v>Nancy Davolio</v>
      </c>
    </row>
    <row r="845" spans="1:11" x14ac:dyDescent="0.25">
      <c r="A845">
        <v>10562</v>
      </c>
      <c r="B845">
        <v>62</v>
      </c>
      <c r="C845">
        <v>49.3</v>
      </c>
      <c r="D845">
        <v>10</v>
      </c>
      <c r="E845">
        <v>0.1</v>
      </c>
      <c r="F845">
        <f t="shared" si="13"/>
        <v>443.7</v>
      </c>
      <c r="G845">
        <f>YEAR(VLOOKUP(A845,orders!A:D,4,0))</f>
        <v>2014</v>
      </c>
      <c r="H845">
        <f>MONTH(INDEX(orders!D:D,MATCH(A845, orders!A:A,0)))</f>
        <v>6</v>
      </c>
      <c r="I845" t="str">
        <f>VLOOKUP(VLOOKUP(B845,products!A:F,6,0),categories!A:B,2,0)</f>
        <v>Confections</v>
      </c>
      <c r="J845" t="str">
        <f>VLOOKUP(VLOOKUP(A845,orders!A:B,2,0),customers!A:F,6,0)</f>
        <v>Italy</v>
      </c>
      <c r="K845" t="str">
        <f>VLOOKUP(VLOOKUP(A845,orders!A:C,3,0),employees!A:B,2,0)</f>
        <v>Nancy Davolio</v>
      </c>
    </row>
    <row r="846" spans="1:11" x14ac:dyDescent="0.25">
      <c r="A846">
        <v>10563</v>
      </c>
      <c r="B846">
        <v>36</v>
      </c>
      <c r="C846">
        <v>19</v>
      </c>
      <c r="D846">
        <v>25</v>
      </c>
      <c r="E846">
        <v>0</v>
      </c>
      <c r="F846">
        <f t="shared" si="13"/>
        <v>475</v>
      </c>
      <c r="G846">
        <f>YEAR(VLOOKUP(A846,orders!A:D,4,0))</f>
        <v>2014</v>
      </c>
      <c r="H846">
        <f>MONTH(INDEX(orders!D:D,MATCH(A846, orders!A:A,0)))</f>
        <v>6</v>
      </c>
      <c r="I846" t="str">
        <f>VLOOKUP(VLOOKUP(B846,products!A:F,6,0),categories!A:B,2,0)</f>
        <v>Seafood</v>
      </c>
      <c r="J846" t="str">
        <f>VLOOKUP(VLOOKUP(A846,orders!A:B,2,0),customers!A:F,6,0)</f>
        <v>Brazil</v>
      </c>
      <c r="K846" t="str">
        <f>VLOOKUP(VLOOKUP(A846,orders!A:C,3,0),employees!A:B,2,0)</f>
        <v>Andrew Fuller</v>
      </c>
    </row>
    <row r="847" spans="1:11" x14ac:dyDescent="0.25">
      <c r="A847">
        <v>10563</v>
      </c>
      <c r="B847">
        <v>52</v>
      </c>
      <c r="C847">
        <v>7</v>
      </c>
      <c r="D847">
        <v>70</v>
      </c>
      <c r="E847">
        <v>0</v>
      </c>
      <c r="F847">
        <f t="shared" si="13"/>
        <v>490</v>
      </c>
      <c r="G847">
        <f>YEAR(VLOOKUP(A847,orders!A:D,4,0))</f>
        <v>2014</v>
      </c>
      <c r="H847">
        <f>MONTH(INDEX(orders!D:D,MATCH(A847, orders!A:A,0)))</f>
        <v>6</v>
      </c>
      <c r="I847" t="str">
        <f>VLOOKUP(VLOOKUP(B847,products!A:F,6,0),categories!A:B,2,0)</f>
        <v>Grains &amp; Cereals</v>
      </c>
      <c r="J847" t="str">
        <f>VLOOKUP(VLOOKUP(A847,orders!A:B,2,0),customers!A:F,6,0)</f>
        <v>Brazil</v>
      </c>
      <c r="K847" t="str">
        <f>VLOOKUP(VLOOKUP(A847,orders!A:C,3,0),employees!A:B,2,0)</f>
        <v>Andrew Fuller</v>
      </c>
    </row>
    <row r="848" spans="1:11" x14ac:dyDescent="0.25">
      <c r="A848">
        <v>10564</v>
      </c>
      <c r="B848">
        <v>17</v>
      </c>
      <c r="C848">
        <v>39</v>
      </c>
      <c r="D848">
        <v>16</v>
      </c>
      <c r="E848">
        <v>0.05</v>
      </c>
      <c r="F848">
        <f t="shared" si="13"/>
        <v>592.79999999999995</v>
      </c>
      <c r="G848">
        <f>YEAR(VLOOKUP(A848,orders!A:D,4,0))</f>
        <v>2014</v>
      </c>
      <c r="H848">
        <f>MONTH(INDEX(orders!D:D,MATCH(A848, orders!A:A,0)))</f>
        <v>6</v>
      </c>
      <c r="I848" t="str">
        <f>VLOOKUP(VLOOKUP(B848,products!A:F,6,0),categories!A:B,2,0)</f>
        <v>Meat &amp; Poultry</v>
      </c>
      <c r="J848" t="str">
        <f>VLOOKUP(VLOOKUP(A848,orders!A:B,2,0),customers!A:F,6,0)</f>
        <v>USA</v>
      </c>
      <c r="K848" t="str">
        <f>VLOOKUP(VLOOKUP(A848,orders!A:C,3,0),employees!A:B,2,0)</f>
        <v>Margaret Peacock</v>
      </c>
    </row>
    <row r="849" spans="1:11" x14ac:dyDescent="0.25">
      <c r="A849">
        <v>10564</v>
      </c>
      <c r="B849">
        <v>31</v>
      </c>
      <c r="C849">
        <v>12.5</v>
      </c>
      <c r="D849">
        <v>6</v>
      </c>
      <c r="E849">
        <v>0.05</v>
      </c>
      <c r="F849">
        <f t="shared" si="13"/>
        <v>71.25</v>
      </c>
      <c r="G849">
        <f>YEAR(VLOOKUP(A849,orders!A:D,4,0))</f>
        <v>2014</v>
      </c>
      <c r="H849">
        <f>MONTH(INDEX(orders!D:D,MATCH(A849, orders!A:A,0)))</f>
        <v>6</v>
      </c>
      <c r="I849" t="str">
        <f>VLOOKUP(VLOOKUP(B849,products!A:F,6,0),categories!A:B,2,0)</f>
        <v>Dairy Products</v>
      </c>
      <c r="J849" t="str">
        <f>VLOOKUP(VLOOKUP(A849,orders!A:B,2,0),customers!A:F,6,0)</f>
        <v>USA</v>
      </c>
      <c r="K849" t="str">
        <f>VLOOKUP(VLOOKUP(A849,orders!A:C,3,0),employees!A:B,2,0)</f>
        <v>Margaret Peacock</v>
      </c>
    </row>
    <row r="850" spans="1:11" x14ac:dyDescent="0.25">
      <c r="A850">
        <v>10564</v>
      </c>
      <c r="B850">
        <v>55</v>
      </c>
      <c r="C850">
        <v>24</v>
      </c>
      <c r="D850">
        <v>25</v>
      </c>
      <c r="E850">
        <v>0.05</v>
      </c>
      <c r="F850">
        <f t="shared" si="13"/>
        <v>570</v>
      </c>
      <c r="G850">
        <f>YEAR(VLOOKUP(A850,orders!A:D,4,0))</f>
        <v>2014</v>
      </c>
      <c r="H850">
        <f>MONTH(INDEX(orders!D:D,MATCH(A850, orders!A:A,0)))</f>
        <v>6</v>
      </c>
      <c r="I850" t="str">
        <f>VLOOKUP(VLOOKUP(B850,products!A:F,6,0),categories!A:B,2,0)</f>
        <v>Meat &amp; Poultry</v>
      </c>
      <c r="J850" t="str">
        <f>VLOOKUP(VLOOKUP(A850,orders!A:B,2,0),customers!A:F,6,0)</f>
        <v>USA</v>
      </c>
      <c r="K850" t="str">
        <f>VLOOKUP(VLOOKUP(A850,orders!A:C,3,0),employees!A:B,2,0)</f>
        <v>Margaret Peacock</v>
      </c>
    </row>
    <row r="851" spans="1:11" x14ac:dyDescent="0.25">
      <c r="A851">
        <v>10565</v>
      </c>
      <c r="B851">
        <v>24</v>
      </c>
      <c r="C851">
        <v>4.5</v>
      </c>
      <c r="D851">
        <v>25</v>
      </c>
      <c r="E851">
        <v>0.1</v>
      </c>
      <c r="F851">
        <f t="shared" si="13"/>
        <v>101.25</v>
      </c>
      <c r="G851">
        <f>YEAR(VLOOKUP(A851,orders!A:D,4,0))</f>
        <v>2014</v>
      </c>
      <c r="H851">
        <f>MONTH(INDEX(orders!D:D,MATCH(A851, orders!A:A,0)))</f>
        <v>6</v>
      </c>
      <c r="I851" t="str">
        <f>VLOOKUP(VLOOKUP(B851,products!A:F,6,0),categories!A:B,2,0)</f>
        <v>Beverages</v>
      </c>
      <c r="J851" t="str">
        <f>VLOOKUP(VLOOKUP(A851,orders!A:B,2,0),customers!A:F,6,0)</f>
        <v>Canada</v>
      </c>
      <c r="K851" t="str">
        <f>VLOOKUP(VLOOKUP(A851,orders!A:C,3,0),employees!A:B,2,0)</f>
        <v>Laura Callahan</v>
      </c>
    </row>
    <row r="852" spans="1:11" x14ac:dyDescent="0.25">
      <c r="A852">
        <v>10565</v>
      </c>
      <c r="B852">
        <v>64</v>
      </c>
      <c r="C852">
        <v>33.25</v>
      </c>
      <c r="D852">
        <v>18</v>
      </c>
      <c r="E852">
        <v>0.1</v>
      </c>
      <c r="F852">
        <f t="shared" si="13"/>
        <v>538.65</v>
      </c>
      <c r="G852">
        <f>YEAR(VLOOKUP(A852,orders!A:D,4,0))</f>
        <v>2014</v>
      </c>
      <c r="H852">
        <f>MONTH(INDEX(orders!D:D,MATCH(A852, orders!A:A,0)))</f>
        <v>6</v>
      </c>
      <c r="I852" t="str">
        <f>VLOOKUP(VLOOKUP(B852,products!A:F,6,0),categories!A:B,2,0)</f>
        <v>Grains &amp; Cereals</v>
      </c>
      <c r="J852" t="str">
        <f>VLOOKUP(VLOOKUP(A852,orders!A:B,2,0),customers!A:F,6,0)</f>
        <v>Canada</v>
      </c>
      <c r="K852" t="str">
        <f>VLOOKUP(VLOOKUP(A852,orders!A:C,3,0),employees!A:B,2,0)</f>
        <v>Laura Callahan</v>
      </c>
    </row>
    <row r="853" spans="1:11" x14ac:dyDescent="0.25">
      <c r="A853">
        <v>10566</v>
      </c>
      <c r="B853">
        <v>11</v>
      </c>
      <c r="C853">
        <v>21</v>
      </c>
      <c r="D853">
        <v>35</v>
      </c>
      <c r="E853">
        <v>0.15</v>
      </c>
      <c r="F853">
        <f t="shared" si="13"/>
        <v>624.75</v>
      </c>
      <c r="G853">
        <f>YEAR(VLOOKUP(A853,orders!A:D,4,0))</f>
        <v>2014</v>
      </c>
      <c r="H853">
        <f>MONTH(INDEX(orders!D:D,MATCH(A853, orders!A:A,0)))</f>
        <v>6</v>
      </c>
      <c r="I853" t="str">
        <f>VLOOKUP(VLOOKUP(B853,products!A:F,6,0),categories!A:B,2,0)</f>
        <v>Dairy Products</v>
      </c>
      <c r="J853" t="str">
        <f>VLOOKUP(VLOOKUP(A853,orders!A:B,2,0),customers!A:F,6,0)</f>
        <v>France</v>
      </c>
      <c r="K853" t="str">
        <f>VLOOKUP(VLOOKUP(A853,orders!A:C,3,0),employees!A:B,2,0)</f>
        <v>Anne Dodsworth</v>
      </c>
    </row>
    <row r="854" spans="1:11" x14ac:dyDescent="0.25">
      <c r="A854">
        <v>10566</v>
      </c>
      <c r="B854">
        <v>18</v>
      </c>
      <c r="C854">
        <v>62.5</v>
      </c>
      <c r="D854">
        <v>18</v>
      </c>
      <c r="E854">
        <v>0.15</v>
      </c>
      <c r="F854">
        <f t="shared" si="13"/>
        <v>956.25</v>
      </c>
      <c r="G854">
        <f>YEAR(VLOOKUP(A854,orders!A:D,4,0))</f>
        <v>2014</v>
      </c>
      <c r="H854">
        <f>MONTH(INDEX(orders!D:D,MATCH(A854, orders!A:A,0)))</f>
        <v>6</v>
      </c>
      <c r="I854" t="str">
        <f>VLOOKUP(VLOOKUP(B854,products!A:F,6,0),categories!A:B,2,0)</f>
        <v>Seafood</v>
      </c>
      <c r="J854" t="str">
        <f>VLOOKUP(VLOOKUP(A854,orders!A:B,2,0),customers!A:F,6,0)</f>
        <v>France</v>
      </c>
      <c r="K854" t="str">
        <f>VLOOKUP(VLOOKUP(A854,orders!A:C,3,0),employees!A:B,2,0)</f>
        <v>Anne Dodsworth</v>
      </c>
    </row>
    <row r="855" spans="1:11" x14ac:dyDescent="0.25">
      <c r="A855">
        <v>10566</v>
      </c>
      <c r="B855">
        <v>76</v>
      </c>
      <c r="C855">
        <v>18</v>
      </c>
      <c r="D855">
        <v>10</v>
      </c>
      <c r="E855">
        <v>0</v>
      </c>
      <c r="F855">
        <f t="shared" si="13"/>
        <v>180</v>
      </c>
      <c r="G855">
        <f>YEAR(VLOOKUP(A855,orders!A:D,4,0))</f>
        <v>2014</v>
      </c>
      <c r="H855">
        <f>MONTH(INDEX(orders!D:D,MATCH(A855, orders!A:A,0)))</f>
        <v>6</v>
      </c>
      <c r="I855" t="str">
        <f>VLOOKUP(VLOOKUP(B855,products!A:F,6,0),categories!A:B,2,0)</f>
        <v>Beverages</v>
      </c>
      <c r="J855" t="str">
        <f>VLOOKUP(VLOOKUP(A855,orders!A:B,2,0),customers!A:F,6,0)</f>
        <v>France</v>
      </c>
      <c r="K855" t="str">
        <f>VLOOKUP(VLOOKUP(A855,orders!A:C,3,0),employees!A:B,2,0)</f>
        <v>Anne Dodsworth</v>
      </c>
    </row>
    <row r="856" spans="1:11" x14ac:dyDescent="0.25">
      <c r="A856">
        <v>10567</v>
      </c>
      <c r="B856">
        <v>31</v>
      </c>
      <c r="C856">
        <v>12.5</v>
      </c>
      <c r="D856">
        <v>60</v>
      </c>
      <c r="E856">
        <v>0.2</v>
      </c>
      <c r="F856">
        <f t="shared" si="13"/>
        <v>600</v>
      </c>
      <c r="G856">
        <f>YEAR(VLOOKUP(A856,orders!A:D,4,0))</f>
        <v>2014</v>
      </c>
      <c r="H856">
        <f>MONTH(INDEX(orders!D:D,MATCH(A856, orders!A:A,0)))</f>
        <v>6</v>
      </c>
      <c r="I856" t="str">
        <f>VLOOKUP(VLOOKUP(B856,products!A:F,6,0),categories!A:B,2,0)</f>
        <v>Dairy Products</v>
      </c>
      <c r="J856" t="str">
        <f>VLOOKUP(VLOOKUP(A856,orders!A:B,2,0),customers!A:F,6,0)</f>
        <v>Ireland</v>
      </c>
      <c r="K856" t="str">
        <f>VLOOKUP(VLOOKUP(A856,orders!A:C,3,0),employees!A:B,2,0)</f>
        <v>Nancy Davolio</v>
      </c>
    </row>
    <row r="857" spans="1:11" x14ac:dyDescent="0.25">
      <c r="A857">
        <v>10567</v>
      </c>
      <c r="B857">
        <v>51</v>
      </c>
      <c r="C857">
        <v>53</v>
      </c>
      <c r="D857">
        <v>3</v>
      </c>
      <c r="E857">
        <v>0</v>
      </c>
      <c r="F857">
        <f t="shared" si="13"/>
        <v>159</v>
      </c>
      <c r="G857">
        <f>YEAR(VLOOKUP(A857,orders!A:D,4,0))</f>
        <v>2014</v>
      </c>
      <c r="H857">
        <f>MONTH(INDEX(orders!D:D,MATCH(A857, orders!A:A,0)))</f>
        <v>6</v>
      </c>
      <c r="I857" t="str">
        <f>VLOOKUP(VLOOKUP(B857,products!A:F,6,0),categories!A:B,2,0)</f>
        <v>Produce</v>
      </c>
      <c r="J857" t="str">
        <f>VLOOKUP(VLOOKUP(A857,orders!A:B,2,0),customers!A:F,6,0)</f>
        <v>Ireland</v>
      </c>
      <c r="K857" t="str">
        <f>VLOOKUP(VLOOKUP(A857,orders!A:C,3,0),employees!A:B,2,0)</f>
        <v>Nancy Davolio</v>
      </c>
    </row>
    <row r="858" spans="1:11" x14ac:dyDescent="0.25">
      <c r="A858">
        <v>10567</v>
      </c>
      <c r="B858">
        <v>59</v>
      </c>
      <c r="C858">
        <v>55</v>
      </c>
      <c r="D858">
        <v>40</v>
      </c>
      <c r="E858">
        <v>0.2</v>
      </c>
      <c r="F858">
        <f t="shared" si="13"/>
        <v>1760</v>
      </c>
      <c r="G858">
        <f>YEAR(VLOOKUP(A858,orders!A:D,4,0))</f>
        <v>2014</v>
      </c>
      <c r="H858">
        <f>MONTH(INDEX(orders!D:D,MATCH(A858, orders!A:A,0)))</f>
        <v>6</v>
      </c>
      <c r="I858" t="str">
        <f>VLOOKUP(VLOOKUP(B858,products!A:F,6,0),categories!A:B,2,0)</f>
        <v>Dairy Products</v>
      </c>
      <c r="J858" t="str">
        <f>VLOOKUP(VLOOKUP(A858,orders!A:B,2,0),customers!A:F,6,0)</f>
        <v>Ireland</v>
      </c>
      <c r="K858" t="str">
        <f>VLOOKUP(VLOOKUP(A858,orders!A:C,3,0),employees!A:B,2,0)</f>
        <v>Nancy Davolio</v>
      </c>
    </row>
    <row r="859" spans="1:11" x14ac:dyDescent="0.25">
      <c r="A859">
        <v>10568</v>
      </c>
      <c r="B859">
        <v>10</v>
      </c>
      <c r="C859">
        <v>31</v>
      </c>
      <c r="D859">
        <v>5</v>
      </c>
      <c r="E859">
        <v>0</v>
      </c>
      <c r="F859">
        <f t="shared" si="13"/>
        <v>155</v>
      </c>
      <c r="G859">
        <f>YEAR(VLOOKUP(A859,orders!A:D,4,0))</f>
        <v>2014</v>
      </c>
      <c r="H859">
        <f>MONTH(INDEX(orders!D:D,MATCH(A859, orders!A:A,0)))</f>
        <v>6</v>
      </c>
      <c r="I859" t="str">
        <f>VLOOKUP(VLOOKUP(B859,products!A:F,6,0),categories!A:B,2,0)</f>
        <v>Seafood</v>
      </c>
      <c r="J859" t="str">
        <f>VLOOKUP(VLOOKUP(A859,orders!A:B,2,0),customers!A:F,6,0)</f>
        <v>Spain</v>
      </c>
      <c r="K859" t="str">
        <f>VLOOKUP(VLOOKUP(A859,orders!A:C,3,0),employees!A:B,2,0)</f>
        <v>Janet Leverling</v>
      </c>
    </row>
    <row r="860" spans="1:11" x14ac:dyDescent="0.25">
      <c r="A860">
        <v>10569</v>
      </c>
      <c r="B860">
        <v>31</v>
      </c>
      <c r="C860">
        <v>12.5</v>
      </c>
      <c r="D860">
        <v>35</v>
      </c>
      <c r="E860">
        <v>0.2</v>
      </c>
      <c r="F860">
        <f t="shared" si="13"/>
        <v>350</v>
      </c>
      <c r="G860">
        <f>YEAR(VLOOKUP(A860,orders!A:D,4,0))</f>
        <v>2014</v>
      </c>
      <c r="H860">
        <f>MONTH(INDEX(orders!D:D,MATCH(A860, orders!A:A,0)))</f>
        <v>6</v>
      </c>
      <c r="I860" t="str">
        <f>VLOOKUP(VLOOKUP(B860,products!A:F,6,0),categories!A:B,2,0)</f>
        <v>Dairy Products</v>
      </c>
      <c r="J860" t="str">
        <f>VLOOKUP(VLOOKUP(A860,orders!A:B,2,0),customers!A:F,6,0)</f>
        <v>USA</v>
      </c>
      <c r="K860" t="str">
        <f>VLOOKUP(VLOOKUP(A860,orders!A:C,3,0),employees!A:B,2,0)</f>
        <v>Steven Buchanan</v>
      </c>
    </row>
    <row r="861" spans="1:11" x14ac:dyDescent="0.25">
      <c r="A861">
        <v>10569</v>
      </c>
      <c r="B861">
        <v>76</v>
      </c>
      <c r="C861">
        <v>18</v>
      </c>
      <c r="D861">
        <v>30</v>
      </c>
      <c r="E861">
        <v>0</v>
      </c>
      <c r="F861">
        <f t="shared" si="13"/>
        <v>540</v>
      </c>
      <c r="G861">
        <f>YEAR(VLOOKUP(A861,orders!A:D,4,0))</f>
        <v>2014</v>
      </c>
      <c r="H861">
        <f>MONTH(INDEX(orders!D:D,MATCH(A861, orders!A:A,0)))</f>
        <v>6</v>
      </c>
      <c r="I861" t="str">
        <f>VLOOKUP(VLOOKUP(B861,products!A:F,6,0),categories!A:B,2,0)</f>
        <v>Beverages</v>
      </c>
      <c r="J861" t="str">
        <f>VLOOKUP(VLOOKUP(A861,orders!A:B,2,0),customers!A:F,6,0)</f>
        <v>USA</v>
      </c>
      <c r="K861" t="str">
        <f>VLOOKUP(VLOOKUP(A861,orders!A:C,3,0),employees!A:B,2,0)</f>
        <v>Steven Buchanan</v>
      </c>
    </row>
    <row r="862" spans="1:11" x14ac:dyDescent="0.25">
      <c r="A862">
        <v>10570</v>
      </c>
      <c r="B862">
        <v>11</v>
      </c>
      <c r="C862">
        <v>21</v>
      </c>
      <c r="D862">
        <v>15</v>
      </c>
      <c r="E862">
        <v>0.05</v>
      </c>
      <c r="F862">
        <f t="shared" si="13"/>
        <v>299.25</v>
      </c>
      <c r="G862">
        <f>YEAR(VLOOKUP(A862,orders!A:D,4,0))</f>
        <v>2014</v>
      </c>
      <c r="H862">
        <f>MONTH(INDEX(orders!D:D,MATCH(A862, orders!A:A,0)))</f>
        <v>6</v>
      </c>
      <c r="I862" t="str">
        <f>VLOOKUP(VLOOKUP(B862,products!A:F,6,0),categories!A:B,2,0)</f>
        <v>Dairy Products</v>
      </c>
      <c r="J862" t="str">
        <f>VLOOKUP(VLOOKUP(A862,orders!A:B,2,0),customers!A:F,6,0)</f>
        <v>Canada</v>
      </c>
      <c r="K862" t="str">
        <f>VLOOKUP(VLOOKUP(A862,orders!A:C,3,0),employees!A:B,2,0)</f>
        <v>Janet Leverling</v>
      </c>
    </row>
    <row r="863" spans="1:11" x14ac:dyDescent="0.25">
      <c r="A863">
        <v>10570</v>
      </c>
      <c r="B863">
        <v>56</v>
      </c>
      <c r="C863">
        <v>38</v>
      </c>
      <c r="D863">
        <v>60</v>
      </c>
      <c r="E863">
        <v>0.05</v>
      </c>
      <c r="F863">
        <f t="shared" si="13"/>
        <v>2166</v>
      </c>
      <c r="G863">
        <f>YEAR(VLOOKUP(A863,orders!A:D,4,0))</f>
        <v>2014</v>
      </c>
      <c r="H863">
        <f>MONTH(INDEX(orders!D:D,MATCH(A863, orders!A:A,0)))</f>
        <v>6</v>
      </c>
      <c r="I863" t="str">
        <f>VLOOKUP(VLOOKUP(B863,products!A:F,6,0),categories!A:B,2,0)</f>
        <v>Grains &amp; Cereals</v>
      </c>
      <c r="J863" t="str">
        <f>VLOOKUP(VLOOKUP(A863,orders!A:B,2,0),customers!A:F,6,0)</f>
        <v>Canada</v>
      </c>
      <c r="K863" t="str">
        <f>VLOOKUP(VLOOKUP(A863,orders!A:C,3,0),employees!A:B,2,0)</f>
        <v>Janet Leverling</v>
      </c>
    </row>
    <row r="864" spans="1:11" x14ac:dyDescent="0.25">
      <c r="A864">
        <v>10571</v>
      </c>
      <c r="B864">
        <v>14</v>
      </c>
      <c r="C864">
        <v>23.25</v>
      </c>
      <c r="D864">
        <v>11</v>
      </c>
      <c r="E864">
        <v>0.15</v>
      </c>
      <c r="F864">
        <f t="shared" si="13"/>
        <v>217.38749999999999</v>
      </c>
      <c r="G864">
        <f>YEAR(VLOOKUP(A864,orders!A:D,4,0))</f>
        <v>2014</v>
      </c>
      <c r="H864">
        <f>MONTH(INDEX(orders!D:D,MATCH(A864, orders!A:A,0)))</f>
        <v>6</v>
      </c>
      <c r="I864" t="str">
        <f>VLOOKUP(VLOOKUP(B864,products!A:F,6,0),categories!A:B,2,0)</f>
        <v>Produce</v>
      </c>
      <c r="J864" t="str">
        <f>VLOOKUP(VLOOKUP(A864,orders!A:B,2,0),customers!A:F,6,0)</f>
        <v>Austria</v>
      </c>
      <c r="K864" t="str">
        <f>VLOOKUP(VLOOKUP(A864,orders!A:C,3,0),employees!A:B,2,0)</f>
        <v>Laura Callahan</v>
      </c>
    </row>
    <row r="865" spans="1:11" x14ac:dyDescent="0.25">
      <c r="A865">
        <v>10571</v>
      </c>
      <c r="B865">
        <v>42</v>
      </c>
      <c r="C865">
        <v>14</v>
      </c>
      <c r="D865">
        <v>28</v>
      </c>
      <c r="E865">
        <v>0.15</v>
      </c>
      <c r="F865">
        <f t="shared" si="13"/>
        <v>333.2</v>
      </c>
      <c r="G865">
        <f>YEAR(VLOOKUP(A865,orders!A:D,4,0))</f>
        <v>2014</v>
      </c>
      <c r="H865">
        <f>MONTH(INDEX(orders!D:D,MATCH(A865, orders!A:A,0)))</f>
        <v>6</v>
      </c>
      <c r="I865" t="str">
        <f>VLOOKUP(VLOOKUP(B865,products!A:F,6,0),categories!A:B,2,0)</f>
        <v>Grains &amp; Cereals</v>
      </c>
      <c r="J865" t="str">
        <f>VLOOKUP(VLOOKUP(A865,orders!A:B,2,0),customers!A:F,6,0)</f>
        <v>Austria</v>
      </c>
      <c r="K865" t="str">
        <f>VLOOKUP(VLOOKUP(A865,orders!A:C,3,0),employees!A:B,2,0)</f>
        <v>Laura Callahan</v>
      </c>
    </row>
    <row r="866" spans="1:11" x14ac:dyDescent="0.25">
      <c r="A866">
        <v>10572</v>
      </c>
      <c r="B866">
        <v>16</v>
      </c>
      <c r="C866">
        <v>17.45</v>
      </c>
      <c r="D866">
        <v>12</v>
      </c>
      <c r="E866">
        <v>0.1</v>
      </c>
      <c r="F866">
        <f t="shared" si="13"/>
        <v>188.45999999999998</v>
      </c>
      <c r="G866">
        <f>YEAR(VLOOKUP(A866,orders!A:D,4,0))</f>
        <v>2014</v>
      </c>
      <c r="H866">
        <f>MONTH(INDEX(orders!D:D,MATCH(A866, orders!A:A,0)))</f>
        <v>6</v>
      </c>
      <c r="I866" t="str">
        <f>VLOOKUP(VLOOKUP(B866,products!A:F,6,0),categories!A:B,2,0)</f>
        <v>Confections</v>
      </c>
      <c r="J866" t="str">
        <f>VLOOKUP(VLOOKUP(A866,orders!A:B,2,0),customers!A:F,6,0)</f>
        <v>Sweden</v>
      </c>
      <c r="K866" t="str">
        <f>VLOOKUP(VLOOKUP(A866,orders!A:C,3,0),employees!A:B,2,0)</f>
        <v>Janet Leverling</v>
      </c>
    </row>
    <row r="867" spans="1:11" x14ac:dyDescent="0.25">
      <c r="A867">
        <v>10572</v>
      </c>
      <c r="B867">
        <v>32</v>
      </c>
      <c r="C867">
        <v>32</v>
      </c>
      <c r="D867">
        <v>10</v>
      </c>
      <c r="E867">
        <v>0.1</v>
      </c>
      <c r="F867">
        <f t="shared" si="13"/>
        <v>288</v>
      </c>
      <c r="G867">
        <f>YEAR(VLOOKUP(A867,orders!A:D,4,0))</f>
        <v>2014</v>
      </c>
      <c r="H867">
        <f>MONTH(INDEX(orders!D:D,MATCH(A867, orders!A:A,0)))</f>
        <v>6</v>
      </c>
      <c r="I867" t="str">
        <f>VLOOKUP(VLOOKUP(B867,products!A:F,6,0),categories!A:B,2,0)</f>
        <v>Dairy Products</v>
      </c>
      <c r="J867" t="str">
        <f>VLOOKUP(VLOOKUP(A867,orders!A:B,2,0),customers!A:F,6,0)</f>
        <v>Sweden</v>
      </c>
      <c r="K867" t="str">
        <f>VLOOKUP(VLOOKUP(A867,orders!A:C,3,0),employees!A:B,2,0)</f>
        <v>Janet Leverling</v>
      </c>
    </row>
    <row r="868" spans="1:11" x14ac:dyDescent="0.25">
      <c r="A868">
        <v>10572</v>
      </c>
      <c r="B868">
        <v>40</v>
      </c>
      <c r="C868">
        <v>18.399999999999999</v>
      </c>
      <c r="D868">
        <v>50</v>
      </c>
      <c r="E868">
        <v>0</v>
      </c>
      <c r="F868">
        <f t="shared" si="13"/>
        <v>919.99999999999989</v>
      </c>
      <c r="G868">
        <f>YEAR(VLOOKUP(A868,orders!A:D,4,0))</f>
        <v>2014</v>
      </c>
      <c r="H868">
        <f>MONTH(INDEX(orders!D:D,MATCH(A868, orders!A:A,0)))</f>
        <v>6</v>
      </c>
      <c r="I868" t="str">
        <f>VLOOKUP(VLOOKUP(B868,products!A:F,6,0),categories!A:B,2,0)</f>
        <v>Seafood</v>
      </c>
      <c r="J868" t="str">
        <f>VLOOKUP(VLOOKUP(A868,orders!A:B,2,0),customers!A:F,6,0)</f>
        <v>Sweden</v>
      </c>
      <c r="K868" t="str">
        <f>VLOOKUP(VLOOKUP(A868,orders!A:C,3,0),employees!A:B,2,0)</f>
        <v>Janet Leverling</v>
      </c>
    </row>
    <row r="869" spans="1:11" x14ac:dyDescent="0.25">
      <c r="A869">
        <v>10572</v>
      </c>
      <c r="B869">
        <v>75</v>
      </c>
      <c r="C869">
        <v>7.75</v>
      </c>
      <c r="D869">
        <v>15</v>
      </c>
      <c r="E869">
        <v>0.1</v>
      </c>
      <c r="F869">
        <f t="shared" si="13"/>
        <v>104.625</v>
      </c>
      <c r="G869">
        <f>YEAR(VLOOKUP(A869,orders!A:D,4,0))</f>
        <v>2014</v>
      </c>
      <c r="H869">
        <f>MONTH(INDEX(orders!D:D,MATCH(A869, orders!A:A,0)))</f>
        <v>6</v>
      </c>
      <c r="I869" t="str">
        <f>VLOOKUP(VLOOKUP(B869,products!A:F,6,0),categories!A:B,2,0)</f>
        <v>Beverages</v>
      </c>
      <c r="J869" t="str">
        <f>VLOOKUP(VLOOKUP(A869,orders!A:B,2,0),customers!A:F,6,0)</f>
        <v>Sweden</v>
      </c>
      <c r="K869" t="str">
        <f>VLOOKUP(VLOOKUP(A869,orders!A:C,3,0),employees!A:B,2,0)</f>
        <v>Janet Leverling</v>
      </c>
    </row>
    <row r="870" spans="1:11" x14ac:dyDescent="0.25">
      <c r="A870">
        <v>10573</v>
      </c>
      <c r="B870">
        <v>17</v>
      </c>
      <c r="C870">
        <v>39</v>
      </c>
      <c r="D870">
        <v>18</v>
      </c>
      <c r="E870">
        <v>0</v>
      </c>
      <c r="F870">
        <f t="shared" si="13"/>
        <v>702</v>
      </c>
      <c r="G870">
        <f>YEAR(VLOOKUP(A870,orders!A:D,4,0))</f>
        <v>2014</v>
      </c>
      <c r="H870">
        <f>MONTH(INDEX(orders!D:D,MATCH(A870, orders!A:A,0)))</f>
        <v>6</v>
      </c>
      <c r="I870" t="str">
        <f>VLOOKUP(VLOOKUP(B870,products!A:F,6,0),categories!A:B,2,0)</f>
        <v>Meat &amp; Poultry</v>
      </c>
      <c r="J870" t="str">
        <f>VLOOKUP(VLOOKUP(A870,orders!A:B,2,0),customers!A:F,6,0)</f>
        <v>Mexico</v>
      </c>
      <c r="K870" t="str">
        <f>VLOOKUP(VLOOKUP(A870,orders!A:C,3,0),employees!A:B,2,0)</f>
        <v>Robert King</v>
      </c>
    </row>
    <row r="871" spans="1:11" x14ac:dyDescent="0.25">
      <c r="A871">
        <v>10573</v>
      </c>
      <c r="B871">
        <v>34</v>
      </c>
      <c r="C871">
        <v>14</v>
      </c>
      <c r="D871">
        <v>40</v>
      </c>
      <c r="E871">
        <v>0</v>
      </c>
      <c r="F871">
        <f t="shared" si="13"/>
        <v>560</v>
      </c>
      <c r="G871">
        <f>YEAR(VLOOKUP(A871,orders!A:D,4,0))</f>
        <v>2014</v>
      </c>
      <c r="H871">
        <f>MONTH(INDEX(orders!D:D,MATCH(A871, orders!A:A,0)))</f>
        <v>6</v>
      </c>
      <c r="I871" t="str">
        <f>VLOOKUP(VLOOKUP(B871,products!A:F,6,0),categories!A:B,2,0)</f>
        <v>Beverages</v>
      </c>
      <c r="J871" t="str">
        <f>VLOOKUP(VLOOKUP(A871,orders!A:B,2,0),customers!A:F,6,0)</f>
        <v>Mexico</v>
      </c>
      <c r="K871" t="str">
        <f>VLOOKUP(VLOOKUP(A871,orders!A:C,3,0),employees!A:B,2,0)</f>
        <v>Robert King</v>
      </c>
    </row>
    <row r="872" spans="1:11" x14ac:dyDescent="0.25">
      <c r="A872">
        <v>10573</v>
      </c>
      <c r="B872">
        <v>53</v>
      </c>
      <c r="C872">
        <v>32.799999999999997</v>
      </c>
      <c r="D872">
        <v>25</v>
      </c>
      <c r="E872">
        <v>0</v>
      </c>
      <c r="F872">
        <f t="shared" si="13"/>
        <v>819.99999999999989</v>
      </c>
      <c r="G872">
        <f>YEAR(VLOOKUP(A872,orders!A:D,4,0))</f>
        <v>2014</v>
      </c>
      <c r="H872">
        <f>MONTH(INDEX(orders!D:D,MATCH(A872, orders!A:A,0)))</f>
        <v>6</v>
      </c>
      <c r="I872" t="str">
        <f>VLOOKUP(VLOOKUP(B872,products!A:F,6,0),categories!A:B,2,0)</f>
        <v>Meat &amp; Poultry</v>
      </c>
      <c r="J872" t="str">
        <f>VLOOKUP(VLOOKUP(A872,orders!A:B,2,0),customers!A:F,6,0)</f>
        <v>Mexico</v>
      </c>
      <c r="K872" t="str">
        <f>VLOOKUP(VLOOKUP(A872,orders!A:C,3,0),employees!A:B,2,0)</f>
        <v>Robert King</v>
      </c>
    </row>
    <row r="873" spans="1:11" x14ac:dyDescent="0.25">
      <c r="A873">
        <v>10574</v>
      </c>
      <c r="B873">
        <v>33</v>
      </c>
      <c r="C873">
        <v>2.5</v>
      </c>
      <c r="D873">
        <v>14</v>
      </c>
      <c r="E873">
        <v>0</v>
      </c>
      <c r="F873">
        <f t="shared" si="13"/>
        <v>35</v>
      </c>
      <c r="G873">
        <f>YEAR(VLOOKUP(A873,orders!A:D,4,0))</f>
        <v>2014</v>
      </c>
      <c r="H873">
        <f>MONTH(INDEX(orders!D:D,MATCH(A873, orders!A:A,0)))</f>
        <v>6</v>
      </c>
      <c r="I873" t="str">
        <f>VLOOKUP(VLOOKUP(B873,products!A:F,6,0),categories!A:B,2,0)</f>
        <v>Dairy Products</v>
      </c>
      <c r="J873" t="str">
        <f>VLOOKUP(VLOOKUP(A873,orders!A:B,2,0),customers!A:F,6,0)</f>
        <v>USA</v>
      </c>
      <c r="K873" t="str">
        <f>VLOOKUP(VLOOKUP(A873,orders!A:C,3,0),employees!A:B,2,0)</f>
        <v>Margaret Peacock</v>
      </c>
    </row>
    <row r="874" spans="1:11" x14ac:dyDescent="0.25">
      <c r="A874">
        <v>10574</v>
      </c>
      <c r="B874">
        <v>40</v>
      </c>
      <c r="C874">
        <v>18.399999999999999</v>
      </c>
      <c r="D874">
        <v>2</v>
      </c>
      <c r="E874">
        <v>0</v>
      </c>
      <c r="F874">
        <f t="shared" si="13"/>
        <v>36.799999999999997</v>
      </c>
      <c r="G874">
        <f>YEAR(VLOOKUP(A874,orders!A:D,4,0))</f>
        <v>2014</v>
      </c>
      <c r="H874">
        <f>MONTH(INDEX(orders!D:D,MATCH(A874, orders!A:A,0)))</f>
        <v>6</v>
      </c>
      <c r="I874" t="str">
        <f>VLOOKUP(VLOOKUP(B874,products!A:F,6,0),categories!A:B,2,0)</f>
        <v>Seafood</v>
      </c>
      <c r="J874" t="str">
        <f>VLOOKUP(VLOOKUP(A874,orders!A:B,2,0),customers!A:F,6,0)</f>
        <v>USA</v>
      </c>
      <c r="K874" t="str">
        <f>VLOOKUP(VLOOKUP(A874,orders!A:C,3,0),employees!A:B,2,0)</f>
        <v>Margaret Peacock</v>
      </c>
    </row>
    <row r="875" spans="1:11" x14ac:dyDescent="0.25">
      <c r="A875">
        <v>10574</v>
      </c>
      <c r="B875">
        <v>62</v>
      </c>
      <c r="C875">
        <v>49.3</v>
      </c>
      <c r="D875">
        <v>10</v>
      </c>
      <c r="E875">
        <v>0</v>
      </c>
      <c r="F875">
        <f t="shared" si="13"/>
        <v>493</v>
      </c>
      <c r="G875">
        <f>YEAR(VLOOKUP(A875,orders!A:D,4,0))</f>
        <v>2014</v>
      </c>
      <c r="H875">
        <f>MONTH(INDEX(orders!D:D,MATCH(A875, orders!A:A,0)))</f>
        <v>6</v>
      </c>
      <c r="I875" t="str">
        <f>VLOOKUP(VLOOKUP(B875,products!A:F,6,0),categories!A:B,2,0)</f>
        <v>Confections</v>
      </c>
      <c r="J875" t="str">
        <f>VLOOKUP(VLOOKUP(A875,orders!A:B,2,0),customers!A:F,6,0)</f>
        <v>USA</v>
      </c>
      <c r="K875" t="str">
        <f>VLOOKUP(VLOOKUP(A875,orders!A:C,3,0),employees!A:B,2,0)</f>
        <v>Margaret Peacock</v>
      </c>
    </row>
    <row r="876" spans="1:11" x14ac:dyDescent="0.25">
      <c r="A876">
        <v>10574</v>
      </c>
      <c r="B876">
        <v>64</v>
      </c>
      <c r="C876">
        <v>33.25</v>
      </c>
      <c r="D876">
        <v>6</v>
      </c>
      <c r="E876">
        <v>0</v>
      </c>
      <c r="F876">
        <f t="shared" si="13"/>
        <v>199.5</v>
      </c>
      <c r="G876">
        <f>YEAR(VLOOKUP(A876,orders!A:D,4,0))</f>
        <v>2014</v>
      </c>
      <c r="H876">
        <f>MONTH(INDEX(orders!D:D,MATCH(A876, orders!A:A,0)))</f>
        <v>6</v>
      </c>
      <c r="I876" t="str">
        <f>VLOOKUP(VLOOKUP(B876,products!A:F,6,0),categories!A:B,2,0)</f>
        <v>Grains &amp; Cereals</v>
      </c>
      <c r="J876" t="str">
        <f>VLOOKUP(VLOOKUP(A876,orders!A:B,2,0),customers!A:F,6,0)</f>
        <v>USA</v>
      </c>
      <c r="K876" t="str">
        <f>VLOOKUP(VLOOKUP(A876,orders!A:C,3,0),employees!A:B,2,0)</f>
        <v>Margaret Peacock</v>
      </c>
    </row>
    <row r="877" spans="1:11" x14ac:dyDescent="0.25">
      <c r="A877">
        <v>10575</v>
      </c>
      <c r="B877">
        <v>59</v>
      </c>
      <c r="C877">
        <v>55</v>
      </c>
      <c r="D877">
        <v>12</v>
      </c>
      <c r="E877">
        <v>0</v>
      </c>
      <c r="F877">
        <f t="shared" si="13"/>
        <v>660</v>
      </c>
      <c r="G877">
        <f>YEAR(VLOOKUP(A877,orders!A:D,4,0))</f>
        <v>2014</v>
      </c>
      <c r="H877">
        <f>MONTH(INDEX(orders!D:D,MATCH(A877, orders!A:A,0)))</f>
        <v>6</v>
      </c>
      <c r="I877" t="str">
        <f>VLOOKUP(VLOOKUP(B877,products!A:F,6,0),categories!A:B,2,0)</f>
        <v>Dairy Products</v>
      </c>
      <c r="J877" t="str">
        <f>VLOOKUP(VLOOKUP(A877,orders!A:B,2,0),customers!A:F,6,0)</f>
        <v>Germany</v>
      </c>
      <c r="K877" t="str">
        <f>VLOOKUP(VLOOKUP(A877,orders!A:C,3,0),employees!A:B,2,0)</f>
        <v>Steven Buchanan</v>
      </c>
    </row>
    <row r="878" spans="1:11" x14ac:dyDescent="0.25">
      <c r="A878">
        <v>10575</v>
      </c>
      <c r="B878">
        <v>63</v>
      </c>
      <c r="C878">
        <v>43.9</v>
      </c>
      <c r="D878">
        <v>6</v>
      </c>
      <c r="E878">
        <v>0</v>
      </c>
      <c r="F878">
        <f t="shared" si="13"/>
        <v>263.39999999999998</v>
      </c>
      <c r="G878">
        <f>YEAR(VLOOKUP(A878,orders!A:D,4,0))</f>
        <v>2014</v>
      </c>
      <c r="H878">
        <f>MONTH(INDEX(orders!D:D,MATCH(A878, orders!A:A,0)))</f>
        <v>6</v>
      </c>
      <c r="I878" t="str">
        <f>VLOOKUP(VLOOKUP(B878,products!A:F,6,0),categories!A:B,2,0)</f>
        <v>Condiments</v>
      </c>
      <c r="J878" t="str">
        <f>VLOOKUP(VLOOKUP(A878,orders!A:B,2,0),customers!A:F,6,0)</f>
        <v>Germany</v>
      </c>
      <c r="K878" t="str">
        <f>VLOOKUP(VLOOKUP(A878,orders!A:C,3,0),employees!A:B,2,0)</f>
        <v>Steven Buchanan</v>
      </c>
    </row>
    <row r="879" spans="1:11" x14ac:dyDescent="0.25">
      <c r="A879">
        <v>10575</v>
      </c>
      <c r="B879">
        <v>72</v>
      </c>
      <c r="C879">
        <v>34.799999999999997</v>
      </c>
      <c r="D879">
        <v>30</v>
      </c>
      <c r="E879">
        <v>0</v>
      </c>
      <c r="F879">
        <f t="shared" si="13"/>
        <v>1044</v>
      </c>
      <c r="G879">
        <f>YEAR(VLOOKUP(A879,orders!A:D,4,0))</f>
        <v>2014</v>
      </c>
      <c r="H879">
        <f>MONTH(INDEX(orders!D:D,MATCH(A879, orders!A:A,0)))</f>
        <v>6</v>
      </c>
      <c r="I879" t="str">
        <f>VLOOKUP(VLOOKUP(B879,products!A:F,6,0),categories!A:B,2,0)</f>
        <v>Dairy Products</v>
      </c>
      <c r="J879" t="str">
        <f>VLOOKUP(VLOOKUP(A879,orders!A:B,2,0),customers!A:F,6,0)</f>
        <v>Germany</v>
      </c>
      <c r="K879" t="str">
        <f>VLOOKUP(VLOOKUP(A879,orders!A:C,3,0),employees!A:B,2,0)</f>
        <v>Steven Buchanan</v>
      </c>
    </row>
    <row r="880" spans="1:11" x14ac:dyDescent="0.25">
      <c r="A880">
        <v>10575</v>
      </c>
      <c r="B880">
        <v>76</v>
      </c>
      <c r="C880">
        <v>18</v>
      </c>
      <c r="D880">
        <v>10</v>
      </c>
      <c r="E880">
        <v>0</v>
      </c>
      <c r="F880">
        <f t="shared" si="13"/>
        <v>180</v>
      </c>
      <c r="G880">
        <f>YEAR(VLOOKUP(A880,orders!A:D,4,0))</f>
        <v>2014</v>
      </c>
      <c r="H880">
        <f>MONTH(INDEX(orders!D:D,MATCH(A880, orders!A:A,0)))</f>
        <v>6</v>
      </c>
      <c r="I880" t="str">
        <f>VLOOKUP(VLOOKUP(B880,products!A:F,6,0),categories!A:B,2,0)</f>
        <v>Beverages</v>
      </c>
      <c r="J880" t="str">
        <f>VLOOKUP(VLOOKUP(A880,orders!A:B,2,0),customers!A:F,6,0)</f>
        <v>Germany</v>
      </c>
      <c r="K880" t="str">
        <f>VLOOKUP(VLOOKUP(A880,orders!A:C,3,0),employees!A:B,2,0)</f>
        <v>Steven Buchanan</v>
      </c>
    </row>
    <row r="881" spans="1:11" x14ac:dyDescent="0.25">
      <c r="A881">
        <v>10576</v>
      </c>
      <c r="B881">
        <v>1</v>
      </c>
      <c r="C881">
        <v>18</v>
      </c>
      <c r="D881">
        <v>10</v>
      </c>
      <c r="E881">
        <v>0</v>
      </c>
      <c r="F881">
        <f t="shared" si="13"/>
        <v>180</v>
      </c>
      <c r="G881">
        <f>YEAR(VLOOKUP(A881,orders!A:D,4,0))</f>
        <v>2014</v>
      </c>
      <c r="H881">
        <f>MONTH(INDEX(orders!D:D,MATCH(A881, orders!A:A,0)))</f>
        <v>6</v>
      </c>
      <c r="I881" t="str">
        <f>VLOOKUP(VLOOKUP(B881,products!A:F,6,0),categories!A:B,2,0)</f>
        <v>Beverages</v>
      </c>
      <c r="J881" t="str">
        <f>VLOOKUP(VLOOKUP(A881,orders!A:B,2,0),customers!A:F,6,0)</f>
        <v>Mexico</v>
      </c>
      <c r="K881" t="str">
        <f>VLOOKUP(VLOOKUP(A881,orders!A:C,3,0),employees!A:B,2,0)</f>
        <v>Janet Leverling</v>
      </c>
    </row>
    <row r="882" spans="1:11" x14ac:dyDescent="0.25">
      <c r="A882">
        <v>10576</v>
      </c>
      <c r="B882">
        <v>31</v>
      </c>
      <c r="C882">
        <v>12.5</v>
      </c>
      <c r="D882">
        <v>20</v>
      </c>
      <c r="E882">
        <v>0</v>
      </c>
      <c r="F882">
        <f t="shared" si="13"/>
        <v>250</v>
      </c>
      <c r="G882">
        <f>YEAR(VLOOKUP(A882,orders!A:D,4,0))</f>
        <v>2014</v>
      </c>
      <c r="H882">
        <f>MONTH(INDEX(orders!D:D,MATCH(A882, orders!A:A,0)))</f>
        <v>6</v>
      </c>
      <c r="I882" t="str">
        <f>VLOOKUP(VLOOKUP(B882,products!A:F,6,0),categories!A:B,2,0)</f>
        <v>Dairy Products</v>
      </c>
      <c r="J882" t="str">
        <f>VLOOKUP(VLOOKUP(A882,orders!A:B,2,0),customers!A:F,6,0)</f>
        <v>Mexico</v>
      </c>
      <c r="K882" t="str">
        <f>VLOOKUP(VLOOKUP(A882,orders!A:C,3,0),employees!A:B,2,0)</f>
        <v>Janet Leverling</v>
      </c>
    </row>
    <row r="883" spans="1:11" x14ac:dyDescent="0.25">
      <c r="A883">
        <v>10576</v>
      </c>
      <c r="B883">
        <v>44</v>
      </c>
      <c r="C883">
        <v>19.45</v>
      </c>
      <c r="D883">
        <v>21</v>
      </c>
      <c r="E883">
        <v>0</v>
      </c>
      <c r="F883">
        <f t="shared" si="13"/>
        <v>408.45</v>
      </c>
      <c r="G883">
        <f>YEAR(VLOOKUP(A883,orders!A:D,4,0))</f>
        <v>2014</v>
      </c>
      <c r="H883">
        <f>MONTH(INDEX(orders!D:D,MATCH(A883, orders!A:A,0)))</f>
        <v>6</v>
      </c>
      <c r="I883" t="str">
        <f>VLOOKUP(VLOOKUP(B883,products!A:F,6,0),categories!A:B,2,0)</f>
        <v>Condiments</v>
      </c>
      <c r="J883" t="str">
        <f>VLOOKUP(VLOOKUP(A883,orders!A:B,2,0),customers!A:F,6,0)</f>
        <v>Mexico</v>
      </c>
      <c r="K883" t="str">
        <f>VLOOKUP(VLOOKUP(A883,orders!A:C,3,0),employees!A:B,2,0)</f>
        <v>Janet Leverling</v>
      </c>
    </row>
    <row r="884" spans="1:11" x14ac:dyDescent="0.25">
      <c r="A884">
        <v>10577</v>
      </c>
      <c r="B884">
        <v>39</v>
      </c>
      <c r="C884">
        <v>18</v>
      </c>
      <c r="D884">
        <v>10</v>
      </c>
      <c r="E884">
        <v>0</v>
      </c>
      <c r="F884">
        <f t="shared" si="13"/>
        <v>180</v>
      </c>
      <c r="G884">
        <f>YEAR(VLOOKUP(A884,orders!A:D,4,0))</f>
        <v>2014</v>
      </c>
      <c r="H884">
        <f>MONTH(INDEX(orders!D:D,MATCH(A884, orders!A:A,0)))</f>
        <v>6</v>
      </c>
      <c r="I884" t="str">
        <f>VLOOKUP(VLOOKUP(B884,products!A:F,6,0),categories!A:B,2,0)</f>
        <v>Beverages</v>
      </c>
      <c r="J884" t="str">
        <f>VLOOKUP(VLOOKUP(A884,orders!A:B,2,0),customers!A:F,6,0)</f>
        <v>USA</v>
      </c>
      <c r="K884" t="str">
        <f>VLOOKUP(VLOOKUP(A884,orders!A:C,3,0),employees!A:B,2,0)</f>
        <v>Anne Dodsworth</v>
      </c>
    </row>
    <row r="885" spans="1:11" x14ac:dyDescent="0.25">
      <c r="A885">
        <v>10577</v>
      </c>
      <c r="B885">
        <v>75</v>
      </c>
      <c r="C885">
        <v>7.75</v>
      </c>
      <c r="D885">
        <v>20</v>
      </c>
      <c r="E885">
        <v>0</v>
      </c>
      <c r="F885">
        <f t="shared" si="13"/>
        <v>155</v>
      </c>
      <c r="G885">
        <f>YEAR(VLOOKUP(A885,orders!A:D,4,0))</f>
        <v>2014</v>
      </c>
      <c r="H885">
        <f>MONTH(INDEX(orders!D:D,MATCH(A885, orders!A:A,0)))</f>
        <v>6</v>
      </c>
      <c r="I885" t="str">
        <f>VLOOKUP(VLOOKUP(B885,products!A:F,6,0),categories!A:B,2,0)</f>
        <v>Beverages</v>
      </c>
      <c r="J885" t="str">
        <f>VLOOKUP(VLOOKUP(A885,orders!A:B,2,0),customers!A:F,6,0)</f>
        <v>USA</v>
      </c>
      <c r="K885" t="str">
        <f>VLOOKUP(VLOOKUP(A885,orders!A:C,3,0),employees!A:B,2,0)</f>
        <v>Anne Dodsworth</v>
      </c>
    </row>
    <row r="886" spans="1:11" x14ac:dyDescent="0.25">
      <c r="A886">
        <v>10577</v>
      </c>
      <c r="B886">
        <v>77</v>
      </c>
      <c r="C886">
        <v>13</v>
      </c>
      <c r="D886">
        <v>18</v>
      </c>
      <c r="E886">
        <v>0</v>
      </c>
      <c r="F886">
        <f t="shared" si="13"/>
        <v>234</v>
      </c>
      <c r="G886">
        <f>YEAR(VLOOKUP(A886,orders!A:D,4,0))</f>
        <v>2014</v>
      </c>
      <c r="H886">
        <f>MONTH(INDEX(orders!D:D,MATCH(A886, orders!A:A,0)))</f>
        <v>6</v>
      </c>
      <c r="I886" t="str">
        <f>VLOOKUP(VLOOKUP(B886,products!A:F,6,0),categories!A:B,2,0)</f>
        <v>Condiments</v>
      </c>
      <c r="J886" t="str">
        <f>VLOOKUP(VLOOKUP(A886,orders!A:B,2,0),customers!A:F,6,0)</f>
        <v>USA</v>
      </c>
      <c r="K886" t="str">
        <f>VLOOKUP(VLOOKUP(A886,orders!A:C,3,0),employees!A:B,2,0)</f>
        <v>Anne Dodsworth</v>
      </c>
    </row>
    <row r="887" spans="1:11" x14ac:dyDescent="0.25">
      <c r="A887">
        <v>10578</v>
      </c>
      <c r="B887">
        <v>35</v>
      </c>
      <c r="C887">
        <v>18</v>
      </c>
      <c r="D887">
        <v>20</v>
      </c>
      <c r="E887">
        <v>0</v>
      </c>
      <c r="F887">
        <f t="shared" si="13"/>
        <v>360</v>
      </c>
      <c r="G887">
        <f>YEAR(VLOOKUP(A887,orders!A:D,4,0))</f>
        <v>2014</v>
      </c>
      <c r="H887">
        <f>MONTH(INDEX(orders!D:D,MATCH(A887, orders!A:A,0)))</f>
        <v>6</v>
      </c>
      <c r="I887" t="str">
        <f>VLOOKUP(VLOOKUP(B887,products!A:F,6,0),categories!A:B,2,0)</f>
        <v>Beverages</v>
      </c>
      <c r="J887" t="str">
        <f>VLOOKUP(VLOOKUP(A887,orders!A:B,2,0),customers!A:F,6,0)</f>
        <v>UK</v>
      </c>
      <c r="K887" t="str">
        <f>VLOOKUP(VLOOKUP(A887,orders!A:C,3,0),employees!A:B,2,0)</f>
        <v>Margaret Peacock</v>
      </c>
    </row>
    <row r="888" spans="1:11" x14ac:dyDescent="0.25">
      <c r="A888">
        <v>10578</v>
      </c>
      <c r="B888">
        <v>57</v>
      </c>
      <c r="C888">
        <v>19.5</v>
      </c>
      <c r="D888">
        <v>6</v>
      </c>
      <c r="E888">
        <v>0</v>
      </c>
      <c r="F888">
        <f t="shared" si="13"/>
        <v>117</v>
      </c>
      <c r="G888">
        <f>YEAR(VLOOKUP(A888,orders!A:D,4,0))</f>
        <v>2014</v>
      </c>
      <c r="H888">
        <f>MONTH(INDEX(orders!D:D,MATCH(A888, orders!A:A,0)))</f>
        <v>6</v>
      </c>
      <c r="I888" t="str">
        <f>VLOOKUP(VLOOKUP(B888,products!A:F,6,0),categories!A:B,2,0)</f>
        <v>Grains &amp; Cereals</v>
      </c>
      <c r="J888" t="str">
        <f>VLOOKUP(VLOOKUP(A888,orders!A:B,2,0),customers!A:F,6,0)</f>
        <v>UK</v>
      </c>
      <c r="K888" t="str">
        <f>VLOOKUP(VLOOKUP(A888,orders!A:C,3,0),employees!A:B,2,0)</f>
        <v>Margaret Peacock</v>
      </c>
    </row>
    <row r="889" spans="1:11" x14ac:dyDescent="0.25">
      <c r="A889">
        <v>10579</v>
      </c>
      <c r="B889">
        <v>15</v>
      </c>
      <c r="C889">
        <v>15.5</v>
      </c>
      <c r="D889">
        <v>10</v>
      </c>
      <c r="E889">
        <v>0</v>
      </c>
      <c r="F889">
        <f t="shared" si="13"/>
        <v>155</v>
      </c>
      <c r="G889">
        <f>YEAR(VLOOKUP(A889,orders!A:D,4,0))</f>
        <v>2014</v>
      </c>
      <c r="H889">
        <f>MONTH(INDEX(orders!D:D,MATCH(A889, orders!A:A,0)))</f>
        <v>6</v>
      </c>
      <c r="I889" t="str">
        <f>VLOOKUP(VLOOKUP(B889,products!A:F,6,0),categories!A:B,2,0)</f>
        <v>Condiments</v>
      </c>
      <c r="J889" t="str">
        <f>VLOOKUP(VLOOKUP(A889,orders!A:B,2,0),customers!A:F,6,0)</f>
        <v>USA</v>
      </c>
      <c r="K889" t="str">
        <f>VLOOKUP(VLOOKUP(A889,orders!A:C,3,0),employees!A:B,2,0)</f>
        <v>Nancy Davolio</v>
      </c>
    </row>
    <row r="890" spans="1:11" x14ac:dyDescent="0.25">
      <c r="A890">
        <v>10579</v>
      </c>
      <c r="B890">
        <v>75</v>
      </c>
      <c r="C890">
        <v>7.75</v>
      </c>
      <c r="D890">
        <v>21</v>
      </c>
      <c r="E890">
        <v>0</v>
      </c>
      <c r="F890">
        <f t="shared" si="13"/>
        <v>162.75</v>
      </c>
      <c r="G890">
        <f>YEAR(VLOOKUP(A890,orders!A:D,4,0))</f>
        <v>2014</v>
      </c>
      <c r="H890">
        <f>MONTH(INDEX(orders!D:D,MATCH(A890, orders!A:A,0)))</f>
        <v>6</v>
      </c>
      <c r="I890" t="str">
        <f>VLOOKUP(VLOOKUP(B890,products!A:F,6,0),categories!A:B,2,0)</f>
        <v>Beverages</v>
      </c>
      <c r="J890" t="str">
        <f>VLOOKUP(VLOOKUP(A890,orders!A:B,2,0),customers!A:F,6,0)</f>
        <v>USA</v>
      </c>
      <c r="K890" t="str">
        <f>VLOOKUP(VLOOKUP(A890,orders!A:C,3,0),employees!A:B,2,0)</f>
        <v>Nancy Davolio</v>
      </c>
    </row>
    <row r="891" spans="1:11" x14ac:dyDescent="0.25">
      <c r="A891">
        <v>10580</v>
      </c>
      <c r="B891">
        <v>14</v>
      </c>
      <c r="C891">
        <v>23.25</v>
      </c>
      <c r="D891">
        <v>15</v>
      </c>
      <c r="E891">
        <v>0.05</v>
      </c>
      <c r="F891">
        <f t="shared" si="13"/>
        <v>331.3125</v>
      </c>
      <c r="G891">
        <f>YEAR(VLOOKUP(A891,orders!A:D,4,0))</f>
        <v>2014</v>
      </c>
      <c r="H891">
        <f>MONTH(INDEX(orders!D:D,MATCH(A891, orders!A:A,0)))</f>
        <v>6</v>
      </c>
      <c r="I891" t="str">
        <f>VLOOKUP(VLOOKUP(B891,products!A:F,6,0),categories!A:B,2,0)</f>
        <v>Produce</v>
      </c>
      <c r="J891" t="str">
        <f>VLOOKUP(VLOOKUP(A891,orders!A:B,2,0),customers!A:F,6,0)</f>
        <v>Germany</v>
      </c>
      <c r="K891" t="str">
        <f>VLOOKUP(VLOOKUP(A891,orders!A:C,3,0),employees!A:B,2,0)</f>
        <v>Margaret Peacock</v>
      </c>
    </row>
    <row r="892" spans="1:11" x14ac:dyDescent="0.25">
      <c r="A892">
        <v>10580</v>
      </c>
      <c r="B892">
        <v>41</v>
      </c>
      <c r="C892">
        <v>9.65</v>
      </c>
      <c r="D892">
        <v>9</v>
      </c>
      <c r="E892">
        <v>0.05</v>
      </c>
      <c r="F892">
        <f t="shared" si="13"/>
        <v>82.507500000000007</v>
      </c>
      <c r="G892">
        <f>YEAR(VLOOKUP(A892,orders!A:D,4,0))</f>
        <v>2014</v>
      </c>
      <c r="H892">
        <f>MONTH(INDEX(orders!D:D,MATCH(A892, orders!A:A,0)))</f>
        <v>6</v>
      </c>
      <c r="I892" t="str">
        <f>VLOOKUP(VLOOKUP(B892,products!A:F,6,0),categories!A:B,2,0)</f>
        <v>Seafood</v>
      </c>
      <c r="J892" t="str">
        <f>VLOOKUP(VLOOKUP(A892,orders!A:B,2,0),customers!A:F,6,0)</f>
        <v>Germany</v>
      </c>
      <c r="K892" t="str">
        <f>VLOOKUP(VLOOKUP(A892,orders!A:C,3,0),employees!A:B,2,0)</f>
        <v>Margaret Peacock</v>
      </c>
    </row>
    <row r="893" spans="1:11" x14ac:dyDescent="0.25">
      <c r="A893">
        <v>10580</v>
      </c>
      <c r="B893">
        <v>65</v>
      </c>
      <c r="C893">
        <v>21.05</v>
      </c>
      <c r="D893">
        <v>30</v>
      </c>
      <c r="E893">
        <v>0.05</v>
      </c>
      <c r="F893">
        <f t="shared" si="13"/>
        <v>599.92499999999995</v>
      </c>
      <c r="G893">
        <f>YEAR(VLOOKUP(A893,orders!A:D,4,0))</f>
        <v>2014</v>
      </c>
      <c r="H893">
        <f>MONTH(INDEX(orders!D:D,MATCH(A893, orders!A:A,0)))</f>
        <v>6</v>
      </c>
      <c r="I893" t="str">
        <f>VLOOKUP(VLOOKUP(B893,products!A:F,6,0),categories!A:B,2,0)</f>
        <v>Condiments</v>
      </c>
      <c r="J893" t="str">
        <f>VLOOKUP(VLOOKUP(A893,orders!A:B,2,0),customers!A:F,6,0)</f>
        <v>Germany</v>
      </c>
      <c r="K893" t="str">
        <f>VLOOKUP(VLOOKUP(A893,orders!A:C,3,0),employees!A:B,2,0)</f>
        <v>Margaret Peacock</v>
      </c>
    </row>
    <row r="894" spans="1:11" x14ac:dyDescent="0.25">
      <c r="A894">
        <v>10581</v>
      </c>
      <c r="B894">
        <v>75</v>
      </c>
      <c r="C894">
        <v>7.75</v>
      </c>
      <c r="D894">
        <v>50</v>
      </c>
      <c r="E894">
        <v>0.2</v>
      </c>
      <c r="F894">
        <f t="shared" si="13"/>
        <v>310</v>
      </c>
      <c r="G894">
        <f>YEAR(VLOOKUP(A894,orders!A:D,4,0))</f>
        <v>2014</v>
      </c>
      <c r="H894">
        <f>MONTH(INDEX(orders!D:D,MATCH(A894, orders!A:A,0)))</f>
        <v>6</v>
      </c>
      <c r="I894" t="str">
        <f>VLOOKUP(VLOOKUP(B894,products!A:F,6,0),categories!A:B,2,0)</f>
        <v>Beverages</v>
      </c>
      <c r="J894" t="str">
        <f>VLOOKUP(VLOOKUP(A894,orders!A:B,2,0),customers!A:F,6,0)</f>
        <v>Brazil</v>
      </c>
      <c r="K894" t="str">
        <f>VLOOKUP(VLOOKUP(A894,orders!A:C,3,0),employees!A:B,2,0)</f>
        <v>Janet Leverling</v>
      </c>
    </row>
    <row r="895" spans="1:11" x14ac:dyDescent="0.25">
      <c r="A895">
        <v>10582</v>
      </c>
      <c r="B895">
        <v>57</v>
      </c>
      <c r="C895">
        <v>19.5</v>
      </c>
      <c r="D895">
        <v>4</v>
      </c>
      <c r="E895">
        <v>0</v>
      </c>
      <c r="F895">
        <f t="shared" si="13"/>
        <v>78</v>
      </c>
      <c r="G895">
        <f>YEAR(VLOOKUP(A895,orders!A:D,4,0))</f>
        <v>2014</v>
      </c>
      <c r="H895">
        <f>MONTH(INDEX(orders!D:D,MATCH(A895, orders!A:A,0)))</f>
        <v>6</v>
      </c>
      <c r="I895" t="str">
        <f>VLOOKUP(VLOOKUP(B895,products!A:F,6,0),categories!A:B,2,0)</f>
        <v>Grains &amp; Cereals</v>
      </c>
      <c r="J895" t="str">
        <f>VLOOKUP(VLOOKUP(A895,orders!A:B,2,0),customers!A:F,6,0)</f>
        <v>Germany</v>
      </c>
      <c r="K895" t="str">
        <f>VLOOKUP(VLOOKUP(A895,orders!A:C,3,0),employees!A:B,2,0)</f>
        <v>Janet Leverling</v>
      </c>
    </row>
    <row r="896" spans="1:11" x14ac:dyDescent="0.25">
      <c r="A896">
        <v>10582</v>
      </c>
      <c r="B896">
        <v>76</v>
      </c>
      <c r="C896">
        <v>18</v>
      </c>
      <c r="D896">
        <v>14</v>
      </c>
      <c r="E896">
        <v>0</v>
      </c>
      <c r="F896">
        <f t="shared" si="13"/>
        <v>252</v>
      </c>
      <c r="G896">
        <f>YEAR(VLOOKUP(A896,orders!A:D,4,0))</f>
        <v>2014</v>
      </c>
      <c r="H896">
        <f>MONTH(INDEX(orders!D:D,MATCH(A896, orders!A:A,0)))</f>
        <v>6</v>
      </c>
      <c r="I896" t="str">
        <f>VLOOKUP(VLOOKUP(B896,products!A:F,6,0),categories!A:B,2,0)</f>
        <v>Beverages</v>
      </c>
      <c r="J896" t="str">
        <f>VLOOKUP(VLOOKUP(A896,orders!A:B,2,0),customers!A:F,6,0)</f>
        <v>Germany</v>
      </c>
      <c r="K896" t="str">
        <f>VLOOKUP(VLOOKUP(A896,orders!A:C,3,0),employees!A:B,2,0)</f>
        <v>Janet Leverling</v>
      </c>
    </row>
    <row r="897" spans="1:11" x14ac:dyDescent="0.25">
      <c r="A897">
        <v>10583</v>
      </c>
      <c r="B897">
        <v>29</v>
      </c>
      <c r="C897">
        <v>123.79</v>
      </c>
      <c r="D897">
        <v>10</v>
      </c>
      <c r="E897">
        <v>0</v>
      </c>
      <c r="F897">
        <f t="shared" si="13"/>
        <v>1237.9000000000001</v>
      </c>
      <c r="G897">
        <f>YEAR(VLOOKUP(A897,orders!A:D,4,0))</f>
        <v>2014</v>
      </c>
      <c r="H897">
        <f>MONTH(INDEX(orders!D:D,MATCH(A897, orders!A:A,0)))</f>
        <v>6</v>
      </c>
      <c r="I897" t="str">
        <f>VLOOKUP(VLOOKUP(B897,products!A:F,6,0),categories!A:B,2,0)</f>
        <v>Meat &amp; Poultry</v>
      </c>
      <c r="J897" t="str">
        <f>VLOOKUP(VLOOKUP(A897,orders!A:B,2,0),customers!A:F,6,0)</f>
        <v>Finland</v>
      </c>
      <c r="K897" t="str">
        <f>VLOOKUP(VLOOKUP(A897,orders!A:C,3,0),employees!A:B,2,0)</f>
        <v>Andrew Fuller</v>
      </c>
    </row>
    <row r="898" spans="1:11" x14ac:dyDescent="0.25">
      <c r="A898">
        <v>10583</v>
      </c>
      <c r="B898">
        <v>60</v>
      </c>
      <c r="C898">
        <v>34</v>
      </c>
      <c r="D898">
        <v>24</v>
      </c>
      <c r="E898">
        <v>0.15</v>
      </c>
      <c r="F898">
        <f t="shared" si="13"/>
        <v>693.6</v>
      </c>
      <c r="G898">
        <f>YEAR(VLOOKUP(A898,orders!A:D,4,0))</f>
        <v>2014</v>
      </c>
      <c r="H898">
        <f>MONTH(INDEX(orders!D:D,MATCH(A898, orders!A:A,0)))</f>
        <v>6</v>
      </c>
      <c r="I898" t="str">
        <f>VLOOKUP(VLOOKUP(B898,products!A:F,6,0),categories!A:B,2,0)</f>
        <v>Dairy Products</v>
      </c>
      <c r="J898" t="str">
        <f>VLOOKUP(VLOOKUP(A898,orders!A:B,2,0),customers!A:F,6,0)</f>
        <v>Finland</v>
      </c>
      <c r="K898" t="str">
        <f>VLOOKUP(VLOOKUP(A898,orders!A:C,3,0),employees!A:B,2,0)</f>
        <v>Andrew Fuller</v>
      </c>
    </row>
    <row r="899" spans="1:11" x14ac:dyDescent="0.25">
      <c r="A899">
        <v>10583</v>
      </c>
      <c r="B899">
        <v>69</v>
      </c>
      <c r="C899">
        <v>36</v>
      </c>
      <c r="D899">
        <v>10</v>
      </c>
      <c r="E899">
        <v>0.15</v>
      </c>
      <c r="F899">
        <f t="shared" ref="F899:F962" si="14">C899*D899*(1-E899)</f>
        <v>306</v>
      </c>
      <c r="G899">
        <f>YEAR(VLOOKUP(A899,orders!A:D,4,0))</f>
        <v>2014</v>
      </c>
      <c r="H899">
        <f>MONTH(INDEX(orders!D:D,MATCH(A899, orders!A:A,0)))</f>
        <v>6</v>
      </c>
      <c r="I899" t="str">
        <f>VLOOKUP(VLOOKUP(B899,products!A:F,6,0),categories!A:B,2,0)</f>
        <v>Dairy Products</v>
      </c>
      <c r="J899" t="str">
        <f>VLOOKUP(VLOOKUP(A899,orders!A:B,2,0),customers!A:F,6,0)</f>
        <v>Finland</v>
      </c>
      <c r="K899" t="str">
        <f>VLOOKUP(VLOOKUP(A899,orders!A:C,3,0),employees!A:B,2,0)</f>
        <v>Andrew Fuller</v>
      </c>
    </row>
    <row r="900" spans="1:11" x14ac:dyDescent="0.25">
      <c r="A900">
        <v>10584</v>
      </c>
      <c r="B900">
        <v>31</v>
      </c>
      <c r="C900">
        <v>12.5</v>
      </c>
      <c r="D900">
        <v>50</v>
      </c>
      <c r="E900">
        <v>0.05</v>
      </c>
      <c r="F900">
        <f t="shared" si="14"/>
        <v>593.75</v>
      </c>
      <c r="G900">
        <f>YEAR(VLOOKUP(A900,orders!A:D,4,0))</f>
        <v>2014</v>
      </c>
      <c r="H900">
        <f>MONTH(INDEX(orders!D:D,MATCH(A900, orders!A:A,0)))</f>
        <v>6</v>
      </c>
      <c r="I900" t="str">
        <f>VLOOKUP(VLOOKUP(B900,products!A:F,6,0),categories!A:B,2,0)</f>
        <v>Dairy Products</v>
      </c>
      <c r="J900" t="str">
        <f>VLOOKUP(VLOOKUP(A900,orders!A:B,2,0),customers!A:F,6,0)</f>
        <v>France</v>
      </c>
      <c r="K900" t="str">
        <f>VLOOKUP(VLOOKUP(A900,orders!A:C,3,0),employees!A:B,2,0)</f>
        <v>Margaret Peacock</v>
      </c>
    </row>
    <row r="901" spans="1:11" x14ac:dyDescent="0.25">
      <c r="A901">
        <v>10585</v>
      </c>
      <c r="B901">
        <v>47</v>
      </c>
      <c r="C901">
        <v>9.5</v>
      </c>
      <c r="D901">
        <v>15</v>
      </c>
      <c r="E901">
        <v>0</v>
      </c>
      <c r="F901">
        <f t="shared" si="14"/>
        <v>142.5</v>
      </c>
      <c r="G901">
        <f>YEAR(VLOOKUP(A901,orders!A:D,4,0))</f>
        <v>2014</v>
      </c>
      <c r="H901">
        <f>MONTH(INDEX(orders!D:D,MATCH(A901, orders!A:A,0)))</f>
        <v>7</v>
      </c>
      <c r="I901" t="str">
        <f>VLOOKUP(VLOOKUP(B901,products!A:F,6,0),categories!A:B,2,0)</f>
        <v>Confections</v>
      </c>
      <c r="J901" t="str">
        <f>VLOOKUP(VLOOKUP(A901,orders!A:B,2,0),customers!A:F,6,0)</f>
        <v>Brazil</v>
      </c>
      <c r="K901" t="str">
        <f>VLOOKUP(VLOOKUP(A901,orders!A:C,3,0),employees!A:B,2,0)</f>
        <v>Robert King</v>
      </c>
    </row>
    <row r="902" spans="1:11" x14ac:dyDescent="0.25">
      <c r="A902">
        <v>10586</v>
      </c>
      <c r="B902">
        <v>52</v>
      </c>
      <c r="C902">
        <v>7</v>
      </c>
      <c r="D902">
        <v>4</v>
      </c>
      <c r="E902">
        <v>0.15</v>
      </c>
      <c r="F902">
        <f t="shared" si="14"/>
        <v>23.8</v>
      </c>
      <c r="G902">
        <f>YEAR(VLOOKUP(A902,orders!A:D,4,0))</f>
        <v>2014</v>
      </c>
      <c r="H902">
        <f>MONTH(INDEX(orders!D:D,MATCH(A902, orders!A:A,0)))</f>
        <v>7</v>
      </c>
      <c r="I902" t="str">
        <f>VLOOKUP(VLOOKUP(B902,products!A:F,6,0),categories!A:B,2,0)</f>
        <v>Grains &amp; Cereals</v>
      </c>
      <c r="J902" t="str">
        <f>VLOOKUP(VLOOKUP(A902,orders!A:B,2,0),customers!A:F,6,0)</f>
        <v>Italy</v>
      </c>
      <c r="K902" t="str">
        <f>VLOOKUP(VLOOKUP(A902,orders!A:C,3,0),employees!A:B,2,0)</f>
        <v>Anne Dodsworth</v>
      </c>
    </row>
    <row r="903" spans="1:11" x14ac:dyDescent="0.25">
      <c r="A903">
        <v>10587</v>
      </c>
      <c r="B903">
        <v>26</v>
      </c>
      <c r="C903">
        <v>31.23</v>
      </c>
      <c r="D903">
        <v>6</v>
      </c>
      <c r="E903">
        <v>0</v>
      </c>
      <c r="F903">
        <f t="shared" si="14"/>
        <v>187.38</v>
      </c>
      <c r="G903">
        <f>YEAR(VLOOKUP(A903,orders!A:D,4,0))</f>
        <v>2014</v>
      </c>
      <c r="H903">
        <f>MONTH(INDEX(orders!D:D,MATCH(A903, orders!A:A,0)))</f>
        <v>7</v>
      </c>
      <c r="I903" t="str">
        <f>VLOOKUP(VLOOKUP(B903,products!A:F,6,0),categories!A:B,2,0)</f>
        <v>Confections</v>
      </c>
      <c r="J903" t="str">
        <f>VLOOKUP(VLOOKUP(A903,orders!A:B,2,0),customers!A:F,6,0)</f>
        <v>Brazil</v>
      </c>
      <c r="K903" t="str">
        <f>VLOOKUP(VLOOKUP(A903,orders!A:C,3,0),employees!A:B,2,0)</f>
        <v>Nancy Davolio</v>
      </c>
    </row>
    <row r="904" spans="1:11" x14ac:dyDescent="0.25">
      <c r="A904">
        <v>10587</v>
      </c>
      <c r="B904">
        <v>35</v>
      </c>
      <c r="C904">
        <v>18</v>
      </c>
      <c r="D904">
        <v>20</v>
      </c>
      <c r="E904">
        <v>0</v>
      </c>
      <c r="F904">
        <f t="shared" si="14"/>
        <v>360</v>
      </c>
      <c r="G904">
        <f>YEAR(VLOOKUP(A904,orders!A:D,4,0))</f>
        <v>2014</v>
      </c>
      <c r="H904">
        <f>MONTH(INDEX(orders!D:D,MATCH(A904, orders!A:A,0)))</f>
        <v>7</v>
      </c>
      <c r="I904" t="str">
        <f>VLOOKUP(VLOOKUP(B904,products!A:F,6,0),categories!A:B,2,0)</f>
        <v>Beverages</v>
      </c>
      <c r="J904" t="str">
        <f>VLOOKUP(VLOOKUP(A904,orders!A:B,2,0),customers!A:F,6,0)</f>
        <v>Brazil</v>
      </c>
      <c r="K904" t="str">
        <f>VLOOKUP(VLOOKUP(A904,orders!A:C,3,0),employees!A:B,2,0)</f>
        <v>Nancy Davolio</v>
      </c>
    </row>
    <row r="905" spans="1:11" x14ac:dyDescent="0.25">
      <c r="A905">
        <v>10587</v>
      </c>
      <c r="B905">
        <v>77</v>
      </c>
      <c r="C905">
        <v>13</v>
      </c>
      <c r="D905">
        <v>20</v>
      </c>
      <c r="E905">
        <v>0</v>
      </c>
      <c r="F905">
        <f t="shared" si="14"/>
        <v>260</v>
      </c>
      <c r="G905">
        <f>YEAR(VLOOKUP(A905,orders!A:D,4,0))</f>
        <v>2014</v>
      </c>
      <c r="H905">
        <f>MONTH(INDEX(orders!D:D,MATCH(A905, orders!A:A,0)))</f>
        <v>7</v>
      </c>
      <c r="I905" t="str">
        <f>VLOOKUP(VLOOKUP(B905,products!A:F,6,0),categories!A:B,2,0)</f>
        <v>Condiments</v>
      </c>
      <c r="J905" t="str">
        <f>VLOOKUP(VLOOKUP(A905,orders!A:B,2,0),customers!A:F,6,0)</f>
        <v>Brazil</v>
      </c>
      <c r="K905" t="str">
        <f>VLOOKUP(VLOOKUP(A905,orders!A:C,3,0),employees!A:B,2,0)</f>
        <v>Nancy Davolio</v>
      </c>
    </row>
    <row r="906" spans="1:11" x14ac:dyDescent="0.25">
      <c r="A906">
        <v>10588</v>
      </c>
      <c r="B906">
        <v>18</v>
      </c>
      <c r="C906">
        <v>62.5</v>
      </c>
      <c r="D906">
        <v>40</v>
      </c>
      <c r="E906">
        <v>0.2</v>
      </c>
      <c r="F906">
        <f t="shared" si="14"/>
        <v>2000</v>
      </c>
      <c r="G906">
        <f>YEAR(VLOOKUP(A906,orders!A:D,4,0))</f>
        <v>2014</v>
      </c>
      <c r="H906">
        <f>MONTH(INDEX(orders!D:D,MATCH(A906, orders!A:A,0)))</f>
        <v>7</v>
      </c>
      <c r="I906" t="str">
        <f>VLOOKUP(VLOOKUP(B906,products!A:F,6,0),categories!A:B,2,0)</f>
        <v>Seafood</v>
      </c>
      <c r="J906" t="str">
        <f>VLOOKUP(VLOOKUP(A906,orders!A:B,2,0),customers!A:F,6,0)</f>
        <v>Germany</v>
      </c>
      <c r="K906" t="str">
        <f>VLOOKUP(VLOOKUP(A906,orders!A:C,3,0),employees!A:B,2,0)</f>
        <v>Andrew Fuller</v>
      </c>
    </row>
    <row r="907" spans="1:11" x14ac:dyDescent="0.25">
      <c r="A907">
        <v>10588</v>
      </c>
      <c r="B907">
        <v>42</v>
      </c>
      <c r="C907">
        <v>14</v>
      </c>
      <c r="D907">
        <v>100</v>
      </c>
      <c r="E907">
        <v>0.2</v>
      </c>
      <c r="F907">
        <f t="shared" si="14"/>
        <v>1120</v>
      </c>
      <c r="G907">
        <f>YEAR(VLOOKUP(A907,orders!A:D,4,0))</f>
        <v>2014</v>
      </c>
      <c r="H907">
        <f>MONTH(INDEX(orders!D:D,MATCH(A907, orders!A:A,0)))</f>
        <v>7</v>
      </c>
      <c r="I907" t="str">
        <f>VLOOKUP(VLOOKUP(B907,products!A:F,6,0),categories!A:B,2,0)</f>
        <v>Grains &amp; Cereals</v>
      </c>
      <c r="J907" t="str">
        <f>VLOOKUP(VLOOKUP(A907,orders!A:B,2,0),customers!A:F,6,0)</f>
        <v>Germany</v>
      </c>
      <c r="K907" t="str">
        <f>VLOOKUP(VLOOKUP(A907,orders!A:C,3,0),employees!A:B,2,0)</f>
        <v>Andrew Fuller</v>
      </c>
    </row>
    <row r="908" spans="1:11" x14ac:dyDescent="0.25">
      <c r="A908">
        <v>10589</v>
      </c>
      <c r="B908">
        <v>35</v>
      </c>
      <c r="C908">
        <v>18</v>
      </c>
      <c r="D908">
        <v>4</v>
      </c>
      <c r="E908">
        <v>0</v>
      </c>
      <c r="F908">
        <f t="shared" si="14"/>
        <v>72</v>
      </c>
      <c r="G908">
        <f>YEAR(VLOOKUP(A908,orders!A:D,4,0))</f>
        <v>2014</v>
      </c>
      <c r="H908">
        <f>MONTH(INDEX(orders!D:D,MATCH(A908, orders!A:A,0)))</f>
        <v>7</v>
      </c>
      <c r="I908" t="str">
        <f>VLOOKUP(VLOOKUP(B908,products!A:F,6,0),categories!A:B,2,0)</f>
        <v>Beverages</v>
      </c>
      <c r="J908" t="str">
        <f>VLOOKUP(VLOOKUP(A908,orders!A:B,2,0),customers!A:F,6,0)</f>
        <v>USA</v>
      </c>
      <c r="K908" t="str">
        <f>VLOOKUP(VLOOKUP(A908,orders!A:C,3,0),employees!A:B,2,0)</f>
        <v>Laura Callahan</v>
      </c>
    </row>
    <row r="909" spans="1:11" x14ac:dyDescent="0.25">
      <c r="A909">
        <v>10590</v>
      </c>
      <c r="B909">
        <v>1</v>
      </c>
      <c r="C909">
        <v>18</v>
      </c>
      <c r="D909">
        <v>20</v>
      </c>
      <c r="E909">
        <v>0</v>
      </c>
      <c r="F909">
        <f t="shared" si="14"/>
        <v>360</v>
      </c>
      <c r="G909">
        <f>YEAR(VLOOKUP(A909,orders!A:D,4,0))</f>
        <v>2014</v>
      </c>
      <c r="H909">
        <f>MONTH(INDEX(orders!D:D,MATCH(A909, orders!A:A,0)))</f>
        <v>7</v>
      </c>
      <c r="I909" t="str">
        <f>VLOOKUP(VLOOKUP(B909,products!A:F,6,0),categories!A:B,2,0)</f>
        <v>Beverages</v>
      </c>
      <c r="J909" t="str">
        <f>VLOOKUP(VLOOKUP(A909,orders!A:B,2,0),customers!A:F,6,0)</f>
        <v>Canada</v>
      </c>
      <c r="K909" t="str">
        <f>VLOOKUP(VLOOKUP(A909,orders!A:C,3,0),employees!A:B,2,0)</f>
        <v>Margaret Peacock</v>
      </c>
    </row>
    <row r="910" spans="1:11" x14ac:dyDescent="0.25">
      <c r="A910">
        <v>10590</v>
      </c>
      <c r="B910">
        <v>77</v>
      </c>
      <c r="C910">
        <v>13</v>
      </c>
      <c r="D910">
        <v>60</v>
      </c>
      <c r="E910">
        <v>0.05</v>
      </c>
      <c r="F910">
        <f t="shared" si="14"/>
        <v>741</v>
      </c>
      <c r="G910">
        <f>YEAR(VLOOKUP(A910,orders!A:D,4,0))</f>
        <v>2014</v>
      </c>
      <c r="H910">
        <f>MONTH(INDEX(orders!D:D,MATCH(A910, orders!A:A,0)))</f>
        <v>7</v>
      </c>
      <c r="I910" t="str">
        <f>VLOOKUP(VLOOKUP(B910,products!A:F,6,0),categories!A:B,2,0)</f>
        <v>Condiments</v>
      </c>
      <c r="J910" t="str">
        <f>VLOOKUP(VLOOKUP(A910,orders!A:B,2,0),customers!A:F,6,0)</f>
        <v>Canada</v>
      </c>
      <c r="K910" t="str">
        <f>VLOOKUP(VLOOKUP(A910,orders!A:C,3,0),employees!A:B,2,0)</f>
        <v>Margaret Peacock</v>
      </c>
    </row>
    <row r="911" spans="1:11" x14ac:dyDescent="0.25">
      <c r="A911">
        <v>10591</v>
      </c>
      <c r="B911">
        <v>3</v>
      </c>
      <c r="C911">
        <v>10</v>
      </c>
      <c r="D911">
        <v>14</v>
      </c>
      <c r="E911">
        <v>0</v>
      </c>
      <c r="F911">
        <f t="shared" si="14"/>
        <v>140</v>
      </c>
      <c r="G911">
        <f>YEAR(VLOOKUP(A911,orders!A:D,4,0))</f>
        <v>2014</v>
      </c>
      <c r="H911">
        <f>MONTH(INDEX(orders!D:D,MATCH(A911, orders!A:A,0)))</f>
        <v>7</v>
      </c>
      <c r="I911" t="str">
        <f>VLOOKUP(VLOOKUP(B911,products!A:F,6,0),categories!A:B,2,0)</f>
        <v>Condiments</v>
      </c>
      <c r="J911" t="str">
        <f>VLOOKUP(VLOOKUP(A911,orders!A:B,2,0),customers!A:F,6,0)</f>
        <v>Denmark</v>
      </c>
      <c r="K911" t="str">
        <f>VLOOKUP(VLOOKUP(A911,orders!A:C,3,0),employees!A:B,2,0)</f>
        <v>Nancy Davolio</v>
      </c>
    </row>
    <row r="912" spans="1:11" x14ac:dyDescent="0.25">
      <c r="A912">
        <v>10591</v>
      </c>
      <c r="B912">
        <v>7</v>
      </c>
      <c r="C912">
        <v>30</v>
      </c>
      <c r="D912">
        <v>10</v>
      </c>
      <c r="E912">
        <v>0</v>
      </c>
      <c r="F912">
        <f t="shared" si="14"/>
        <v>300</v>
      </c>
      <c r="G912">
        <f>YEAR(VLOOKUP(A912,orders!A:D,4,0))</f>
        <v>2014</v>
      </c>
      <c r="H912">
        <f>MONTH(INDEX(orders!D:D,MATCH(A912, orders!A:A,0)))</f>
        <v>7</v>
      </c>
      <c r="I912" t="str">
        <f>VLOOKUP(VLOOKUP(B912,products!A:F,6,0),categories!A:B,2,0)</f>
        <v>Produce</v>
      </c>
      <c r="J912" t="str">
        <f>VLOOKUP(VLOOKUP(A912,orders!A:B,2,0),customers!A:F,6,0)</f>
        <v>Denmark</v>
      </c>
      <c r="K912" t="str">
        <f>VLOOKUP(VLOOKUP(A912,orders!A:C,3,0),employees!A:B,2,0)</f>
        <v>Nancy Davolio</v>
      </c>
    </row>
    <row r="913" spans="1:11" x14ac:dyDescent="0.25">
      <c r="A913">
        <v>10591</v>
      </c>
      <c r="B913">
        <v>54</v>
      </c>
      <c r="C913">
        <v>7.45</v>
      </c>
      <c r="D913">
        <v>50</v>
      </c>
      <c r="E913">
        <v>0</v>
      </c>
      <c r="F913">
        <f t="shared" si="14"/>
        <v>372.5</v>
      </c>
      <c r="G913">
        <f>YEAR(VLOOKUP(A913,orders!A:D,4,0))</f>
        <v>2014</v>
      </c>
      <c r="H913">
        <f>MONTH(INDEX(orders!D:D,MATCH(A913, orders!A:A,0)))</f>
        <v>7</v>
      </c>
      <c r="I913" t="str">
        <f>VLOOKUP(VLOOKUP(B913,products!A:F,6,0),categories!A:B,2,0)</f>
        <v>Meat &amp; Poultry</v>
      </c>
      <c r="J913" t="str">
        <f>VLOOKUP(VLOOKUP(A913,orders!A:B,2,0),customers!A:F,6,0)</f>
        <v>Denmark</v>
      </c>
      <c r="K913" t="str">
        <f>VLOOKUP(VLOOKUP(A913,orders!A:C,3,0),employees!A:B,2,0)</f>
        <v>Nancy Davolio</v>
      </c>
    </row>
    <row r="914" spans="1:11" x14ac:dyDescent="0.25">
      <c r="A914">
        <v>10592</v>
      </c>
      <c r="B914">
        <v>15</v>
      </c>
      <c r="C914">
        <v>15.5</v>
      </c>
      <c r="D914">
        <v>25</v>
      </c>
      <c r="E914">
        <v>0.05</v>
      </c>
      <c r="F914">
        <f t="shared" si="14"/>
        <v>368.125</v>
      </c>
      <c r="G914">
        <f>YEAR(VLOOKUP(A914,orders!A:D,4,0))</f>
        <v>2014</v>
      </c>
      <c r="H914">
        <f>MONTH(INDEX(orders!D:D,MATCH(A914, orders!A:A,0)))</f>
        <v>7</v>
      </c>
      <c r="I914" t="str">
        <f>VLOOKUP(VLOOKUP(B914,products!A:F,6,0),categories!A:B,2,0)</f>
        <v>Condiments</v>
      </c>
      <c r="J914" t="str">
        <f>VLOOKUP(VLOOKUP(A914,orders!A:B,2,0),customers!A:F,6,0)</f>
        <v>Germany</v>
      </c>
      <c r="K914" t="str">
        <f>VLOOKUP(VLOOKUP(A914,orders!A:C,3,0),employees!A:B,2,0)</f>
        <v>Janet Leverling</v>
      </c>
    </row>
    <row r="915" spans="1:11" x14ac:dyDescent="0.25">
      <c r="A915">
        <v>10592</v>
      </c>
      <c r="B915">
        <v>26</v>
      </c>
      <c r="C915">
        <v>31.23</v>
      </c>
      <c r="D915">
        <v>5</v>
      </c>
      <c r="E915">
        <v>0.05</v>
      </c>
      <c r="F915">
        <f t="shared" si="14"/>
        <v>148.3425</v>
      </c>
      <c r="G915">
        <f>YEAR(VLOOKUP(A915,orders!A:D,4,0))</f>
        <v>2014</v>
      </c>
      <c r="H915">
        <f>MONTH(INDEX(orders!D:D,MATCH(A915, orders!A:A,0)))</f>
        <v>7</v>
      </c>
      <c r="I915" t="str">
        <f>VLOOKUP(VLOOKUP(B915,products!A:F,6,0),categories!A:B,2,0)</f>
        <v>Confections</v>
      </c>
      <c r="J915" t="str">
        <f>VLOOKUP(VLOOKUP(A915,orders!A:B,2,0),customers!A:F,6,0)</f>
        <v>Germany</v>
      </c>
      <c r="K915" t="str">
        <f>VLOOKUP(VLOOKUP(A915,orders!A:C,3,0),employees!A:B,2,0)</f>
        <v>Janet Leverling</v>
      </c>
    </row>
    <row r="916" spans="1:11" x14ac:dyDescent="0.25">
      <c r="A916">
        <v>10593</v>
      </c>
      <c r="B916">
        <v>20</v>
      </c>
      <c r="C916">
        <v>81</v>
      </c>
      <c r="D916">
        <v>21</v>
      </c>
      <c r="E916">
        <v>0.2</v>
      </c>
      <c r="F916">
        <f t="shared" si="14"/>
        <v>1360.8000000000002</v>
      </c>
      <c r="G916">
        <f>YEAR(VLOOKUP(A916,orders!A:D,4,0))</f>
        <v>2014</v>
      </c>
      <c r="H916">
        <f>MONTH(INDEX(orders!D:D,MATCH(A916, orders!A:A,0)))</f>
        <v>7</v>
      </c>
      <c r="I916" t="str">
        <f>VLOOKUP(VLOOKUP(B916,products!A:F,6,0),categories!A:B,2,0)</f>
        <v>Confections</v>
      </c>
      <c r="J916" t="str">
        <f>VLOOKUP(VLOOKUP(A916,orders!A:B,2,0),customers!A:F,6,0)</f>
        <v>Germany</v>
      </c>
      <c r="K916" t="str">
        <f>VLOOKUP(VLOOKUP(A916,orders!A:C,3,0),employees!A:B,2,0)</f>
        <v>Robert King</v>
      </c>
    </row>
    <row r="917" spans="1:11" x14ac:dyDescent="0.25">
      <c r="A917">
        <v>10593</v>
      </c>
      <c r="B917">
        <v>69</v>
      </c>
      <c r="C917">
        <v>36</v>
      </c>
      <c r="D917">
        <v>20</v>
      </c>
      <c r="E917">
        <v>0.2</v>
      </c>
      <c r="F917">
        <f t="shared" si="14"/>
        <v>576</v>
      </c>
      <c r="G917">
        <f>YEAR(VLOOKUP(A917,orders!A:D,4,0))</f>
        <v>2014</v>
      </c>
      <c r="H917">
        <f>MONTH(INDEX(orders!D:D,MATCH(A917, orders!A:A,0)))</f>
        <v>7</v>
      </c>
      <c r="I917" t="str">
        <f>VLOOKUP(VLOOKUP(B917,products!A:F,6,0),categories!A:B,2,0)</f>
        <v>Dairy Products</v>
      </c>
      <c r="J917" t="str">
        <f>VLOOKUP(VLOOKUP(A917,orders!A:B,2,0),customers!A:F,6,0)</f>
        <v>Germany</v>
      </c>
      <c r="K917" t="str">
        <f>VLOOKUP(VLOOKUP(A917,orders!A:C,3,0),employees!A:B,2,0)</f>
        <v>Robert King</v>
      </c>
    </row>
    <row r="918" spans="1:11" x14ac:dyDescent="0.25">
      <c r="A918">
        <v>10593</v>
      </c>
      <c r="B918">
        <v>76</v>
      </c>
      <c r="C918">
        <v>18</v>
      </c>
      <c r="D918">
        <v>4</v>
      </c>
      <c r="E918">
        <v>0.2</v>
      </c>
      <c r="F918">
        <f t="shared" si="14"/>
        <v>57.6</v>
      </c>
      <c r="G918">
        <f>YEAR(VLOOKUP(A918,orders!A:D,4,0))</f>
        <v>2014</v>
      </c>
      <c r="H918">
        <f>MONTH(INDEX(orders!D:D,MATCH(A918, orders!A:A,0)))</f>
        <v>7</v>
      </c>
      <c r="I918" t="str">
        <f>VLOOKUP(VLOOKUP(B918,products!A:F,6,0),categories!A:B,2,0)</f>
        <v>Beverages</v>
      </c>
      <c r="J918" t="str">
        <f>VLOOKUP(VLOOKUP(A918,orders!A:B,2,0),customers!A:F,6,0)</f>
        <v>Germany</v>
      </c>
      <c r="K918" t="str">
        <f>VLOOKUP(VLOOKUP(A918,orders!A:C,3,0),employees!A:B,2,0)</f>
        <v>Robert King</v>
      </c>
    </row>
    <row r="919" spans="1:11" x14ac:dyDescent="0.25">
      <c r="A919">
        <v>10594</v>
      </c>
      <c r="B919">
        <v>52</v>
      </c>
      <c r="C919">
        <v>7</v>
      </c>
      <c r="D919">
        <v>24</v>
      </c>
      <c r="E919">
        <v>0</v>
      </c>
      <c r="F919">
        <f t="shared" si="14"/>
        <v>168</v>
      </c>
      <c r="G919">
        <f>YEAR(VLOOKUP(A919,orders!A:D,4,0))</f>
        <v>2014</v>
      </c>
      <c r="H919">
        <f>MONTH(INDEX(orders!D:D,MATCH(A919, orders!A:A,0)))</f>
        <v>7</v>
      </c>
      <c r="I919" t="str">
        <f>VLOOKUP(VLOOKUP(B919,products!A:F,6,0),categories!A:B,2,0)</f>
        <v>Grains &amp; Cereals</v>
      </c>
      <c r="J919" t="str">
        <f>VLOOKUP(VLOOKUP(A919,orders!A:B,2,0),customers!A:F,6,0)</f>
        <v>USA</v>
      </c>
      <c r="K919" t="str">
        <f>VLOOKUP(VLOOKUP(A919,orders!A:C,3,0),employees!A:B,2,0)</f>
        <v>Janet Leverling</v>
      </c>
    </row>
    <row r="920" spans="1:11" x14ac:dyDescent="0.25">
      <c r="A920">
        <v>10594</v>
      </c>
      <c r="B920">
        <v>58</v>
      </c>
      <c r="C920">
        <v>13.25</v>
      </c>
      <c r="D920">
        <v>30</v>
      </c>
      <c r="E920">
        <v>0</v>
      </c>
      <c r="F920">
        <f t="shared" si="14"/>
        <v>397.5</v>
      </c>
      <c r="G920">
        <f>YEAR(VLOOKUP(A920,orders!A:D,4,0))</f>
        <v>2014</v>
      </c>
      <c r="H920">
        <f>MONTH(INDEX(orders!D:D,MATCH(A920, orders!A:A,0)))</f>
        <v>7</v>
      </c>
      <c r="I920" t="str">
        <f>VLOOKUP(VLOOKUP(B920,products!A:F,6,0),categories!A:B,2,0)</f>
        <v>Seafood</v>
      </c>
      <c r="J920" t="str">
        <f>VLOOKUP(VLOOKUP(A920,orders!A:B,2,0),customers!A:F,6,0)</f>
        <v>USA</v>
      </c>
      <c r="K920" t="str">
        <f>VLOOKUP(VLOOKUP(A920,orders!A:C,3,0),employees!A:B,2,0)</f>
        <v>Janet Leverling</v>
      </c>
    </row>
    <row r="921" spans="1:11" x14ac:dyDescent="0.25">
      <c r="A921">
        <v>10595</v>
      </c>
      <c r="B921">
        <v>35</v>
      </c>
      <c r="C921">
        <v>18</v>
      </c>
      <c r="D921">
        <v>30</v>
      </c>
      <c r="E921">
        <v>0.25</v>
      </c>
      <c r="F921">
        <f t="shared" si="14"/>
        <v>405</v>
      </c>
      <c r="G921">
        <f>YEAR(VLOOKUP(A921,orders!A:D,4,0))</f>
        <v>2014</v>
      </c>
      <c r="H921">
        <f>MONTH(INDEX(orders!D:D,MATCH(A921, orders!A:A,0)))</f>
        <v>7</v>
      </c>
      <c r="I921" t="str">
        <f>VLOOKUP(VLOOKUP(B921,products!A:F,6,0),categories!A:B,2,0)</f>
        <v>Beverages</v>
      </c>
      <c r="J921" t="str">
        <f>VLOOKUP(VLOOKUP(A921,orders!A:B,2,0),customers!A:F,6,0)</f>
        <v>Austria</v>
      </c>
      <c r="K921" t="str">
        <f>VLOOKUP(VLOOKUP(A921,orders!A:C,3,0),employees!A:B,2,0)</f>
        <v>Andrew Fuller</v>
      </c>
    </row>
    <row r="922" spans="1:11" x14ac:dyDescent="0.25">
      <c r="A922">
        <v>10595</v>
      </c>
      <c r="B922">
        <v>61</v>
      </c>
      <c r="C922">
        <v>28.5</v>
      </c>
      <c r="D922">
        <v>120</v>
      </c>
      <c r="E922">
        <v>0.25</v>
      </c>
      <c r="F922">
        <f t="shared" si="14"/>
        <v>2565</v>
      </c>
      <c r="G922">
        <f>YEAR(VLOOKUP(A922,orders!A:D,4,0))</f>
        <v>2014</v>
      </c>
      <c r="H922">
        <f>MONTH(INDEX(orders!D:D,MATCH(A922, orders!A:A,0)))</f>
        <v>7</v>
      </c>
      <c r="I922" t="str">
        <f>VLOOKUP(VLOOKUP(B922,products!A:F,6,0),categories!A:B,2,0)</f>
        <v>Condiments</v>
      </c>
      <c r="J922" t="str">
        <f>VLOOKUP(VLOOKUP(A922,orders!A:B,2,0),customers!A:F,6,0)</f>
        <v>Austria</v>
      </c>
      <c r="K922" t="str">
        <f>VLOOKUP(VLOOKUP(A922,orders!A:C,3,0),employees!A:B,2,0)</f>
        <v>Andrew Fuller</v>
      </c>
    </row>
    <row r="923" spans="1:11" x14ac:dyDescent="0.25">
      <c r="A923">
        <v>10595</v>
      </c>
      <c r="B923">
        <v>69</v>
      </c>
      <c r="C923">
        <v>36</v>
      </c>
      <c r="D923">
        <v>65</v>
      </c>
      <c r="E923">
        <v>0.25</v>
      </c>
      <c r="F923">
        <f t="shared" si="14"/>
        <v>1755</v>
      </c>
      <c r="G923">
        <f>YEAR(VLOOKUP(A923,orders!A:D,4,0))</f>
        <v>2014</v>
      </c>
      <c r="H923">
        <f>MONTH(INDEX(orders!D:D,MATCH(A923, orders!A:A,0)))</f>
        <v>7</v>
      </c>
      <c r="I923" t="str">
        <f>VLOOKUP(VLOOKUP(B923,products!A:F,6,0),categories!A:B,2,0)</f>
        <v>Dairy Products</v>
      </c>
      <c r="J923" t="str">
        <f>VLOOKUP(VLOOKUP(A923,orders!A:B,2,0),customers!A:F,6,0)</f>
        <v>Austria</v>
      </c>
      <c r="K923" t="str">
        <f>VLOOKUP(VLOOKUP(A923,orders!A:C,3,0),employees!A:B,2,0)</f>
        <v>Andrew Fuller</v>
      </c>
    </row>
    <row r="924" spans="1:11" x14ac:dyDescent="0.25">
      <c r="A924">
        <v>10596</v>
      </c>
      <c r="B924">
        <v>56</v>
      </c>
      <c r="C924">
        <v>38</v>
      </c>
      <c r="D924">
        <v>5</v>
      </c>
      <c r="E924">
        <v>0.2</v>
      </c>
      <c r="F924">
        <f t="shared" si="14"/>
        <v>152</v>
      </c>
      <c r="G924">
        <f>YEAR(VLOOKUP(A924,orders!A:D,4,0))</f>
        <v>2014</v>
      </c>
      <c r="H924">
        <f>MONTH(INDEX(orders!D:D,MATCH(A924, orders!A:A,0)))</f>
        <v>7</v>
      </c>
      <c r="I924" t="str">
        <f>VLOOKUP(VLOOKUP(B924,products!A:F,6,0),categories!A:B,2,0)</f>
        <v>Grains &amp; Cereals</v>
      </c>
      <c r="J924" t="str">
        <f>VLOOKUP(VLOOKUP(A924,orders!A:B,2,0),customers!A:F,6,0)</f>
        <v>USA</v>
      </c>
      <c r="K924" t="str">
        <f>VLOOKUP(VLOOKUP(A924,orders!A:C,3,0),employees!A:B,2,0)</f>
        <v>Laura Callahan</v>
      </c>
    </row>
    <row r="925" spans="1:11" x14ac:dyDescent="0.25">
      <c r="A925">
        <v>10596</v>
      </c>
      <c r="B925">
        <v>63</v>
      </c>
      <c r="C925">
        <v>43.9</v>
      </c>
      <c r="D925">
        <v>24</v>
      </c>
      <c r="E925">
        <v>0.2</v>
      </c>
      <c r="F925">
        <f t="shared" si="14"/>
        <v>842.88</v>
      </c>
      <c r="G925">
        <f>YEAR(VLOOKUP(A925,orders!A:D,4,0))</f>
        <v>2014</v>
      </c>
      <c r="H925">
        <f>MONTH(INDEX(orders!D:D,MATCH(A925, orders!A:A,0)))</f>
        <v>7</v>
      </c>
      <c r="I925" t="str">
        <f>VLOOKUP(VLOOKUP(B925,products!A:F,6,0),categories!A:B,2,0)</f>
        <v>Condiments</v>
      </c>
      <c r="J925" t="str">
        <f>VLOOKUP(VLOOKUP(A925,orders!A:B,2,0),customers!A:F,6,0)</f>
        <v>USA</v>
      </c>
      <c r="K925" t="str">
        <f>VLOOKUP(VLOOKUP(A925,orders!A:C,3,0),employees!A:B,2,0)</f>
        <v>Laura Callahan</v>
      </c>
    </row>
    <row r="926" spans="1:11" x14ac:dyDescent="0.25">
      <c r="A926">
        <v>10596</v>
      </c>
      <c r="B926">
        <v>75</v>
      </c>
      <c r="C926">
        <v>7.75</v>
      </c>
      <c r="D926">
        <v>30</v>
      </c>
      <c r="E926">
        <v>0.2</v>
      </c>
      <c r="F926">
        <f t="shared" si="14"/>
        <v>186</v>
      </c>
      <c r="G926">
        <f>YEAR(VLOOKUP(A926,orders!A:D,4,0))</f>
        <v>2014</v>
      </c>
      <c r="H926">
        <f>MONTH(INDEX(orders!D:D,MATCH(A926, orders!A:A,0)))</f>
        <v>7</v>
      </c>
      <c r="I926" t="str">
        <f>VLOOKUP(VLOOKUP(B926,products!A:F,6,0),categories!A:B,2,0)</f>
        <v>Beverages</v>
      </c>
      <c r="J926" t="str">
        <f>VLOOKUP(VLOOKUP(A926,orders!A:B,2,0),customers!A:F,6,0)</f>
        <v>USA</v>
      </c>
      <c r="K926" t="str">
        <f>VLOOKUP(VLOOKUP(A926,orders!A:C,3,0),employees!A:B,2,0)</f>
        <v>Laura Callahan</v>
      </c>
    </row>
    <row r="927" spans="1:11" x14ac:dyDescent="0.25">
      <c r="A927">
        <v>10597</v>
      </c>
      <c r="B927">
        <v>24</v>
      </c>
      <c r="C927">
        <v>4.5</v>
      </c>
      <c r="D927">
        <v>35</v>
      </c>
      <c r="E927">
        <v>0.2</v>
      </c>
      <c r="F927">
        <f t="shared" si="14"/>
        <v>126</v>
      </c>
      <c r="G927">
        <f>YEAR(VLOOKUP(A927,orders!A:D,4,0))</f>
        <v>2014</v>
      </c>
      <c r="H927">
        <f>MONTH(INDEX(orders!D:D,MATCH(A927, orders!A:A,0)))</f>
        <v>7</v>
      </c>
      <c r="I927" t="str">
        <f>VLOOKUP(VLOOKUP(B927,products!A:F,6,0),categories!A:B,2,0)</f>
        <v>Beverages</v>
      </c>
      <c r="J927" t="str">
        <f>VLOOKUP(VLOOKUP(A927,orders!A:B,2,0),customers!A:F,6,0)</f>
        <v>Austria</v>
      </c>
      <c r="K927" t="str">
        <f>VLOOKUP(VLOOKUP(A927,orders!A:C,3,0),employees!A:B,2,0)</f>
        <v>Robert King</v>
      </c>
    </row>
    <row r="928" spans="1:11" x14ac:dyDescent="0.25">
      <c r="A928">
        <v>10597</v>
      </c>
      <c r="B928">
        <v>57</v>
      </c>
      <c r="C928">
        <v>19.5</v>
      </c>
      <c r="D928">
        <v>20</v>
      </c>
      <c r="E928">
        <v>0</v>
      </c>
      <c r="F928">
        <f t="shared" si="14"/>
        <v>390</v>
      </c>
      <c r="G928">
        <f>YEAR(VLOOKUP(A928,orders!A:D,4,0))</f>
        <v>2014</v>
      </c>
      <c r="H928">
        <f>MONTH(INDEX(orders!D:D,MATCH(A928, orders!A:A,0)))</f>
        <v>7</v>
      </c>
      <c r="I928" t="str">
        <f>VLOOKUP(VLOOKUP(B928,products!A:F,6,0),categories!A:B,2,0)</f>
        <v>Grains &amp; Cereals</v>
      </c>
      <c r="J928" t="str">
        <f>VLOOKUP(VLOOKUP(A928,orders!A:B,2,0),customers!A:F,6,0)</f>
        <v>Austria</v>
      </c>
      <c r="K928" t="str">
        <f>VLOOKUP(VLOOKUP(A928,orders!A:C,3,0),employees!A:B,2,0)</f>
        <v>Robert King</v>
      </c>
    </row>
    <row r="929" spans="1:11" x14ac:dyDescent="0.25">
      <c r="A929">
        <v>10597</v>
      </c>
      <c r="B929">
        <v>65</v>
      </c>
      <c r="C929">
        <v>21.05</v>
      </c>
      <c r="D929">
        <v>12</v>
      </c>
      <c r="E929">
        <v>0.2</v>
      </c>
      <c r="F929">
        <f t="shared" si="14"/>
        <v>202.08000000000004</v>
      </c>
      <c r="G929">
        <f>YEAR(VLOOKUP(A929,orders!A:D,4,0))</f>
        <v>2014</v>
      </c>
      <c r="H929">
        <f>MONTH(INDEX(orders!D:D,MATCH(A929, orders!A:A,0)))</f>
        <v>7</v>
      </c>
      <c r="I929" t="str">
        <f>VLOOKUP(VLOOKUP(B929,products!A:F,6,0),categories!A:B,2,0)</f>
        <v>Condiments</v>
      </c>
      <c r="J929" t="str">
        <f>VLOOKUP(VLOOKUP(A929,orders!A:B,2,0),customers!A:F,6,0)</f>
        <v>Austria</v>
      </c>
      <c r="K929" t="str">
        <f>VLOOKUP(VLOOKUP(A929,orders!A:C,3,0),employees!A:B,2,0)</f>
        <v>Robert King</v>
      </c>
    </row>
    <row r="930" spans="1:11" x14ac:dyDescent="0.25">
      <c r="A930">
        <v>10598</v>
      </c>
      <c r="B930">
        <v>27</v>
      </c>
      <c r="C930">
        <v>43.9</v>
      </c>
      <c r="D930">
        <v>50</v>
      </c>
      <c r="E930">
        <v>0</v>
      </c>
      <c r="F930">
        <f t="shared" si="14"/>
        <v>2195</v>
      </c>
      <c r="G930">
        <f>YEAR(VLOOKUP(A930,orders!A:D,4,0))</f>
        <v>2014</v>
      </c>
      <c r="H930">
        <f>MONTH(INDEX(orders!D:D,MATCH(A930, orders!A:A,0)))</f>
        <v>7</v>
      </c>
      <c r="I930" t="str">
        <f>VLOOKUP(VLOOKUP(B930,products!A:F,6,0),categories!A:B,2,0)</f>
        <v>Confections</v>
      </c>
      <c r="J930" t="str">
        <f>VLOOKUP(VLOOKUP(A930,orders!A:B,2,0),customers!A:F,6,0)</f>
        <v>USA</v>
      </c>
      <c r="K930" t="str">
        <f>VLOOKUP(VLOOKUP(A930,orders!A:C,3,0),employees!A:B,2,0)</f>
        <v>Nancy Davolio</v>
      </c>
    </row>
    <row r="931" spans="1:11" x14ac:dyDescent="0.25">
      <c r="A931">
        <v>10598</v>
      </c>
      <c r="B931">
        <v>71</v>
      </c>
      <c r="C931">
        <v>21.5</v>
      </c>
      <c r="D931">
        <v>9</v>
      </c>
      <c r="E931">
        <v>0</v>
      </c>
      <c r="F931">
        <f t="shared" si="14"/>
        <v>193.5</v>
      </c>
      <c r="G931">
        <f>YEAR(VLOOKUP(A931,orders!A:D,4,0))</f>
        <v>2014</v>
      </c>
      <c r="H931">
        <f>MONTH(INDEX(orders!D:D,MATCH(A931, orders!A:A,0)))</f>
        <v>7</v>
      </c>
      <c r="I931" t="str">
        <f>VLOOKUP(VLOOKUP(B931,products!A:F,6,0),categories!A:B,2,0)</f>
        <v>Dairy Products</v>
      </c>
      <c r="J931" t="str">
        <f>VLOOKUP(VLOOKUP(A931,orders!A:B,2,0),customers!A:F,6,0)</f>
        <v>USA</v>
      </c>
      <c r="K931" t="str">
        <f>VLOOKUP(VLOOKUP(A931,orders!A:C,3,0),employees!A:B,2,0)</f>
        <v>Nancy Davolio</v>
      </c>
    </row>
    <row r="932" spans="1:11" x14ac:dyDescent="0.25">
      <c r="A932">
        <v>10599</v>
      </c>
      <c r="B932">
        <v>62</v>
      </c>
      <c r="C932">
        <v>49.3</v>
      </c>
      <c r="D932">
        <v>10</v>
      </c>
      <c r="E932">
        <v>0</v>
      </c>
      <c r="F932">
        <f t="shared" si="14"/>
        <v>493</v>
      </c>
      <c r="G932">
        <f>YEAR(VLOOKUP(A932,orders!A:D,4,0))</f>
        <v>2014</v>
      </c>
      <c r="H932">
        <f>MONTH(INDEX(orders!D:D,MATCH(A932, orders!A:A,0)))</f>
        <v>7</v>
      </c>
      <c r="I932" t="str">
        <f>VLOOKUP(VLOOKUP(B932,products!A:F,6,0),categories!A:B,2,0)</f>
        <v>Confections</v>
      </c>
      <c r="J932" t="str">
        <f>VLOOKUP(VLOOKUP(A932,orders!A:B,2,0),customers!A:F,6,0)</f>
        <v>UK</v>
      </c>
      <c r="K932" t="str">
        <f>VLOOKUP(VLOOKUP(A932,orders!A:C,3,0),employees!A:B,2,0)</f>
        <v>Michael Suyama</v>
      </c>
    </row>
    <row r="933" spans="1:11" x14ac:dyDescent="0.25">
      <c r="A933">
        <v>10600</v>
      </c>
      <c r="B933">
        <v>54</v>
      </c>
      <c r="C933">
        <v>7.45</v>
      </c>
      <c r="D933">
        <v>4</v>
      </c>
      <c r="E933">
        <v>0</v>
      </c>
      <c r="F933">
        <f t="shared" si="14"/>
        <v>29.8</v>
      </c>
      <c r="G933">
        <f>YEAR(VLOOKUP(A933,orders!A:D,4,0))</f>
        <v>2014</v>
      </c>
      <c r="H933">
        <f>MONTH(INDEX(orders!D:D,MATCH(A933, orders!A:A,0)))</f>
        <v>7</v>
      </c>
      <c r="I933" t="str">
        <f>VLOOKUP(VLOOKUP(B933,products!A:F,6,0),categories!A:B,2,0)</f>
        <v>Meat &amp; Poultry</v>
      </c>
      <c r="J933" t="str">
        <f>VLOOKUP(VLOOKUP(A933,orders!A:B,2,0),customers!A:F,6,0)</f>
        <v>USA</v>
      </c>
      <c r="K933" t="str">
        <f>VLOOKUP(VLOOKUP(A933,orders!A:C,3,0),employees!A:B,2,0)</f>
        <v>Margaret Peacock</v>
      </c>
    </row>
    <row r="934" spans="1:11" x14ac:dyDescent="0.25">
      <c r="A934">
        <v>10600</v>
      </c>
      <c r="B934">
        <v>73</v>
      </c>
      <c r="C934">
        <v>15</v>
      </c>
      <c r="D934">
        <v>30</v>
      </c>
      <c r="E934">
        <v>0</v>
      </c>
      <c r="F934">
        <f t="shared" si="14"/>
        <v>450</v>
      </c>
      <c r="G934">
        <f>YEAR(VLOOKUP(A934,orders!A:D,4,0))</f>
        <v>2014</v>
      </c>
      <c r="H934">
        <f>MONTH(INDEX(orders!D:D,MATCH(A934, orders!A:A,0)))</f>
        <v>7</v>
      </c>
      <c r="I934" t="str">
        <f>VLOOKUP(VLOOKUP(B934,products!A:F,6,0),categories!A:B,2,0)</f>
        <v>Seafood</v>
      </c>
      <c r="J934" t="str">
        <f>VLOOKUP(VLOOKUP(A934,orders!A:B,2,0),customers!A:F,6,0)</f>
        <v>USA</v>
      </c>
      <c r="K934" t="str">
        <f>VLOOKUP(VLOOKUP(A934,orders!A:C,3,0),employees!A:B,2,0)</f>
        <v>Margaret Peacock</v>
      </c>
    </row>
    <row r="935" spans="1:11" x14ac:dyDescent="0.25">
      <c r="A935">
        <v>10601</v>
      </c>
      <c r="B935">
        <v>13</v>
      </c>
      <c r="C935">
        <v>6</v>
      </c>
      <c r="D935">
        <v>60</v>
      </c>
      <c r="E935">
        <v>0</v>
      </c>
      <c r="F935">
        <f t="shared" si="14"/>
        <v>360</v>
      </c>
      <c r="G935">
        <f>YEAR(VLOOKUP(A935,orders!A:D,4,0))</f>
        <v>2014</v>
      </c>
      <c r="H935">
        <f>MONTH(INDEX(orders!D:D,MATCH(A935, orders!A:A,0)))</f>
        <v>7</v>
      </c>
      <c r="I935" t="str">
        <f>VLOOKUP(VLOOKUP(B935,products!A:F,6,0),categories!A:B,2,0)</f>
        <v>Seafood</v>
      </c>
      <c r="J935" t="str">
        <f>VLOOKUP(VLOOKUP(A935,orders!A:B,2,0),customers!A:F,6,0)</f>
        <v>Venezuela</v>
      </c>
      <c r="K935" t="str">
        <f>VLOOKUP(VLOOKUP(A935,orders!A:C,3,0),employees!A:B,2,0)</f>
        <v>Robert King</v>
      </c>
    </row>
    <row r="936" spans="1:11" x14ac:dyDescent="0.25">
      <c r="A936">
        <v>10601</v>
      </c>
      <c r="B936">
        <v>59</v>
      </c>
      <c r="C936">
        <v>55</v>
      </c>
      <c r="D936">
        <v>35</v>
      </c>
      <c r="E936">
        <v>0</v>
      </c>
      <c r="F936">
        <f t="shared" si="14"/>
        <v>1925</v>
      </c>
      <c r="G936">
        <f>YEAR(VLOOKUP(A936,orders!A:D,4,0))</f>
        <v>2014</v>
      </c>
      <c r="H936">
        <f>MONTH(INDEX(orders!D:D,MATCH(A936, orders!A:A,0)))</f>
        <v>7</v>
      </c>
      <c r="I936" t="str">
        <f>VLOOKUP(VLOOKUP(B936,products!A:F,6,0),categories!A:B,2,0)</f>
        <v>Dairy Products</v>
      </c>
      <c r="J936" t="str">
        <f>VLOOKUP(VLOOKUP(A936,orders!A:B,2,0),customers!A:F,6,0)</f>
        <v>Venezuela</v>
      </c>
      <c r="K936" t="str">
        <f>VLOOKUP(VLOOKUP(A936,orders!A:C,3,0),employees!A:B,2,0)</f>
        <v>Robert King</v>
      </c>
    </row>
    <row r="937" spans="1:11" x14ac:dyDescent="0.25">
      <c r="A937">
        <v>10602</v>
      </c>
      <c r="B937">
        <v>77</v>
      </c>
      <c r="C937">
        <v>13</v>
      </c>
      <c r="D937">
        <v>5</v>
      </c>
      <c r="E937">
        <v>0.25</v>
      </c>
      <c r="F937">
        <f t="shared" si="14"/>
        <v>48.75</v>
      </c>
      <c r="G937">
        <f>YEAR(VLOOKUP(A937,orders!A:D,4,0))</f>
        <v>2014</v>
      </c>
      <c r="H937">
        <f>MONTH(INDEX(orders!D:D,MATCH(A937, orders!A:A,0)))</f>
        <v>7</v>
      </c>
      <c r="I937" t="str">
        <f>VLOOKUP(VLOOKUP(B937,products!A:F,6,0),categories!A:B,2,0)</f>
        <v>Condiments</v>
      </c>
      <c r="J937" t="str">
        <f>VLOOKUP(VLOOKUP(A937,orders!A:B,2,0),customers!A:F,6,0)</f>
        <v>Denmark</v>
      </c>
      <c r="K937" t="str">
        <f>VLOOKUP(VLOOKUP(A937,orders!A:C,3,0),employees!A:B,2,0)</f>
        <v>Laura Callahan</v>
      </c>
    </row>
    <row r="938" spans="1:11" x14ac:dyDescent="0.25">
      <c r="A938">
        <v>10603</v>
      </c>
      <c r="B938">
        <v>22</v>
      </c>
      <c r="C938">
        <v>21</v>
      </c>
      <c r="D938">
        <v>48</v>
      </c>
      <c r="E938">
        <v>0</v>
      </c>
      <c r="F938">
        <f t="shared" si="14"/>
        <v>1008</v>
      </c>
      <c r="G938">
        <f>YEAR(VLOOKUP(A938,orders!A:D,4,0))</f>
        <v>2014</v>
      </c>
      <c r="H938">
        <f>MONTH(INDEX(orders!D:D,MATCH(A938, orders!A:A,0)))</f>
        <v>7</v>
      </c>
      <c r="I938" t="str">
        <f>VLOOKUP(VLOOKUP(B938,products!A:F,6,0),categories!A:B,2,0)</f>
        <v>Grains &amp; Cereals</v>
      </c>
      <c r="J938" t="str">
        <f>VLOOKUP(VLOOKUP(A938,orders!A:B,2,0),customers!A:F,6,0)</f>
        <v>USA</v>
      </c>
      <c r="K938" t="str">
        <f>VLOOKUP(VLOOKUP(A938,orders!A:C,3,0),employees!A:B,2,0)</f>
        <v>Laura Callahan</v>
      </c>
    </row>
    <row r="939" spans="1:11" x14ac:dyDescent="0.25">
      <c r="A939">
        <v>10603</v>
      </c>
      <c r="B939">
        <v>49</v>
      </c>
      <c r="C939">
        <v>20</v>
      </c>
      <c r="D939">
        <v>25</v>
      </c>
      <c r="E939">
        <v>0.05</v>
      </c>
      <c r="F939">
        <f t="shared" si="14"/>
        <v>475</v>
      </c>
      <c r="G939">
        <f>YEAR(VLOOKUP(A939,orders!A:D,4,0))</f>
        <v>2014</v>
      </c>
      <c r="H939">
        <f>MONTH(INDEX(orders!D:D,MATCH(A939, orders!A:A,0)))</f>
        <v>7</v>
      </c>
      <c r="I939" t="str">
        <f>VLOOKUP(VLOOKUP(B939,products!A:F,6,0),categories!A:B,2,0)</f>
        <v>Confections</v>
      </c>
      <c r="J939" t="str">
        <f>VLOOKUP(VLOOKUP(A939,orders!A:B,2,0),customers!A:F,6,0)</f>
        <v>USA</v>
      </c>
      <c r="K939" t="str">
        <f>VLOOKUP(VLOOKUP(A939,orders!A:C,3,0),employees!A:B,2,0)</f>
        <v>Laura Callahan</v>
      </c>
    </row>
    <row r="940" spans="1:11" x14ac:dyDescent="0.25">
      <c r="A940">
        <v>10604</v>
      </c>
      <c r="B940">
        <v>48</v>
      </c>
      <c r="C940">
        <v>12.75</v>
      </c>
      <c r="D940">
        <v>6</v>
      </c>
      <c r="E940">
        <v>0.1</v>
      </c>
      <c r="F940">
        <f t="shared" si="14"/>
        <v>68.850000000000009</v>
      </c>
      <c r="G940">
        <f>YEAR(VLOOKUP(A940,orders!A:D,4,0))</f>
        <v>2014</v>
      </c>
      <c r="H940">
        <f>MONTH(INDEX(orders!D:D,MATCH(A940, orders!A:A,0)))</f>
        <v>7</v>
      </c>
      <c r="I940" t="str">
        <f>VLOOKUP(VLOOKUP(B940,products!A:F,6,0),categories!A:B,2,0)</f>
        <v>Confections</v>
      </c>
      <c r="J940" t="str">
        <f>VLOOKUP(VLOOKUP(A940,orders!A:B,2,0),customers!A:F,6,0)</f>
        <v>Portugal</v>
      </c>
      <c r="K940" t="str">
        <f>VLOOKUP(VLOOKUP(A940,orders!A:C,3,0),employees!A:B,2,0)</f>
        <v>Nancy Davolio</v>
      </c>
    </row>
    <row r="941" spans="1:11" x14ac:dyDescent="0.25">
      <c r="A941">
        <v>10604</v>
      </c>
      <c r="B941">
        <v>76</v>
      </c>
      <c r="C941">
        <v>18</v>
      </c>
      <c r="D941">
        <v>10</v>
      </c>
      <c r="E941">
        <v>0.1</v>
      </c>
      <c r="F941">
        <f t="shared" si="14"/>
        <v>162</v>
      </c>
      <c r="G941">
        <f>YEAR(VLOOKUP(A941,orders!A:D,4,0))</f>
        <v>2014</v>
      </c>
      <c r="H941">
        <f>MONTH(INDEX(orders!D:D,MATCH(A941, orders!A:A,0)))</f>
        <v>7</v>
      </c>
      <c r="I941" t="str">
        <f>VLOOKUP(VLOOKUP(B941,products!A:F,6,0),categories!A:B,2,0)</f>
        <v>Beverages</v>
      </c>
      <c r="J941" t="str">
        <f>VLOOKUP(VLOOKUP(A941,orders!A:B,2,0),customers!A:F,6,0)</f>
        <v>Portugal</v>
      </c>
      <c r="K941" t="str">
        <f>VLOOKUP(VLOOKUP(A941,orders!A:C,3,0),employees!A:B,2,0)</f>
        <v>Nancy Davolio</v>
      </c>
    </row>
    <row r="942" spans="1:11" x14ac:dyDescent="0.25">
      <c r="A942">
        <v>10605</v>
      </c>
      <c r="B942">
        <v>16</v>
      </c>
      <c r="C942">
        <v>17.45</v>
      </c>
      <c r="D942">
        <v>30</v>
      </c>
      <c r="E942">
        <v>0.05</v>
      </c>
      <c r="F942">
        <f t="shared" si="14"/>
        <v>497.32499999999999</v>
      </c>
      <c r="G942">
        <f>YEAR(VLOOKUP(A942,orders!A:D,4,0))</f>
        <v>2014</v>
      </c>
      <c r="H942">
        <f>MONTH(INDEX(orders!D:D,MATCH(A942, orders!A:A,0)))</f>
        <v>7</v>
      </c>
      <c r="I942" t="str">
        <f>VLOOKUP(VLOOKUP(B942,products!A:F,6,0),categories!A:B,2,0)</f>
        <v>Confections</v>
      </c>
      <c r="J942" t="str">
        <f>VLOOKUP(VLOOKUP(A942,orders!A:B,2,0),customers!A:F,6,0)</f>
        <v>Canada</v>
      </c>
      <c r="K942" t="str">
        <f>VLOOKUP(VLOOKUP(A942,orders!A:C,3,0),employees!A:B,2,0)</f>
        <v>Nancy Davolio</v>
      </c>
    </row>
    <row r="943" spans="1:11" x14ac:dyDescent="0.25">
      <c r="A943">
        <v>10605</v>
      </c>
      <c r="B943">
        <v>59</v>
      </c>
      <c r="C943">
        <v>55</v>
      </c>
      <c r="D943">
        <v>20</v>
      </c>
      <c r="E943">
        <v>0.05</v>
      </c>
      <c r="F943">
        <f t="shared" si="14"/>
        <v>1045</v>
      </c>
      <c r="G943">
        <f>YEAR(VLOOKUP(A943,orders!A:D,4,0))</f>
        <v>2014</v>
      </c>
      <c r="H943">
        <f>MONTH(INDEX(orders!D:D,MATCH(A943, orders!A:A,0)))</f>
        <v>7</v>
      </c>
      <c r="I943" t="str">
        <f>VLOOKUP(VLOOKUP(B943,products!A:F,6,0),categories!A:B,2,0)</f>
        <v>Dairy Products</v>
      </c>
      <c r="J943" t="str">
        <f>VLOOKUP(VLOOKUP(A943,orders!A:B,2,0),customers!A:F,6,0)</f>
        <v>Canada</v>
      </c>
      <c r="K943" t="str">
        <f>VLOOKUP(VLOOKUP(A943,orders!A:C,3,0),employees!A:B,2,0)</f>
        <v>Nancy Davolio</v>
      </c>
    </row>
    <row r="944" spans="1:11" x14ac:dyDescent="0.25">
      <c r="A944">
        <v>10605</v>
      </c>
      <c r="B944">
        <v>60</v>
      </c>
      <c r="C944">
        <v>34</v>
      </c>
      <c r="D944">
        <v>70</v>
      </c>
      <c r="E944">
        <v>0.05</v>
      </c>
      <c r="F944">
        <f t="shared" si="14"/>
        <v>2261</v>
      </c>
      <c r="G944">
        <f>YEAR(VLOOKUP(A944,orders!A:D,4,0))</f>
        <v>2014</v>
      </c>
      <c r="H944">
        <f>MONTH(INDEX(orders!D:D,MATCH(A944, orders!A:A,0)))</f>
        <v>7</v>
      </c>
      <c r="I944" t="str">
        <f>VLOOKUP(VLOOKUP(B944,products!A:F,6,0),categories!A:B,2,0)</f>
        <v>Dairy Products</v>
      </c>
      <c r="J944" t="str">
        <f>VLOOKUP(VLOOKUP(A944,orders!A:B,2,0),customers!A:F,6,0)</f>
        <v>Canada</v>
      </c>
      <c r="K944" t="str">
        <f>VLOOKUP(VLOOKUP(A944,orders!A:C,3,0),employees!A:B,2,0)</f>
        <v>Nancy Davolio</v>
      </c>
    </row>
    <row r="945" spans="1:11" x14ac:dyDescent="0.25">
      <c r="A945">
        <v>10605</v>
      </c>
      <c r="B945">
        <v>71</v>
      </c>
      <c r="C945">
        <v>21.5</v>
      </c>
      <c r="D945">
        <v>15</v>
      </c>
      <c r="E945">
        <v>0.05</v>
      </c>
      <c r="F945">
        <f t="shared" si="14"/>
        <v>306.375</v>
      </c>
      <c r="G945">
        <f>YEAR(VLOOKUP(A945,orders!A:D,4,0))</f>
        <v>2014</v>
      </c>
      <c r="H945">
        <f>MONTH(INDEX(orders!D:D,MATCH(A945, orders!A:A,0)))</f>
        <v>7</v>
      </c>
      <c r="I945" t="str">
        <f>VLOOKUP(VLOOKUP(B945,products!A:F,6,0),categories!A:B,2,0)</f>
        <v>Dairy Products</v>
      </c>
      <c r="J945" t="str">
        <f>VLOOKUP(VLOOKUP(A945,orders!A:B,2,0),customers!A:F,6,0)</f>
        <v>Canada</v>
      </c>
      <c r="K945" t="str">
        <f>VLOOKUP(VLOOKUP(A945,orders!A:C,3,0),employees!A:B,2,0)</f>
        <v>Nancy Davolio</v>
      </c>
    </row>
    <row r="946" spans="1:11" x14ac:dyDescent="0.25">
      <c r="A946">
        <v>10606</v>
      </c>
      <c r="B946">
        <v>4</v>
      </c>
      <c r="C946">
        <v>22</v>
      </c>
      <c r="D946">
        <v>20</v>
      </c>
      <c r="E946">
        <v>0.2</v>
      </c>
      <c r="F946">
        <f t="shared" si="14"/>
        <v>352</v>
      </c>
      <c r="G946">
        <f>YEAR(VLOOKUP(A946,orders!A:D,4,0))</f>
        <v>2014</v>
      </c>
      <c r="H946">
        <f>MONTH(INDEX(orders!D:D,MATCH(A946, orders!A:A,0)))</f>
        <v>7</v>
      </c>
      <c r="I946" t="str">
        <f>VLOOKUP(VLOOKUP(B946,products!A:F,6,0),categories!A:B,2,0)</f>
        <v>Condiments</v>
      </c>
      <c r="J946" t="str">
        <f>VLOOKUP(VLOOKUP(A946,orders!A:B,2,0),customers!A:F,6,0)</f>
        <v>Brazil</v>
      </c>
      <c r="K946" t="str">
        <f>VLOOKUP(VLOOKUP(A946,orders!A:C,3,0),employees!A:B,2,0)</f>
        <v>Margaret Peacock</v>
      </c>
    </row>
    <row r="947" spans="1:11" x14ac:dyDescent="0.25">
      <c r="A947">
        <v>10606</v>
      </c>
      <c r="B947">
        <v>55</v>
      </c>
      <c r="C947">
        <v>24</v>
      </c>
      <c r="D947">
        <v>20</v>
      </c>
      <c r="E947">
        <v>0.2</v>
      </c>
      <c r="F947">
        <f t="shared" si="14"/>
        <v>384</v>
      </c>
      <c r="G947">
        <f>YEAR(VLOOKUP(A947,orders!A:D,4,0))</f>
        <v>2014</v>
      </c>
      <c r="H947">
        <f>MONTH(INDEX(orders!D:D,MATCH(A947, orders!A:A,0)))</f>
        <v>7</v>
      </c>
      <c r="I947" t="str">
        <f>VLOOKUP(VLOOKUP(B947,products!A:F,6,0),categories!A:B,2,0)</f>
        <v>Meat &amp; Poultry</v>
      </c>
      <c r="J947" t="str">
        <f>VLOOKUP(VLOOKUP(A947,orders!A:B,2,0),customers!A:F,6,0)</f>
        <v>Brazil</v>
      </c>
      <c r="K947" t="str">
        <f>VLOOKUP(VLOOKUP(A947,orders!A:C,3,0),employees!A:B,2,0)</f>
        <v>Margaret Peacock</v>
      </c>
    </row>
    <row r="948" spans="1:11" x14ac:dyDescent="0.25">
      <c r="A948">
        <v>10606</v>
      </c>
      <c r="B948">
        <v>62</v>
      </c>
      <c r="C948">
        <v>49.3</v>
      </c>
      <c r="D948">
        <v>10</v>
      </c>
      <c r="E948">
        <v>0.2</v>
      </c>
      <c r="F948">
        <f t="shared" si="14"/>
        <v>394.40000000000003</v>
      </c>
      <c r="G948">
        <f>YEAR(VLOOKUP(A948,orders!A:D,4,0))</f>
        <v>2014</v>
      </c>
      <c r="H948">
        <f>MONTH(INDEX(orders!D:D,MATCH(A948, orders!A:A,0)))</f>
        <v>7</v>
      </c>
      <c r="I948" t="str">
        <f>VLOOKUP(VLOOKUP(B948,products!A:F,6,0),categories!A:B,2,0)</f>
        <v>Confections</v>
      </c>
      <c r="J948" t="str">
        <f>VLOOKUP(VLOOKUP(A948,orders!A:B,2,0),customers!A:F,6,0)</f>
        <v>Brazil</v>
      </c>
      <c r="K948" t="str">
        <f>VLOOKUP(VLOOKUP(A948,orders!A:C,3,0),employees!A:B,2,0)</f>
        <v>Margaret Peacock</v>
      </c>
    </row>
    <row r="949" spans="1:11" x14ac:dyDescent="0.25">
      <c r="A949">
        <v>10607</v>
      </c>
      <c r="B949">
        <v>7</v>
      </c>
      <c r="C949">
        <v>30</v>
      </c>
      <c r="D949">
        <v>45</v>
      </c>
      <c r="E949">
        <v>0</v>
      </c>
      <c r="F949">
        <f t="shared" si="14"/>
        <v>1350</v>
      </c>
      <c r="G949">
        <f>YEAR(VLOOKUP(A949,orders!A:D,4,0))</f>
        <v>2014</v>
      </c>
      <c r="H949">
        <f>MONTH(INDEX(orders!D:D,MATCH(A949, orders!A:A,0)))</f>
        <v>7</v>
      </c>
      <c r="I949" t="str">
        <f>VLOOKUP(VLOOKUP(B949,products!A:F,6,0),categories!A:B,2,0)</f>
        <v>Produce</v>
      </c>
      <c r="J949" t="str">
        <f>VLOOKUP(VLOOKUP(A949,orders!A:B,2,0),customers!A:F,6,0)</f>
        <v>USA</v>
      </c>
      <c r="K949" t="str">
        <f>VLOOKUP(VLOOKUP(A949,orders!A:C,3,0),employees!A:B,2,0)</f>
        <v>Steven Buchanan</v>
      </c>
    </row>
    <row r="950" spans="1:11" x14ac:dyDescent="0.25">
      <c r="A950">
        <v>10607</v>
      </c>
      <c r="B950">
        <v>17</v>
      </c>
      <c r="C950">
        <v>39</v>
      </c>
      <c r="D950">
        <v>100</v>
      </c>
      <c r="E950">
        <v>0</v>
      </c>
      <c r="F950">
        <f t="shared" si="14"/>
        <v>3900</v>
      </c>
      <c r="G950">
        <f>YEAR(VLOOKUP(A950,orders!A:D,4,0))</f>
        <v>2014</v>
      </c>
      <c r="H950">
        <f>MONTH(INDEX(orders!D:D,MATCH(A950, orders!A:A,0)))</f>
        <v>7</v>
      </c>
      <c r="I950" t="str">
        <f>VLOOKUP(VLOOKUP(B950,products!A:F,6,0),categories!A:B,2,0)</f>
        <v>Meat &amp; Poultry</v>
      </c>
      <c r="J950" t="str">
        <f>VLOOKUP(VLOOKUP(A950,orders!A:B,2,0),customers!A:F,6,0)</f>
        <v>USA</v>
      </c>
      <c r="K950" t="str">
        <f>VLOOKUP(VLOOKUP(A950,orders!A:C,3,0),employees!A:B,2,0)</f>
        <v>Steven Buchanan</v>
      </c>
    </row>
    <row r="951" spans="1:11" x14ac:dyDescent="0.25">
      <c r="A951">
        <v>10607</v>
      </c>
      <c r="B951">
        <v>33</v>
      </c>
      <c r="C951">
        <v>2.5</v>
      </c>
      <c r="D951">
        <v>14</v>
      </c>
      <c r="E951">
        <v>0</v>
      </c>
      <c r="F951">
        <f t="shared" si="14"/>
        <v>35</v>
      </c>
      <c r="G951">
        <f>YEAR(VLOOKUP(A951,orders!A:D,4,0))</f>
        <v>2014</v>
      </c>
      <c r="H951">
        <f>MONTH(INDEX(orders!D:D,MATCH(A951, orders!A:A,0)))</f>
        <v>7</v>
      </c>
      <c r="I951" t="str">
        <f>VLOOKUP(VLOOKUP(B951,products!A:F,6,0),categories!A:B,2,0)</f>
        <v>Dairy Products</v>
      </c>
      <c r="J951" t="str">
        <f>VLOOKUP(VLOOKUP(A951,orders!A:B,2,0),customers!A:F,6,0)</f>
        <v>USA</v>
      </c>
      <c r="K951" t="str">
        <f>VLOOKUP(VLOOKUP(A951,orders!A:C,3,0),employees!A:B,2,0)</f>
        <v>Steven Buchanan</v>
      </c>
    </row>
    <row r="952" spans="1:11" x14ac:dyDescent="0.25">
      <c r="A952">
        <v>10607</v>
      </c>
      <c r="B952">
        <v>40</v>
      </c>
      <c r="C952">
        <v>18.399999999999999</v>
      </c>
      <c r="D952">
        <v>42</v>
      </c>
      <c r="E952">
        <v>0</v>
      </c>
      <c r="F952">
        <f t="shared" si="14"/>
        <v>772.8</v>
      </c>
      <c r="G952">
        <f>YEAR(VLOOKUP(A952,orders!A:D,4,0))</f>
        <v>2014</v>
      </c>
      <c r="H952">
        <f>MONTH(INDEX(orders!D:D,MATCH(A952, orders!A:A,0)))</f>
        <v>7</v>
      </c>
      <c r="I952" t="str">
        <f>VLOOKUP(VLOOKUP(B952,products!A:F,6,0),categories!A:B,2,0)</f>
        <v>Seafood</v>
      </c>
      <c r="J952" t="str">
        <f>VLOOKUP(VLOOKUP(A952,orders!A:B,2,0),customers!A:F,6,0)</f>
        <v>USA</v>
      </c>
      <c r="K952" t="str">
        <f>VLOOKUP(VLOOKUP(A952,orders!A:C,3,0),employees!A:B,2,0)</f>
        <v>Steven Buchanan</v>
      </c>
    </row>
    <row r="953" spans="1:11" x14ac:dyDescent="0.25">
      <c r="A953">
        <v>10607</v>
      </c>
      <c r="B953">
        <v>72</v>
      </c>
      <c r="C953">
        <v>34.799999999999997</v>
      </c>
      <c r="D953">
        <v>12</v>
      </c>
      <c r="E953">
        <v>0</v>
      </c>
      <c r="F953">
        <f t="shared" si="14"/>
        <v>417.59999999999997</v>
      </c>
      <c r="G953">
        <f>YEAR(VLOOKUP(A953,orders!A:D,4,0))</f>
        <v>2014</v>
      </c>
      <c r="H953">
        <f>MONTH(INDEX(orders!D:D,MATCH(A953, orders!A:A,0)))</f>
        <v>7</v>
      </c>
      <c r="I953" t="str">
        <f>VLOOKUP(VLOOKUP(B953,products!A:F,6,0),categories!A:B,2,0)</f>
        <v>Dairy Products</v>
      </c>
      <c r="J953" t="str">
        <f>VLOOKUP(VLOOKUP(A953,orders!A:B,2,0),customers!A:F,6,0)</f>
        <v>USA</v>
      </c>
      <c r="K953" t="str">
        <f>VLOOKUP(VLOOKUP(A953,orders!A:C,3,0),employees!A:B,2,0)</f>
        <v>Steven Buchanan</v>
      </c>
    </row>
    <row r="954" spans="1:11" x14ac:dyDescent="0.25">
      <c r="A954">
        <v>10608</v>
      </c>
      <c r="B954">
        <v>56</v>
      </c>
      <c r="C954">
        <v>38</v>
      </c>
      <c r="D954">
        <v>28</v>
      </c>
      <c r="E954">
        <v>0</v>
      </c>
      <c r="F954">
        <f t="shared" si="14"/>
        <v>1064</v>
      </c>
      <c r="G954">
        <f>YEAR(VLOOKUP(A954,orders!A:D,4,0))</f>
        <v>2014</v>
      </c>
      <c r="H954">
        <f>MONTH(INDEX(orders!D:D,MATCH(A954, orders!A:A,0)))</f>
        <v>7</v>
      </c>
      <c r="I954" t="str">
        <f>VLOOKUP(VLOOKUP(B954,products!A:F,6,0),categories!A:B,2,0)</f>
        <v>Grains &amp; Cereals</v>
      </c>
      <c r="J954" t="str">
        <f>VLOOKUP(VLOOKUP(A954,orders!A:B,2,0),customers!A:F,6,0)</f>
        <v>Germany</v>
      </c>
      <c r="K954" t="str">
        <f>VLOOKUP(VLOOKUP(A954,orders!A:C,3,0),employees!A:B,2,0)</f>
        <v>Margaret Peacock</v>
      </c>
    </row>
    <row r="955" spans="1:11" x14ac:dyDescent="0.25">
      <c r="A955">
        <v>10609</v>
      </c>
      <c r="B955">
        <v>1</v>
      </c>
      <c r="C955">
        <v>18</v>
      </c>
      <c r="D955">
        <v>3</v>
      </c>
      <c r="E955">
        <v>0</v>
      </c>
      <c r="F955">
        <f t="shared" si="14"/>
        <v>54</v>
      </c>
      <c r="G955">
        <f>YEAR(VLOOKUP(A955,orders!A:D,4,0))</f>
        <v>2014</v>
      </c>
      <c r="H955">
        <f>MONTH(INDEX(orders!D:D,MATCH(A955, orders!A:A,0)))</f>
        <v>7</v>
      </c>
      <c r="I955" t="str">
        <f>VLOOKUP(VLOOKUP(B955,products!A:F,6,0),categories!A:B,2,0)</f>
        <v>Beverages</v>
      </c>
      <c r="J955" t="str">
        <f>VLOOKUP(VLOOKUP(A955,orders!A:B,2,0),customers!A:F,6,0)</f>
        <v>France</v>
      </c>
      <c r="K955" t="str">
        <f>VLOOKUP(VLOOKUP(A955,orders!A:C,3,0),employees!A:B,2,0)</f>
        <v>Robert King</v>
      </c>
    </row>
    <row r="956" spans="1:11" x14ac:dyDescent="0.25">
      <c r="A956">
        <v>10609</v>
      </c>
      <c r="B956">
        <v>10</v>
      </c>
      <c r="C956">
        <v>31</v>
      </c>
      <c r="D956">
        <v>10</v>
      </c>
      <c r="E956">
        <v>0</v>
      </c>
      <c r="F956">
        <f t="shared" si="14"/>
        <v>310</v>
      </c>
      <c r="G956">
        <f>YEAR(VLOOKUP(A956,orders!A:D,4,0))</f>
        <v>2014</v>
      </c>
      <c r="H956">
        <f>MONTH(INDEX(orders!D:D,MATCH(A956, orders!A:A,0)))</f>
        <v>7</v>
      </c>
      <c r="I956" t="str">
        <f>VLOOKUP(VLOOKUP(B956,products!A:F,6,0),categories!A:B,2,0)</f>
        <v>Seafood</v>
      </c>
      <c r="J956" t="str">
        <f>VLOOKUP(VLOOKUP(A956,orders!A:B,2,0),customers!A:F,6,0)</f>
        <v>France</v>
      </c>
      <c r="K956" t="str">
        <f>VLOOKUP(VLOOKUP(A956,orders!A:C,3,0),employees!A:B,2,0)</f>
        <v>Robert King</v>
      </c>
    </row>
    <row r="957" spans="1:11" x14ac:dyDescent="0.25">
      <c r="A957">
        <v>10609</v>
      </c>
      <c r="B957">
        <v>21</v>
      </c>
      <c r="C957">
        <v>10</v>
      </c>
      <c r="D957">
        <v>6</v>
      </c>
      <c r="E957">
        <v>0</v>
      </c>
      <c r="F957">
        <f t="shared" si="14"/>
        <v>60</v>
      </c>
      <c r="G957">
        <f>YEAR(VLOOKUP(A957,orders!A:D,4,0))</f>
        <v>2014</v>
      </c>
      <c r="H957">
        <f>MONTH(INDEX(orders!D:D,MATCH(A957, orders!A:A,0)))</f>
        <v>7</v>
      </c>
      <c r="I957" t="str">
        <f>VLOOKUP(VLOOKUP(B957,products!A:F,6,0),categories!A:B,2,0)</f>
        <v>Confections</v>
      </c>
      <c r="J957" t="str">
        <f>VLOOKUP(VLOOKUP(A957,orders!A:B,2,0),customers!A:F,6,0)</f>
        <v>France</v>
      </c>
      <c r="K957" t="str">
        <f>VLOOKUP(VLOOKUP(A957,orders!A:C,3,0),employees!A:B,2,0)</f>
        <v>Robert King</v>
      </c>
    </row>
    <row r="958" spans="1:11" x14ac:dyDescent="0.25">
      <c r="A958">
        <v>10610</v>
      </c>
      <c r="B958">
        <v>36</v>
      </c>
      <c r="C958">
        <v>19</v>
      </c>
      <c r="D958">
        <v>21</v>
      </c>
      <c r="E958">
        <v>0.25</v>
      </c>
      <c r="F958">
        <f t="shared" si="14"/>
        <v>299.25</v>
      </c>
      <c r="G958">
        <f>YEAR(VLOOKUP(A958,orders!A:D,4,0))</f>
        <v>2014</v>
      </c>
      <c r="H958">
        <f>MONTH(INDEX(orders!D:D,MATCH(A958, orders!A:A,0)))</f>
        <v>7</v>
      </c>
      <c r="I958" t="str">
        <f>VLOOKUP(VLOOKUP(B958,products!A:F,6,0),categories!A:B,2,0)</f>
        <v>Seafood</v>
      </c>
      <c r="J958" t="str">
        <f>VLOOKUP(VLOOKUP(A958,orders!A:B,2,0),customers!A:F,6,0)</f>
        <v>France</v>
      </c>
      <c r="K958" t="str">
        <f>VLOOKUP(VLOOKUP(A958,orders!A:C,3,0),employees!A:B,2,0)</f>
        <v>Laura Callahan</v>
      </c>
    </row>
    <row r="959" spans="1:11" x14ac:dyDescent="0.25">
      <c r="A959">
        <v>10611</v>
      </c>
      <c r="B959">
        <v>1</v>
      </c>
      <c r="C959">
        <v>18</v>
      </c>
      <c r="D959">
        <v>6</v>
      </c>
      <c r="E959">
        <v>0</v>
      </c>
      <c r="F959">
        <f t="shared" si="14"/>
        <v>108</v>
      </c>
      <c r="G959">
        <f>YEAR(VLOOKUP(A959,orders!A:D,4,0))</f>
        <v>2014</v>
      </c>
      <c r="H959">
        <f>MONTH(INDEX(orders!D:D,MATCH(A959, orders!A:A,0)))</f>
        <v>7</v>
      </c>
      <c r="I959" t="str">
        <f>VLOOKUP(VLOOKUP(B959,products!A:F,6,0),categories!A:B,2,0)</f>
        <v>Beverages</v>
      </c>
      <c r="J959" t="str">
        <f>VLOOKUP(VLOOKUP(A959,orders!A:B,2,0),customers!A:F,6,0)</f>
        <v>Poland</v>
      </c>
      <c r="K959" t="str">
        <f>VLOOKUP(VLOOKUP(A959,orders!A:C,3,0),employees!A:B,2,0)</f>
        <v>Michael Suyama</v>
      </c>
    </row>
    <row r="960" spans="1:11" x14ac:dyDescent="0.25">
      <c r="A960">
        <v>10611</v>
      </c>
      <c r="B960">
        <v>2</v>
      </c>
      <c r="C960">
        <v>19</v>
      </c>
      <c r="D960">
        <v>10</v>
      </c>
      <c r="E960">
        <v>0</v>
      </c>
      <c r="F960">
        <f t="shared" si="14"/>
        <v>190</v>
      </c>
      <c r="G960">
        <f>YEAR(VLOOKUP(A960,orders!A:D,4,0))</f>
        <v>2014</v>
      </c>
      <c r="H960">
        <f>MONTH(INDEX(orders!D:D,MATCH(A960, orders!A:A,0)))</f>
        <v>7</v>
      </c>
      <c r="I960" t="str">
        <f>VLOOKUP(VLOOKUP(B960,products!A:F,6,0),categories!A:B,2,0)</f>
        <v>Beverages</v>
      </c>
      <c r="J960" t="str">
        <f>VLOOKUP(VLOOKUP(A960,orders!A:B,2,0),customers!A:F,6,0)</f>
        <v>Poland</v>
      </c>
      <c r="K960" t="str">
        <f>VLOOKUP(VLOOKUP(A960,orders!A:C,3,0),employees!A:B,2,0)</f>
        <v>Michael Suyama</v>
      </c>
    </row>
    <row r="961" spans="1:11" x14ac:dyDescent="0.25">
      <c r="A961">
        <v>10611</v>
      </c>
      <c r="B961">
        <v>60</v>
      </c>
      <c r="C961">
        <v>34</v>
      </c>
      <c r="D961">
        <v>15</v>
      </c>
      <c r="E961">
        <v>0</v>
      </c>
      <c r="F961">
        <f t="shared" si="14"/>
        <v>510</v>
      </c>
      <c r="G961">
        <f>YEAR(VLOOKUP(A961,orders!A:D,4,0))</f>
        <v>2014</v>
      </c>
      <c r="H961">
        <f>MONTH(INDEX(orders!D:D,MATCH(A961, orders!A:A,0)))</f>
        <v>7</v>
      </c>
      <c r="I961" t="str">
        <f>VLOOKUP(VLOOKUP(B961,products!A:F,6,0),categories!A:B,2,0)</f>
        <v>Dairy Products</v>
      </c>
      <c r="J961" t="str">
        <f>VLOOKUP(VLOOKUP(A961,orders!A:B,2,0),customers!A:F,6,0)</f>
        <v>Poland</v>
      </c>
      <c r="K961" t="str">
        <f>VLOOKUP(VLOOKUP(A961,orders!A:C,3,0),employees!A:B,2,0)</f>
        <v>Michael Suyama</v>
      </c>
    </row>
    <row r="962" spans="1:11" x14ac:dyDescent="0.25">
      <c r="A962">
        <v>10612</v>
      </c>
      <c r="B962">
        <v>10</v>
      </c>
      <c r="C962">
        <v>31</v>
      </c>
      <c r="D962">
        <v>70</v>
      </c>
      <c r="E962">
        <v>0</v>
      </c>
      <c r="F962">
        <f t="shared" si="14"/>
        <v>2170</v>
      </c>
      <c r="G962">
        <f>YEAR(VLOOKUP(A962,orders!A:D,4,0))</f>
        <v>2014</v>
      </c>
      <c r="H962">
        <f>MONTH(INDEX(orders!D:D,MATCH(A962, orders!A:A,0)))</f>
        <v>7</v>
      </c>
      <c r="I962" t="str">
        <f>VLOOKUP(VLOOKUP(B962,products!A:F,6,0),categories!A:B,2,0)</f>
        <v>Seafood</v>
      </c>
      <c r="J962" t="str">
        <f>VLOOKUP(VLOOKUP(A962,orders!A:B,2,0),customers!A:F,6,0)</f>
        <v>USA</v>
      </c>
      <c r="K962" t="str">
        <f>VLOOKUP(VLOOKUP(A962,orders!A:C,3,0),employees!A:B,2,0)</f>
        <v>Nancy Davolio</v>
      </c>
    </row>
    <row r="963" spans="1:11" x14ac:dyDescent="0.25">
      <c r="A963">
        <v>10612</v>
      </c>
      <c r="B963">
        <v>36</v>
      </c>
      <c r="C963">
        <v>19</v>
      </c>
      <c r="D963">
        <v>55</v>
      </c>
      <c r="E963">
        <v>0</v>
      </c>
      <c r="F963">
        <f t="shared" ref="F963:F1026" si="15">C963*D963*(1-E963)</f>
        <v>1045</v>
      </c>
      <c r="G963">
        <f>YEAR(VLOOKUP(A963,orders!A:D,4,0))</f>
        <v>2014</v>
      </c>
      <c r="H963">
        <f>MONTH(INDEX(orders!D:D,MATCH(A963, orders!A:A,0)))</f>
        <v>7</v>
      </c>
      <c r="I963" t="str">
        <f>VLOOKUP(VLOOKUP(B963,products!A:F,6,0),categories!A:B,2,0)</f>
        <v>Seafood</v>
      </c>
      <c r="J963" t="str">
        <f>VLOOKUP(VLOOKUP(A963,orders!A:B,2,0),customers!A:F,6,0)</f>
        <v>USA</v>
      </c>
      <c r="K963" t="str">
        <f>VLOOKUP(VLOOKUP(A963,orders!A:C,3,0),employees!A:B,2,0)</f>
        <v>Nancy Davolio</v>
      </c>
    </row>
    <row r="964" spans="1:11" x14ac:dyDescent="0.25">
      <c r="A964">
        <v>10612</v>
      </c>
      <c r="B964">
        <v>49</v>
      </c>
      <c r="C964">
        <v>20</v>
      </c>
      <c r="D964">
        <v>18</v>
      </c>
      <c r="E964">
        <v>0</v>
      </c>
      <c r="F964">
        <f t="shared" si="15"/>
        <v>360</v>
      </c>
      <c r="G964">
        <f>YEAR(VLOOKUP(A964,orders!A:D,4,0))</f>
        <v>2014</v>
      </c>
      <c r="H964">
        <f>MONTH(INDEX(orders!D:D,MATCH(A964, orders!A:A,0)))</f>
        <v>7</v>
      </c>
      <c r="I964" t="str">
        <f>VLOOKUP(VLOOKUP(B964,products!A:F,6,0),categories!A:B,2,0)</f>
        <v>Confections</v>
      </c>
      <c r="J964" t="str">
        <f>VLOOKUP(VLOOKUP(A964,orders!A:B,2,0),customers!A:F,6,0)</f>
        <v>USA</v>
      </c>
      <c r="K964" t="str">
        <f>VLOOKUP(VLOOKUP(A964,orders!A:C,3,0),employees!A:B,2,0)</f>
        <v>Nancy Davolio</v>
      </c>
    </row>
    <row r="965" spans="1:11" x14ac:dyDescent="0.25">
      <c r="A965">
        <v>10612</v>
      </c>
      <c r="B965">
        <v>60</v>
      </c>
      <c r="C965">
        <v>34</v>
      </c>
      <c r="D965">
        <v>40</v>
      </c>
      <c r="E965">
        <v>0</v>
      </c>
      <c r="F965">
        <f t="shared" si="15"/>
        <v>1360</v>
      </c>
      <c r="G965">
        <f>YEAR(VLOOKUP(A965,orders!A:D,4,0))</f>
        <v>2014</v>
      </c>
      <c r="H965">
        <f>MONTH(INDEX(orders!D:D,MATCH(A965, orders!A:A,0)))</f>
        <v>7</v>
      </c>
      <c r="I965" t="str">
        <f>VLOOKUP(VLOOKUP(B965,products!A:F,6,0),categories!A:B,2,0)</f>
        <v>Dairy Products</v>
      </c>
      <c r="J965" t="str">
        <f>VLOOKUP(VLOOKUP(A965,orders!A:B,2,0),customers!A:F,6,0)</f>
        <v>USA</v>
      </c>
      <c r="K965" t="str">
        <f>VLOOKUP(VLOOKUP(A965,orders!A:C,3,0),employees!A:B,2,0)</f>
        <v>Nancy Davolio</v>
      </c>
    </row>
    <row r="966" spans="1:11" x14ac:dyDescent="0.25">
      <c r="A966">
        <v>10612</v>
      </c>
      <c r="B966">
        <v>76</v>
      </c>
      <c r="C966">
        <v>18</v>
      </c>
      <c r="D966">
        <v>80</v>
      </c>
      <c r="E966">
        <v>0</v>
      </c>
      <c r="F966">
        <f t="shared" si="15"/>
        <v>1440</v>
      </c>
      <c r="G966">
        <f>YEAR(VLOOKUP(A966,orders!A:D,4,0))</f>
        <v>2014</v>
      </c>
      <c r="H966">
        <f>MONTH(INDEX(orders!D:D,MATCH(A966, orders!A:A,0)))</f>
        <v>7</v>
      </c>
      <c r="I966" t="str">
        <f>VLOOKUP(VLOOKUP(B966,products!A:F,6,0),categories!A:B,2,0)</f>
        <v>Beverages</v>
      </c>
      <c r="J966" t="str">
        <f>VLOOKUP(VLOOKUP(A966,orders!A:B,2,0),customers!A:F,6,0)</f>
        <v>USA</v>
      </c>
      <c r="K966" t="str">
        <f>VLOOKUP(VLOOKUP(A966,orders!A:C,3,0),employees!A:B,2,0)</f>
        <v>Nancy Davolio</v>
      </c>
    </row>
    <row r="967" spans="1:11" x14ac:dyDescent="0.25">
      <c r="A967">
        <v>10613</v>
      </c>
      <c r="B967">
        <v>13</v>
      </c>
      <c r="C967">
        <v>6</v>
      </c>
      <c r="D967">
        <v>8</v>
      </c>
      <c r="E967">
        <v>0.1</v>
      </c>
      <c r="F967">
        <f t="shared" si="15"/>
        <v>43.2</v>
      </c>
      <c r="G967">
        <f>YEAR(VLOOKUP(A967,orders!A:D,4,0))</f>
        <v>2014</v>
      </c>
      <c r="H967">
        <f>MONTH(INDEX(orders!D:D,MATCH(A967, orders!A:A,0)))</f>
        <v>7</v>
      </c>
      <c r="I967" t="str">
        <f>VLOOKUP(VLOOKUP(B967,products!A:F,6,0),categories!A:B,2,0)</f>
        <v>Seafood</v>
      </c>
      <c r="J967" t="str">
        <f>VLOOKUP(VLOOKUP(A967,orders!A:B,2,0),customers!A:F,6,0)</f>
        <v>Venezuela</v>
      </c>
      <c r="K967" t="str">
        <f>VLOOKUP(VLOOKUP(A967,orders!A:C,3,0),employees!A:B,2,0)</f>
        <v>Margaret Peacock</v>
      </c>
    </row>
    <row r="968" spans="1:11" x14ac:dyDescent="0.25">
      <c r="A968">
        <v>10613</v>
      </c>
      <c r="B968">
        <v>75</v>
      </c>
      <c r="C968">
        <v>7.75</v>
      </c>
      <c r="D968">
        <v>40</v>
      </c>
      <c r="E968">
        <v>0</v>
      </c>
      <c r="F968">
        <f t="shared" si="15"/>
        <v>310</v>
      </c>
      <c r="G968">
        <f>YEAR(VLOOKUP(A968,orders!A:D,4,0))</f>
        <v>2014</v>
      </c>
      <c r="H968">
        <f>MONTH(INDEX(orders!D:D,MATCH(A968, orders!A:A,0)))</f>
        <v>7</v>
      </c>
      <c r="I968" t="str">
        <f>VLOOKUP(VLOOKUP(B968,products!A:F,6,0),categories!A:B,2,0)</f>
        <v>Beverages</v>
      </c>
      <c r="J968" t="str">
        <f>VLOOKUP(VLOOKUP(A968,orders!A:B,2,0),customers!A:F,6,0)</f>
        <v>Venezuela</v>
      </c>
      <c r="K968" t="str">
        <f>VLOOKUP(VLOOKUP(A968,orders!A:C,3,0),employees!A:B,2,0)</f>
        <v>Margaret Peacock</v>
      </c>
    </row>
    <row r="969" spans="1:11" x14ac:dyDescent="0.25">
      <c r="A969">
        <v>10614</v>
      </c>
      <c r="B969">
        <v>11</v>
      </c>
      <c r="C969">
        <v>21</v>
      </c>
      <c r="D969">
        <v>14</v>
      </c>
      <c r="E969">
        <v>0</v>
      </c>
      <c r="F969">
        <f t="shared" si="15"/>
        <v>294</v>
      </c>
      <c r="G969">
        <f>YEAR(VLOOKUP(A969,orders!A:D,4,0))</f>
        <v>2014</v>
      </c>
      <c r="H969">
        <f>MONTH(INDEX(orders!D:D,MATCH(A969, orders!A:A,0)))</f>
        <v>7</v>
      </c>
      <c r="I969" t="str">
        <f>VLOOKUP(VLOOKUP(B969,products!A:F,6,0),categories!A:B,2,0)</f>
        <v>Dairy Products</v>
      </c>
      <c r="J969" t="str">
        <f>VLOOKUP(VLOOKUP(A969,orders!A:B,2,0),customers!A:F,6,0)</f>
        <v>Germany</v>
      </c>
      <c r="K969" t="str">
        <f>VLOOKUP(VLOOKUP(A969,orders!A:C,3,0),employees!A:B,2,0)</f>
        <v>Laura Callahan</v>
      </c>
    </row>
    <row r="970" spans="1:11" x14ac:dyDescent="0.25">
      <c r="A970">
        <v>10614</v>
      </c>
      <c r="B970">
        <v>21</v>
      </c>
      <c r="C970">
        <v>10</v>
      </c>
      <c r="D970">
        <v>8</v>
      </c>
      <c r="E970">
        <v>0</v>
      </c>
      <c r="F970">
        <f t="shared" si="15"/>
        <v>80</v>
      </c>
      <c r="G970">
        <f>YEAR(VLOOKUP(A970,orders!A:D,4,0))</f>
        <v>2014</v>
      </c>
      <c r="H970">
        <f>MONTH(INDEX(orders!D:D,MATCH(A970, orders!A:A,0)))</f>
        <v>7</v>
      </c>
      <c r="I970" t="str">
        <f>VLOOKUP(VLOOKUP(B970,products!A:F,6,0),categories!A:B,2,0)</f>
        <v>Confections</v>
      </c>
      <c r="J970" t="str">
        <f>VLOOKUP(VLOOKUP(A970,orders!A:B,2,0),customers!A:F,6,0)</f>
        <v>Germany</v>
      </c>
      <c r="K970" t="str">
        <f>VLOOKUP(VLOOKUP(A970,orders!A:C,3,0),employees!A:B,2,0)</f>
        <v>Laura Callahan</v>
      </c>
    </row>
    <row r="971" spans="1:11" x14ac:dyDescent="0.25">
      <c r="A971">
        <v>10614</v>
      </c>
      <c r="B971">
        <v>39</v>
      </c>
      <c r="C971">
        <v>18</v>
      </c>
      <c r="D971">
        <v>5</v>
      </c>
      <c r="E971">
        <v>0</v>
      </c>
      <c r="F971">
        <f t="shared" si="15"/>
        <v>90</v>
      </c>
      <c r="G971">
        <f>YEAR(VLOOKUP(A971,orders!A:D,4,0))</f>
        <v>2014</v>
      </c>
      <c r="H971">
        <f>MONTH(INDEX(orders!D:D,MATCH(A971, orders!A:A,0)))</f>
        <v>7</v>
      </c>
      <c r="I971" t="str">
        <f>VLOOKUP(VLOOKUP(B971,products!A:F,6,0),categories!A:B,2,0)</f>
        <v>Beverages</v>
      </c>
      <c r="J971" t="str">
        <f>VLOOKUP(VLOOKUP(A971,orders!A:B,2,0),customers!A:F,6,0)</f>
        <v>Germany</v>
      </c>
      <c r="K971" t="str">
        <f>VLOOKUP(VLOOKUP(A971,orders!A:C,3,0),employees!A:B,2,0)</f>
        <v>Laura Callahan</v>
      </c>
    </row>
    <row r="972" spans="1:11" x14ac:dyDescent="0.25">
      <c r="A972">
        <v>10615</v>
      </c>
      <c r="B972">
        <v>55</v>
      </c>
      <c r="C972">
        <v>24</v>
      </c>
      <c r="D972">
        <v>5</v>
      </c>
      <c r="E972">
        <v>0</v>
      </c>
      <c r="F972">
        <f t="shared" si="15"/>
        <v>120</v>
      </c>
      <c r="G972">
        <f>YEAR(VLOOKUP(A972,orders!A:D,4,0))</f>
        <v>2014</v>
      </c>
      <c r="H972">
        <f>MONTH(INDEX(orders!D:D,MATCH(A972, orders!A:A,0)))</f>
        <v>7</v>
      </c>
      <c r="I972" t="str">
        <f>VLOOKUP(VLOOKUP(B972,products!A:F,6,0),categories!A:B,2,0)</f>
        <v>Meat &amp; Poultry</v>
      </c>
      <c r="J972" t="str">
        <f>VLOOKUP(VLOOKUP(A972,orders!A:B,2,0),customers!A:F,6,0)</f>
        <v>Finland</v>
      </c>
      <c r="K972" t="str">
        <f>VLOOKUP(VLOOKUP(A972,orders!A:C,3,0),employees!A:B,2,0)</f>
        <v>Andrew Fuller</v>
      </c>
    </row>
    <row r="973" spans="1:11" x14ac:dyDescent="0.25">
      <c r="A973">
        <v>10616</v>
      </c>
      <c r="B973">
        <v>38</v>
      </c>
      <c r="C973">
        <v>263.5</v>
      </c>
      <c r="D973">
        <v>15</v>
      </c>
      <c r="E973">
        <v>0.05</v>
      </c>
      <c r="F973">
        <f t="shared" si="15"/>
        <v>3754.875</v>
      </c>
      <c r="G973">
        <f>YEAR(VLOOKUP(A973,orders!A:D,4,0))</f>
        <v>2014</v>
      </c>
      <c r="H973">
        <f>MONTH(INDEX(orders!D:D,MATCH(A973, orders!A:A,0)))</f>
        <v>7</v>
      </c>
      <c r="I973" t="str">
        <f>VLOOKUP(VLOOKUP(B973,products!A:F,6,0),categories!A:B,2,0)</f>
        <v>Beverages</v>
      </c>
      <c r="J973" t="str">
        <f>VLOOKUP(VLOOKUP(A973,orders!A:B,2,0),customers!A:F,6,0)</f>
        <v>USA</v>
      </c>
      <c r="K973" t="str">
        <f>VLOOKUP(VLOOKUP(A973,orders!A:C,3,0),employees!A:B,2,0)</f>
        <v>Nancy Davolio</v>
      </c>
    </row>
    <row r="974" spans="1:11" x14ac:dyDescent="0.25">
      <c r="A974">
        <v>10616</v>
      </c>
      <c r="B974">
        <v>56</v>
      </c>
      <c r="C974">
        <v>38</v>
      </c>
      <c r="D974">
        <v>14</v>
      </c>
      <c r="E974">
        <v>0</v>
      </c>
      <c r="F974">
        <f t="shared" si="15"/>
        <v>532</v>
      </c>
      <c r="G974">
        <f>YEAR(VLOOKUP(A974,orders!A:D,4,0))</f>
        <v>2014</v>
      </c>
      <c r="H974">
        <f>MONTH(INDEX(orders!D:D,MATCH(A974, orders!A:A,0)))</f>
        <v>7</v>
      </c>
      <c r="I974" t="str">
        <f>VLOOKUP(VLOOKUP(B974,products!A:F,6,0),categories!A:B,2,0)</f>
        <v>Grains &amp; Cereals</v>
      </c>
      <c r="J974" t="str">
        <f>VLOOKUP(VLOOKUP(A974,orders!A:B,2,0),customers!A:F,6,0)</f>
        <v>USA</v>
      </c>
      <c r="K974" t="str">
        <f>VLOOKUP(VLOOKUP(A974,orders!A:C,3,0),employees!A:B,2,0)</f>
        <v>Nancy Davolio</v>
      </c>
    </row>
    <row r="975" spans="1:11" x14ac:dyDescent="0.25">
      <c r="A975">
        <v>10616</v>
      </c>
      <c r="B975">
        <v>70</v>
      </c>
      <c r="C975">
        <v>15</v>
      </c>
      <c r="D975">
        <v>15</v>
      </c>
      <c r="E975">
        <v>0.05</v>
      </c>
      <c r="F975">
        <f t="shared" si="15"/>
        <v>213.75</v>
      </c>
      <c r="G975">
        <f>YEAR(VLOOKUP(A975,orders!A:D,4,0))</f>
        <v>2014</v>
      </c>
      <c r="H975">
        <f>MONTH(INDEX(orders!D:D,MATCH(A975, orders!A:A,0)))</f>
        <v>7</v>
      </c>
      <c r="I975" t="str">
        <f>VLOOKUP(VLOOKUP(B975,products!A:F,6,0),categories!A:B,2,0)</f>
        <v>Beverages</v>
      </c>
      <c r="J975" t="str">
        <f>VLOOKUP(VLOOKUP(A975,orders!A:B,2,0),customers!A:F,6,0)</f>
        <v>USA</v>
      </c>
      <c r="K975" t="str">
        <f>VLOOKUP(VLOOKUP(A975,orders!A:C,3,0),employees!A:B,2,0)</f>
        <v>Nancy Davolio</v>
      </c>
    </row>
    <row r="976" spans="1:11" x14ac:dyDescent="0.25">
      <c r="A976">
        <v>10616</v>
      </c>
      <c r="B976">
        <v>71</v>
      </c>
      <c r="C976">
        <v>21.5</v>
      </c>
      <c r="D976">
        <v>15</v>
      </c>
      <c r="E976">
        <v>0.05</v>
      </c>
      <c r="F976">
        <f t="shared" si="15"/>
        <v>306.375</v>
      </c>
      <c r="G976">
        <f>YEAR(VLOOKUP(A976,orders!A:D,4,0))</f>
        <v>2014</v>
      </c>
      <c r="H976">
        <f>MONTH(INDEX(orders!D:D,MATCH(A976, orders!A:A,0)))</f>
        <v>7</v>
      </c>
      <c r="I976" t="str">
        <f>VLOOKUP(VLOOKUP(B976,products!A:F,6,0),categories!A:B,2,0)</f>
        <v>Dairy Products</v>
      </c>
      <c r="J976" t="str">
        <f>VLOOKUP(VLOOKUP(A976,orders!A:B,2,0),customers!A:F,6,0)</f>
        <v>USA</v>
      </c>
      <c r="K976" t="str">
        <f>VLOOKUP(VLOOKUP(A976,orders!A:C,3,0),employees!A:B,2,0)</f>
        <v>Nancy Davolio</v>
      </c>
    </row>
    <row r="977" spans="1:11" x14ac:dyDescent="0.25">
      <c r="A977">
        <v>10617</v>
      </c>
      <c r="B977">
        <v>59</v>
      </c>
      <c r="C977">
        <v>55</v>
      </c>
      <c r="D977">
        <v>30</v>
      </c>
      <c r="E977">
        <v>0.15</v>
      </c>
      <c r="F977">
        <f t="shared" si="15"/>
        <v>1402.5</v>
      </c>
      <c r="G977">
        <f>YEAR(VLOOKUP(A977,orders!A:D,4,0))</f>
        <v>2014</v>
      </c>
      <c r="H977">
        <f>MONTH(INDEX(orders!D:D,MATCH(A977, orders!A:A,0)))</f>
        <v>7</v>
      </c>
      <c r="I977" t="str">
        <f>VLOOKUP(VLOOKUP(B977,products!A:F,6,0),categories!A:B,2,0)</f>
        <v>Dairy Products</v>
      </c>
      <c r="J977" t="str">
        <f>VLOOKUP(VLOOKUP(A977,orders!A:B,2,0),customers!A:F,6,0)</f>
        <v>USA</v>
      </c>
      <c r="K977" t="str">
        <f>VLOOKUP(VLOOKUP(A977,orders!A:C,3,0),employees!A:B,2,0)</f>
        <v>Margaret Peacock</v>
      </c>
    </row>
    <row r="978" spans="1:11" x14ac:dyDescent="0.25">
      <c r="A978">
        <v>10618</v>
      </c>
      <c r="B978">
        <v>6</v>
      </c>
      <c r="C978">
        <v>25</v>
      </c>
      <c r="D978">
        <v>70</v>
      </c>
      <c r="E978">
        <v>0</v>
      </c>
      <c r="F978">
        <f t="shared" si="15"/>
        <v>1750</v>
      </c>
      <c r="G978">
        <f>YEAR(VLOOKUP(A978,orders!A:D,4,0))</f>
        <v>2014</v>
      </c>
      <c r="H978">
        <f>MONTH(INDEX(orders!D:D,MATCH(A978, orders!A:A,0)))</f>
        <v>8</v>
      </c>
      <c r="I978" t="str">
        <f>VLOOKUP(VLOOKUP(B978,products!A:F,6,0),categories!A:B,2,0)</f>
        <v>Condiments</v>
      </c>
      <c r="J978" t="str">
        <f>VLOOKUP(VLOOKUP(A978,orders!A:B,2,0),customers!A:F,6,0)</f>
        <v>Canada</v>
      </c>
      <c r="K978" t="str">
        <f>VLOOKUP(VLOOKUP(A978,orders!A:C,3,0),employees!A:B,2,0)</f>
        <v>Nancy Davolio</v>
      </c>
    </row>
    <row r="979" spans="1:11" x14ac:dyDescent="0.25">
      <c r="A979">
        <v>10618</v>
      </c>
      <c r="B979">
        <v>56</v>
      </c>
      <c r="C979">
        <v>38</v>
      </c>
      <c r="D979">
        <v>20</v>
      </c>
      <c r="E979">
        <v>0</v>
      </c>
      <c r="F979">
        <f t="shared" si="15"/>
        <v>760</v>
      </c>
      <c r="G979">
        <f>YEAR(VLOOKUP(A979,orders!A:D,4,0))</f>
        <v>2014</v>
      </c>
      <c r="H979">
        <f>MONTH(INDEX(orders!D:D,MATCH(A979, orders!A:A,0)))</f>
        <v>8</v>
      </c>
      <c r="I979" t="str">
        <f>VLOOKUP(VLOOKUP(B979,products!A:F,6,0),categories!A:B,2,0)</f>
        <v>Grains &amp; Cereals</v>
      </c>
      <c r="J979" t="str">
        <f>VLOOKUP(VLOOKUP(A979,orders!A:B,2,0),customers!A:F,6,0)</f>
        <v>Canada</v>
      </c>
      <c r="K979" t="str">
        <f>VLOOKUP(VLOOKUP(A979,orders!A:C,3,0),employees!A:B,2,0)</f>
        <v>Nancy Davolio</v>
      </c>
    </row>
    <row r="980" spans="1:11" x14ac:dyDescent="0.25">
      <c r="A980">
        <v>10618</v>
      </c>
      <c r="B980">
        <v>68</v>
      </c>
      <c r="C980">
        <v>12.5</v>
      </c>
      <c r="D980">
        <v>15</v>
      </c>
      <c r="E980">
        <v>0</v>
      </c>
      <c r="F980">
        <f t="shared" si="15"/>
        <v>187.5</v>
      </c>
      <c r="G980">
        <f>YEAR(VLOOKUP(A980,orders!A:D,4,0))</f>
        <v>2014</v>
      </c>
      <c r="H980">
        <f>MONTH(INDEX(orders!D:D,MATCH(A980, orders!A:A,0)))</f>
        <v>8</v>
      </c>
      <c r="I980" t="str">
        <f>VLOOKUP(VLOOKUP(B980,products!A:F,6,0),categories!A:B,2,0)</f>
        <v>Confections</v>
      </c>
      <c r="J980" t="str">
        <f>VLOOKUP(VLOOKUP(A980,orders!A:B,2,0),customers!A:F,6,0)</f>
        <v>Canada</v>
      </c>
      <c r="K980" t="str">
        <f>VLOOKUP(VLOOKUP(A980,orders!A:C,3,0),employees!A:B,2,0)</f>
        <v>Nancy Davolio</v>
      </c>
    </row>
    <row r="981" spans="1:11" x14ac:dyDescent="0.25">
      <c r="A981">
        <v>10619</v>
      </c>
      <c r="B981">
        <v>21</v>
      </c>
      <c r="C981">
        <v>10</v>
      </c>
      <c r="D981">
        <v>42</v>
      </c>
      <c r="E981">
        <v>0</v>
      </c>
      <c r="F981">
        <f t="shared" si="15"/>
        <v>420</v>
      </c>
      <c r="G981">
        <f>YEAR(VLOOKUP(A981,orders!A:D,4,0))</f>
        <v>2014</v>
      </c>
      <c r="H981">
        <f>MONTH(INDEX(orders!D:D,MATCH(A981, orders!A:A,0)))</f>
        <v>8</v>
      </c>
      <c r="I981" t="str">
        <f>VLOOKUP(VLOOKUP(B981,products!A:F,6,0),categories!A:B,2,0)</f>
        <v>Confections</v>
      </c>
      <c r="J981" t="str">
        <f>VLOOKUP(VLOOKUP(A981,orders!A:B,2,0),customers!A:F,6,0)</f>
        <v>Canada</v>
      </c>
      <c r="K981" t="str">
        <f>VLOOKUP(VLOOKUP(A981,orders!A:C,3,0),employees!A:B,2,0)</f>
        <v>Janet Leverling</v>
      </c>
    </row>
    <row r="982" spans="1:11" x14ac:dyDescent="0.25">
      <c r="A982">
        <v>10619</v>
      </c>
      <c r="B982">
        <v>22</v>
      </c>
      <c r="C982">
        <v>21</v>
      </c>
      <c r="D982">
        <v>40</v>
      </c>
      <c r="E982">
        <v>0</v>
      </c>
      <c r="F982">
        <f t="shared" si="15"/>
        <v>840</v>
      </c>
      <c r="G982">
        <f>YEAR(VLOOKUP(A982,orders!A:D,4,0))</f>
        <v>2014</v>
      </c>
      <c r="H982">
        <f>MONTH(INDEX(orders!D:D,MATCH(A982, orders!A:A,0)))</f>
        <v>8</v>
      </c>
      <c r="I982" t="str">
        <f>VLOOKUP(VLOOKUP(B982,products!A:F,6,0),categories!A:B,2,0)</f>
        <v>Grains &amp; Cereals</v>
      </c>
      <c r="J982" t="str">
        <f>VLOOKUP(VLOOKUP(A982,orders!A:B,2,0),customers!A:F,6,0)</f>
        <v>Canada</v>
      </c>
      <c r="K982" t="str">
        <f>VLOOKUP(VLOOKUP(A982,orders!A:C,3,0),employees!A:B,2,0)</f>
        <v>Janet Leverling</v>
      </c>
    </row>
    <row r="983" spans="1:11" x14ac:dyDescent="0.25">
      <c r="A983">
        <v>10620</v>
      </c>
      <c r="B983">
        <v>24</v>
      </c>
      <c r="C983">
        <v>4.5</v>
      </c>
      <c r="D983">
        <v>5</v>
      </c>
      <c r="E983">
        <v>0</v>
      </c>
      <c r="F983">
        <f t="shared" si="15"/>
        <v>22.5</v>
      </c>
      <c r="G983">
        <f>YEAR(VLOOKUP(A983,orders!A:D,4,0))</f>
        <v>2014</v>
      </c>
      <c r="H983">
        <f>MONTH(INDEX(orders!D:D,MATCH(A983, orders!A:A,0)))</f>
        <v>8</v>
      </c>
      <c r="I983" t="str">
        <f>VLOOKUP(VLOOKUP(B983,products!A:F,6,0),categories!A:B,2,0)</f>
        <v>Beverages</v>
      </c>
      <c r="J983" t="str">
        <f>VLOOKUP(VLOOKUP(A983,orders!A:B,2,0),customers!A:F,6,0)</f>
        <v>Canada</v>
      </c>
      <c r="K983" t="str">
        <f>VLOOKUP(VLOOKUP(A983,orders!A:C,3,0),employees!A:B,2,0)</f>
        <v>Andrew Fuller</v>
      </c>
    </row>
    <row r="984" spans="1:11" x14ac:dyDescent="0.25">
      <c r="A984">
        <v>10620</v>
      </c>
      <c r="B984">
        <v>52</v>
      </c>
      <c r="C984">
        <v>7</v>
      </c>
      <c r="D984">
        <v>5</v>
      </c>
      <c r="E984">
        <v>0</v>
      </c>
      <c r="F984">
        <f t="shared" si="15"/>
        <v>35</v>
      </c>
      <c r="G984">
        <f>YEAR(VLOOKUP(A984,orders!A:D,4,0))</f>
        <v>2014</v>
      </c>
      <c r="H984">
        <f>MONTH(INDEX(orders!D:D,MATCH(A984, orders!A:A,0)))</f>
        <v>8</v>
      </c>
      <c r="I984" t="str">
        <f>VLOOKUP(VLOOKUP(B984,products!A:F,6,0),categories!A:B,2,0)</f>
        <v>Grains &amp; Cereals</v>
      </c>
      <c r="J984" t="str">
        <f>VLOOKUP(VLOOKUP(A984,orders!A:B,2,0),customers!A:F,6,0)</f>
        <v>Canada</v>
      </c>
      <c r="K984" t="str">
        <f>VLOOKUP(VLOOKUP(A984,orders!A:C,3,0),employees!A:B,2,0)</f>
        <v>Andrew Fuller</v>
      </c>
    </row>
    <row r="985" spans="1:11" x14ac:dyDescent="0.25">
      <c r="A985">
        <v>10621</v>
      </c>
      <c r="B985">
        <v>19</v>
      </c>
      <c r="C985">
        <v>9.1999999999999993</v>
      </c>
      <c r="D985">
        <v>5</v>
      </c>
      <c r="E985">
        <v>0</v>
      </c>
      <c r="F985">
        <f t="shared" si="15"/>
        <v>46</v>
      </c>
      <c r="G985">
        <f>YEAR(VLOOKUP(A985,orders!A:D,4,0))</f>
        <v>2014</v>
      </c>
      <c r="H985">
        <f>MONTH(INDEX(orders!D:D,MATCH(A985, orders!A:A,0)))</f>
        <v>8</v>
      </c>
      <c r="I985" t="str">
        <f>VLOOKUP(VLOOKUP(B985,products!A:F,6,0),categories!A:B,2,0)</f>
        <v>Confections</v>
      </c>
      <c r="J985" t="str">
        <f>VLOOKUP(VLOOKUP(A985,orders!A:B,2,0),customers!A:F,6,0)</f>
        <v>UK</v>
      </c>
      <c r="K985" t="str">
        <f>VLOOKUP(VLOOKUP(A985,orders!A:C,3,0),employees!A:B,2,0)</f>
        <v>Margaret Peacock</v>
      </c>
    </row>
    <row r="986" spans="1:11" x14ac:dyDescent="0.25">
      <c r="A986">
        <v>10621</v>
      </c>
      <c r="B986">
        <v>23</v>
      </c>
      <c r="C986">
        <v>9</v>
      </c>
      <c r="D986">
        <v>10</v>
      </c>
      <c r="E986">
        <v>0</v>
      </c>
      <c r="F986">
        <f t="shared" si="15"/>
        <v>90</v>
      </c>
      <c r="G986">
        <f>YEAR(VLOOKUP(A986,orders!A:D,4,0))</f>
        <v>2014</v>
      </c>
      <c r="H986">
        <f>MONTH(INDEX(orders!D:D,MATCH(A986, orders!A:A,0)))</f>
        <v>8</v>
      </c>
      <c r="I986" t="str">
        <f>VLOOKUP(VLOOKUP(B986,products!A:F,6,0),categories!A:B,2,0)</f>
        <v>Grains &amp; Cereals</v>
      </c>
      <c r="J986" t="str">
        <f>VLOOKUP(VLOOKUP(A986,orders!A:B,2,0),customers!A:F,6,0)</f>
        <v>UK</v>
      </c>
      <c r="K986" t="str">
        <f>VLOOKUP(VLOOKUP(A986,orders!A:C,3,0),employees!A:B,2,0)</f>
        <v>Margaret Peacock</v>
      </c>
    </row>
    <row r="987" spans="1:11" x14ac:dyDescent="0.25">
      <c r="A987">
        <v>10621</v>
      </c>
      <c r="B987">
        <v>70</v>
      </c>
      <c r="C987">
        <v>15</v>
      </c>
      <c r="D987">
        <v>20</v>
      </c>
      <c r="E987">
        <v>0</v>
      </c>
      <c r="F987">
        <f t="shared" si="15"/>
        <v>300</v>
      </c>
      <c r="G987">
        <f>YEAR(VLOOKUP(A987,orders!A:D,4,0))</f>
        <v>2014</v>
      </c>
      <c r="H987">
        <f>MONTH(INDEX(orders!D:D,MATCH(A987, orders!A:A,0)))</f>
        <v>8</v>
      </c>
      <c r="I987" t="str">
        <f>VLOOKUP(VLOOKUP(B987,products!A:F,6,0),categories!A:B,2,0)</f>
        <v>Beverages</v>
      </c>
      <c r="J987" t="str">
        <f>VLOOKUP(VLOOKUP(A987,orders!A:B,2,0),customers!A:F,6,0)</f>
        <v>UK</v>
      </c>
      <c r="K987" t="str">
        <f>VLOOKUP(VLOOKUP(A987,orders!A:C,3,0),employees!A:B,2,0)</f>
        <v>Margaret Peacock</v>
      </c>
    </row>
    <row r="988" spans="1:11" x14ac:dyDescent="0.25">
      <c r="A988">
        <v>10621</v>
      </c>
      <c r="B988">
        <v>71</v>
      </c>
      <c r="C988">
        <v>21.5</v>
      </c>
      <c r="D988">
        <v>15</v>
      </c>
      <c r="E988">
        <v>0</v>
      </c>
      <c r="F988">
        <f t="shared" si="15"/>
        <v>322.5</v>
      </c>
      <c r="G988">
        <f>YEAR(VLOOKUP(A988,orders!A:D,4,0))</f>
        <v>2014</v>
      </c>
      <c r="H988">
        <f>MONTH(INDEX(orders!D:D,MATCH(A988, orders!A:A,0)))</f>
        <v>8</v>
      </c>
      <c r="I988" t="str">
        <f>VLOOKUP(VLOOKUP(B988,products!A:F,6,0),categories!A:B,2,0)</f>
        <v>Dairy Products</v>
      </c>
      <c r="J988" t="str">
        <f>VLOOKUP(VLOOKUP(A988,orders!A:B,2,0),customers!A:F,6,0)</f>
        <v>UK</v>
      </c>
      <c r="K988" t="str">
        <f>VLOOKUP(VLOOKUP(A988,orders!A:C,3,0),employees!A:B,2,0)</f>
        <v>Margaret Peacock</v>
      </c>
    </row>
    <row r="989" spans="1:11" x14ac:dyDescent="0.25">
      <c r="A989">
        <v>10622</v>
      </c>
      <c r="B989">
        <v>2</v>
      </c>
      <c r="C989">
        <v>19</v>
      </c>
      <c r="D989">
        <v>20</v>
      </c>
      <c r="E989">
        <v>0</v>
      </c>
      <c r="F989">
        <f t="shared" si="15"/>
        <v>380</v>
      </c>
      <c r="G989">
        <f>YEAR(VLOOKUP(A989,orders!A:D,4,0))</f>
        <v>2014</v>
      </c>
      <c r="H989">
        <f>MONTH(INDEX(orders!D:D,MATCH(A989, orders!A:A,0)))</f>
        <v>8</v>
      </c>
      <c r="I989" t="str">
        <f>VLOOKUP(VLOOKUP(B989,products!A:F,6,0),categories!A:B,2,0)</f>
        <v>Beverages</v>
      </c>
      <c r="J989" t="str">
        <f>VLOOKUP(VLOOKUP(A989,orders!A:B,2,0),customers!A:F,6,0)</f>
        <v>Brazil</v>
      </c>
      <c r="K989" t="str">
        <f>VLOOKUP(VLOOKUP(A989,orders!A:C,3,0),employees!A:B,2,0)</f>
        <v>Margaret Peacock</v>
      </c>
    </row>
    <row r="990" spans="1:11" x14ac:dyDescent="0.25">
      <c r="A990">
        <v>10622</v>
      </c>
      <c r="B990">
        <v>68</v>
      </c>
      <c r="C990">
        <v>12.5</v>
      </c>
      <c r="D990">
        <v>18</v>
      </c>
      <c r="E990">
        <v>0.2</v>
      </c>
      <c r="F990">
        <f t="shared" si="15"/>
        <v>180</v>
      </c>
      <c r="G990">
        <f>YEAR(VLOOKUP(A990,orders!A:D,4,0))</f>
        <v>2014</v>
      </c>
      <c r="H990">
        <f>MONTH(INDEX(orders!D:D,MATCH(A990, orders!A:A,0)))</f>
        <v>8</v>
      </c>
      <c r="I990" t="str">
        <f>VLOOKUP(VLOOKUP(B990,products!A:F,6,0),categories!A:B,2,0)</f>
        <v>Confections</v>
      </c>
      <c r="J990" t="str">
        <f>VLOOKUP(VLOOKUP(A990,orders!A:B,2,0),customers!A:F,6,0)</f>
        <v>Brazil</v>
      </c>
      <c r="K990" t="str">
        <f>VLOOKUP(VLOOKUP(A990,orders!A:C,3,0),employees!A:B,2,0)</f>
        <v>Margaret Peacock</v>
      </c>
    </row>
    <row r="991" spans="1:11" x14ac:dyDescent="0.25">
      <c r="A991">
        <v>10623</v>
      </c>
      <c r="B991">
        <v>14</v>
      </c>
      <c r="C991">
        <v>23.25</v>
      </c>
      <c r="D991">
        <v>21</v>
      </c>
      <c r="E991">
        <v>0</v>
      </c>
      <c r="F991">
        <f t="shared" si="15"/>
        <v>488.25</v>
      </c>
      <c r="G991">
        <f>YEAR(VLOOKUP(A991,orders!A:D,4,0))</f>
        <v>2014</v>
      </c>
      <c r="H991">
        <f>MONTH(INDEX(orders!D:D,MATCH(A991, orders!A:A,0)))</f>
        <v>8</v>
      </c>
      <c r="I991" t="str">
        <f>VLOOKUP(VLOOKUP(B991,products!A:F,6,0),categories!A:B,2,0)</f>
        <v>Produce</v>
      </c>
      <c r="J991" t="str">
        <f>VLOOKUP(VLOOKUP(A991,orders!A:B,2,0),customers!A:F,6,0)</f>
        <v>Germany</v>
      </c>
      <c r="K991" t="str">
        <f>VLOOKUP(VLOOKUP(A991,orders!A:C,3,0),employees!A:B,2,0)</f>
        <v>Laura Callahan</v>
      </c>
    </row>
    <row r="992" spans="1:11" x14ac:dyDescent="0.25">
      <c r="A992">
        <v>10623</v>
      </c>
      <c r="B992">
        <v>19</v>
      </c>
      <c r="C992">
        <v>9.1999999999999993</v>
      </c>
      <c r="D992">
        <v>15</v>
      </c>
      <c r="E992">
        <v>0.1</v>
      </c>
      <c r="F992">
        <f t="shared" si="15"/>
        <v>124.2</v>
      </c>
      <c r="G992">
        <f>YEAR(VLOOKUP(A992,orders!A:D,4,0))</f>
        <v>2014</v>
      </c>
      <c r="H992">
        <f>MONTH(INDEX(orders!D:D,MATCH(A992, orders!A:A,0)))</f>
        <v>8</v>
      </c>
      <c r="I992" t="str">
        <f>VLOOKUP(VLOOKUP(B992,products!A:F,6,0),categories!A:B,2,0)</f>
        <v>Confections</v>
      </c>
      <c r="J992" t="str">
        <f>VLOOKUP(VLOOKUP(A992,orders!A:B,2,0),customers!A:F,6,0)</f>
        <v>Germany</v>
      </c>
      <c r="K992" t="str">
        <f>VLOOKUP(VLOOKUP(A992,orders!A:C,3,0),employees!A:B,2,0)</f>
        <v>Laura Callahan</v>
      </c>
    </row>
    <row r="993" spans="1:11" x14ac:dyDescent="0.25">
      <c r="A993">
        <v>10623</v>
      </c>
      <c r="B993">
        <v>21</v>
      </c>
      <c r="C993">
        <v>10</v>
      </c>
      <c r="D993">
        <v>25</v>
      </c>
      <c r="E993">
        <v>0.1</v>
      </c>
      <c r="F993">
        <f t="shared" si="15"/>
        <v>225</v>
      </c>
      <c r="G993">
        <f>YEAR(VLOOKUP(A993,orders!A:D,4,0))</f>
        <v>2014</v>
      </c>
      <c r="H993">
        <f>MONTH(INDEX(orders!D:D,MATCH(A993, orders!A:A,0)))</f>
        <v>8</v>
      </c>
      <c r="I993" t="str">
        <f>VLOOKUP(VLOOKUP(B993,products!A:F,6,0),categories!A:B,2,0)</f>
        <v>Confections</v>
      </c>
      <c r="J993" t="str">
        <f>VLOOKUP(VLOOKUP(A993,orders!A:B,2,0),customers!A:F,6,0)</f>
        <v>Germany</v>
      </c>
      <c r="K993" t="str">
        <f>VLOOKUP(VLOOKUP(A993,orders!A:C,3,0),employees!A:B,2,0)</f>
        <v>Laura Callahan</v>
      </c>
    </row>
    <row r="994" spans="1:11" x14ac:dyDescent="0.25">
      <c r="A994">
        <v>10623</v>
      </c>
      <c r="B994">
        <v>24</v>
      </c>
      <c r="C994">
        <v>4.5</v>
      </c>
      <c r="D994">
        <v>3</v>
      </c>
      <c r="E994">
        <v>0</v>
      </c>
      <c r="F994">
        <f t="shared" si="15"/>
        <v>13.5</v>
      </c>
      <c r="G994">
        <f>YEAR(VLOOKUP(A994,orders!A:D,4,0))</f>
        <v>2014</v>
      </c>
      <c r="H994">
        <f>MONTH(INDEX(orders!D:D,MATCH(A994, orders!A:A,0)))</f>
        <v>8</v>
      </c>
      <c r="I994" t="str">
        <f>VLOOKUP(VLOOKUP(B994,products!A:F,6,0),categories!A:B,2,0)</f>
        <v>Beverages</v>
      </c>
      <c r="J994" t="str">
        <f>VLOOKUP(VLOOKUP(A994,orders!A:B,2,0),customers!A:F,6,0)</f>
        <v>Germany</v>
      </c>
      <c r="K994" t="str">
        <f>VLOOKUP(VLOOKUP(A994,orders!A:C,3,0),employees!A:B,2,0)</f>
        <v>Laura Callahan</v>
      </c>
    </row>
    <row r="995" spans="1:11" x14ac:dyDescent="0.25">
      <c r="A995">
        <v>10623</v>
      </c>
      <c r="B995">
        <v>35</v>
      </c>
      <c r="C995">
        <v>18</v>
      </c>
      <c r="D995">
        <v>30</v>
      </c>
      <c r="E995">
        <v>0.1</v>
      </c>
      <c r="F995">
        <f t="shared" si="15"/>
        <v>486</v>
      </c>
      <c r="G995">
        <f>YEAR(VLOOKUP(A995,orders!A:D,4,0))</f>
        <v>2014</v>
      </c>
      <c r="H995">
        <f>MONTH(INDEX(orders!D:D,MATCH(A995, orders!A:A,0)))</f>
        <v>8</v>
      </c>
      <c r="I995" t="str">
        <f>VLOOKUP(VLOOKUP(B995,products!A:F,6,0),categories!A:B,2,0)</f>
        <v>Beverages</v>
      </c>
      <c r="J995" t="str">
        <f>VLOOKUP(VLOOKUP(A995,orders!A:B,2,0),customers!A:F,6,0)</f>
        <v>Germany</v>
      </c>
      <c r="K995" t="str">
        <f>VLOOKUP(VLOOKUP(A995,orders!A:C,3,0),employees!A:B,2,0)</f>
        <v>Laura Callahan</v>
      </c>
    </row>
    <row r="996" spans="1:11" x14ac:dyDescent="0.25">
      <c r="A996">
        <v>10624</v>
      </c>
      <c r="B996">
        <v>28</v>
      </c>
      <c r="C996">
        <v>45.6</v>
      </c>
      <c r="D996">
        <v>10</v>
      </c>
      <c r="E996">
        <v>0</v>
      </c>
      <c r="F996">
        <f t="shared" si="15"/>
        <v>456</v>
      </c>
      <c r="G996">
        <f>YEAR(VLOOKUP(A996,orders!A:D,4,0))</f>
        <v>2014</v>
      </c>
      <c r="H996">
        <f>MONTH(INDEX(orders!D:D,MATCH(A996, orders!A:A,0)))</f>
        <v>8</v>
      </c>
      <c r="I996" t="str">
        <f>VLOOKUP(VLOOKUP(B996,products!A:F,6,0),categories!A:B,2,0)</f>
        <v>Produce</v>
      </c>
      <c r="J996" t="str">
        <f>VLOOKUP(VLOOKUP(A996,orders!A:B,2,0),customers!A:F,6,0)</f>
        <v>USA</v>
      </c>
      <c r="K996" t="str">
        <f>VLOOKUP(VLOOKUP(A996,orders!A:C,3,0),employees!A:B,2,0)</f>
        <v>Margaret Peacock</v>
      </c>
    </row>
    <row r="997" spans="1:11" x14ac:dyDescent="0.25">
      <c r="A997">
        <v>10624</v>
      </c>
      <c r="B997">
        <v>29</v>
      </c>
      <c r="C997">
        <v>123.79</v>
      </c>
      <c r="D997">
        <v>6</v>
      </c>
      <c r="E997">
        <v>0</v>
      </c>
      <c r="F997">
        <f t="shared" si="15"/>
        <v>742.74</v>
      </c>
      <c r="G997">
        <f>YEAR(VLOOKUP(A997,orders!A:D,4,0))</f>
        <v>2014</v>
      </c>
      <c r="H997">
        <f>MONTH(INDEX(orders!D:D,MATCH(A997, orders!A:A,0)))</f>
        <v>8</v>
      </c>
      <c r="I997" t="str">
        <f>VLOOKUP(VLOOKUP(B997,products!A:F,6,0),categories!A:B,2,0)</f>
        <v>Meat &amp; Poultry</v>
      </c>
      <c r="J997" t="str">
        <f>VLOOKUP(VLOOKUP(A997,orders!A:B,2,0),customers!A:F,6,0)</f>
        <v>USA</v>
      </c>
      <c r="K997" t="str">
        <f>VLOOKUP(VLOOKUP(A997,orders!A:C,3,0),employees!A:B,2,0)</f>
        <v>Margaret Peacock</v>
      </c>
    </row>
    <row r="998" spans="1:11" x14ac:dyDescent="0.25">
      <c r="A998">
        <v>10624</v>
      </c>
      <c r="B998">
        <v>44</v>
      </c>
      <c r="C998">
        <v>19.45</v>
      </c>
      <c r="D998">
        <v>10</v>
      </c>
      <c r="E998">
        <v>0</v>
      </c>
      <c r="F998">
        <f t="shared" si="15"/>
        <v>194.5</v>
      </c>
      <c r="G998">
        <f>YEAR(VLOOKUP(A998,orders!A:D,4,0))</f>
        <v>2014</v>
      </c>
      <c r="H998">
        <f>MONTH(INDEX(orders!D:D,MATCH(A998, orders!A:A,0)))</f>
        <v>8</v>
      </c>
      <c r="I998" t="str">
        <f>VLOOKUP(VLOOKUP(B998,products!A:F,6,0),categories!A:B,2,0)</f>
        <v>Condiments</v>
      </c>
      <c r="J998" t="str">
        <f>VLOOKUP(VLOOKUP(A998,orders!A:B,2,0),customers!A:F,6,0)</f>
        <v>USA</v>
      </c>
      <c r="K998" t="str">
        <f>VLOOKUP(VLOOKUP(A998,orders!A:C,3,0),employees!A:B,2,0)</f>
        <v>Margaret Peacock</v>
      </c>
    </row>
    <row r="999" spans="1:11" x14ac:dyDescent="0.25">
      <c r="A999">
        <v>10625</v>
      </c>
      <c r="B999">
        <v>14</v>
      </c>
      <c r="C999">
        <v>23.25</v>
      </c>
      <c r="D999">
        <v>3</v>
      </c>
      <c r="E999">
        <v>0</v>
      </c>
      <c r="F999">
        <f t="shared" si="15"/>
        <v>69.75</v>
      </c>
      <c r="G999">
        <f>YEAR(VLOOKUP(A999,orders!A:D,4,0))</f>
        <v>2014</v>
      </c>
      <c r="H999">
        <f>MONTH(INDEX(orders!D:D,MATCH(A999, orders!A:A,0)))</f>
        <v>8</v>
      </c>
      <c r="I999" t="str">
        <f>VLOOKUP(VLOOKUP(B999,products!A:F,6,0),categories!A:B,2,0)</f>
        <v>Produce</v>
      </c>
      <c r="J999" t="str">
        <f>VLOOKUP(VLOOKUP(A999,orders!A:B,2,0),customers!A:F,6,0)</f>
        <v>Mexico</v>
      </c>
      <c r="K999" t="str">
        <f>VLOOKUP(VLOOKUP(A999,orders!A:C,3,0),employees!A:B,2,0)</f>
        <v>Janet Leverling</v>
      </c>
    </row>
    <row r="1000" spans="1:11" x14ac:dyDescent="0.25">
      <c r="A1000">
        <v>10625</v>
      </c>
      <c r="B1000">
        <v>42</v>
      </c>
      <c r="C1000">
        <v>14</v>
      </c>
      <c r="D1000">
        <v>5</v>
      </c>
      <c r="E1000">
        <v>0</v>
      </c>
      <c r="F1000">
        <f t="shared" si="15"/>
        <v>70</v>
      </c>
      <c r="G1000">
        <f>YEAR(VLOOKUP(A1000,orders!A:D,4,0))</f>
        <v>2014</v>
      </c>
      <c r="H1000">
        <f>MONTH(INDEX(orders!D:D,MATCH(A1000, orders!A:A,0)))</f>
        <v>8</v>
      </c>
      <c r="I1000" t="str">
        <f>VLOOKUP(VLOOKUP(B1000,products!A:F,6,0),categories!A:B,2,0)</f>
        <v>Grains &amp; Cereals</v>
      </c>
      <c r="J1000" t="str">
        <f>VLOOKUP(VLOOKUP(A1000,orders!A:B,2,0),customers!A:F,6,0)</f>
        <v>Mexico</v>
      </c>
      <c r="K1000" t="str">
        <f>VLOOKUP(VLOOKUP(A1000,orders!A:C,3,0),employees!A:B,2,0)</f>
        <v>Janet Leverling</v>
      </c>
    </row>
    <row r="1001" spans="1:11" x14ac:dyDescent="0.25">
      <c r="A1001">
        <v>10625</v>
      </c>
      <c r="B1001">
        <v>60</v>
      </c>
      <c r="C1001">
        <v>34</v>
      </c>
      <c r="D1001">
        <v>10</v>
      </c>
      <c r="E1001">
        <v>0</v>
      </c>
      <c r="F1001">
        <f t="shared" si="15"/>
        <v>340</v>
      </c>
      <c r="G1001">
        <f>YEAR(VLOOKUP(A1001,orders!A:D,4,0))</f>
        <v>2014</v>
      </c>
      <c r="H1001">
        <f>MONTH(INDEX(orders!D:D,MATCH(A1001, orders!A:A,0)))</f>
        <v>8</v>
      </c>
      <c r="I1001" t="str">
        <f>VLOOKUP(VLOOKUP(B1001,products!A:F,6,0),categories!A:B,2,0)</f>
        <v>Dairy Products</v>
      </c>
      <c r="J1001" t="str">
        <f>VLOOKUP(VLOOKUP(A1001,orders!A:B,2,0),customers!A:F,6,0)</f>
        <v>Mexico</v>
      </c>
      <c r="K1001" t="str">
        <f>VLOOKUP(VLOOKUP(A1001,orders!A:C,3,0),employees!A:B,2,0)</f>
        <v>Janet Leverling</v>
      </c>
    </row>
    <row r="1002" spans="1:11" x14ac:dyDescent="0.25">
      <c r="A1002">
        <v>10626</v>
      </c>
      <c r="B1002">
        <v>53</v>
      </c>
      <c r="C1002">
        <v>32.799999999999997</v>
      </c>
      <c r="D1002">
        <v>12</v>
      </c>
      <c r="E1002">
        <v>0</v>
      </c>
      <c r="F1002">
        <f t="shared" si="15"/>
        <v>393.59999999999997</v>
      </c>
      <c r="G1002">
        <f>YEAR(VLOOKUP(A1002,orders!A:D,4,0))</f>
        <v>2014</v>
      </c>
      <c r="H1002">
        <f>MONTH(INDEX(orders!D:D,MATCH(A1002, orders!A:A,0)))</f>
        <v>8</v>
      </c>
      <c r="I1002" t="str">
        <f>VLOOKUP(VLOOKUP(B1002,products!A:F,6,0),categories!A:B,2,0)</f>
        <v>Meat &amp; Poultry</v>
      </c>
      <c r="J1002" t="str">
        <f>VLOOKUP(VLOOKUP(A1002,orders!A:B,2,0),customers!A:F,6,0)</f>
        <v>Sweden</v>
      </c>
      <c r="K1002" t="str">
        <f>VLOOKUP(VLOOKUP(A1002,orders!A:C,3,0),employees!A:B,2,0)</f>
        <v>Nancy Davolio</v>
      </c>
    </row>
    <row r="1003" spans="1:11" x14ac:dyDescent="0.25">
      <c r="A1003">
        <v>10626</v>
      </c>
      <c r="B1003">
        <v>60</v>
      </c>
      <c r="C1003">
        <v>34</v>
      </c>
      <c r="D1003">
        <v>20</v>
      </c>
      <c r="E1003">
        <v>0</v>
      </c>
      <c r="F1003">
        <f t="shared" si="15"/>
        <v>680</v>
      </c>
      <c r="G1003">
        <f>YEAR(VLOOKUP(A1003,orders!A:D,4,0))</f>
        <v>2014</v>
      </c>
      <c r="H1003">
        <f>MONTH(INDEX(orders!D:D,MATCH(A1003, orders!A:A,0)))</f>
        <v>8</v>
      </c>
      <c r="I1003" t="str">
        <f>VLOOKUP(VLOOKUP(B1003,products!A:F,6,0),categories!A:B,2,0)</f>
        <v>Dairy Products</v>
      </c>
      <c r="J1003" t="str">
        <f>VLOOKUP(VLOOKUP(A1003,orders!A:B,2,0),customers!A:F,6,0)</f>
        <v>Sweden</v>
      </c>
      <c r="K1003" t="str">
        <f>VLOOKUP(VLOOKUP(A1003,orders!A:C,3,0),employees!A:B,2,0)</f>
        <v>Nancy Davolio</v>
      </c>
    </row>
    <row r="1004" spans="1:11" x14ac:dyDescent="0.25">
      <c r="A1004">
        <v>10626</v>
      </c>
      <c r="B1004">
        <v>71</v>
      </c>
      <c r="C1004">
        <v>21.5</v>
      </c>
      <c r="D1004">
        <v>20</v>
      </c>
      <c r="E1004">
        <v>0</v>
      </c>
      <c r="F1004">
        <f t="shared" si="15"/>
        <v>430</v>
      </c>
      <c r="G1004">
        <f>YEAR(VLOOKUP(A1004,orders!A:D,4,0))</f>
        <v>2014</v>
      </c>
      <c r="H1004">
        <f>MONTH(INDEX(orders!D:D,MATCH(A1004, orders!A:A,0)))</f>
        <v>8</v>
      </c>
      <c r="I1004" t="str">
        <f>VLOOKUP(VLOOKUP(B1004,products!A:F,6,0),categories!A:B,2,0)</f>
        <v>Dairy Products</v>
      </c>
      <c r="J1004" t="str">
        <f>VLOOKUP(VLOOKUP(A1004,orders!A:B,2,0),customers!A:F,6,0)</f>
        <v>Sweden</v>
      </c>
      <c r="K1004" t="str">
        <f>VLOOKUP(VLOOKUP(A1004,orders!A:C,3,0),employees!A:B,2,0)</f>
        <v>Nancy Davolio</v>
      </c>
    </row>
    <row r="1005" spans="1:11" x14ac:dyDescent="0.25">
      <c r="A1005">
        <v>10627</v>
      </c>
      <c r="B1005">
        <v>62</v>
      </c>
      <c r="C1005">
        <v>49.3</v>
      </c>
      <c r="D1005">
        <v>15</v>
      </c>
      <c r="E1005">
        <v>0</v>
      </c>
      <c r="F1005">
        <f t="shared" si="15"/>
        <v>739.5</v>
      </c>
      <c r="G1005">
        <f>YEAR(VLOOKUP(A1005,orders!A:D,4,0))</f>
        <v>2014</v>
      </c>
      <c r="H1005">
        <f>MONTH(INDEX(orders!D:D,MATCH(A1005, orders!A:A,0)))</f>
        <v>8</v>
      </c>
      <c r="I1005" t="str">
        <f>VLOOKUP(VLOOKUP(B1005,products!A:F,6,0),categories!A:B,2,0)</f>
        <v>Confections</v>
      </c>
      <c r="J1005" t="str">
        <f>VLOOKUP(VLOOKUP(A1005,orders!A:B,2,0),customers!A:F,6,0)</f>
        <v>USA</v>
      </c>
      <c r="K1005" t="str">
        <f>VLOOKUP(VLOOKUP(A1005,orders!A:C,3,0),employees!A:B,2,0)</f>
        <v>Laura Callahan</v>
      </c>
    </row>
    <row r="1006" spans="1:11" x14ac:dyDescent="0.25">
      <c r="A1006">
        <v>10627</v>
      </c>
      <c r="B1006">
        <v>73</v>
      </c>
      <c r="C1006">
        <v>15</v>
      </c>
      <c r="D1006">
        <v>35</v>
      </c>
      <c r="E1006">
        <v>0.15</v>
      </c>
      <c r="F1006">
        <f t="shared" si="15"/>
        <v>446.25</v>
      </c>
      <c r="G1006">
        <f>YEAR(VLOOKUP(A1006,orders!A:D,4,0))</f>
        <v>2014</v>
      </c>
      <c r="H1006">
        <f>MONTH(INDEX(orders!D:D,MATCH(A1006, orders!A:A,0)))</f>
        <v>8</v>
      </c>
      <c r="I1006" t="str">
        <f>VLOOKUP(VLOOKUP(B1006,products!A:F,6,0),categories!A:B,2,0)</f>
        <v>Seafood</v>
      </c>
      <c r="J1006" t="str">
        <f>VLOOKUP(VLOOKUP(A1006,orders!A:B,2,0),customers!A:F,6,0)</f>
        <v>USA</v>
      </c>
      <c r="K1006" t="str">
        <f>VLOOKUP(VLOOKUP(A1006,orders!A:C,3,0),employees!A:B,2,0)</f>
        <v>Laura Callahan</v>
      </c>
    </row>
    <row r="1007" spans="1:11" x14ac:dyDescent="0.25">
      <c r="A1007">
        <v>10628</v>
      </c>
      <c r="B1007">
        <v>1</v>
      </c>
      <c r="C1007">
        <v>18</v>
      </c>
      <c r="D1007">
        <v>25</v>
      </c>
      <c r="E1007">
        <v>0</v>
      </c>
      <c r="F1007">
        <f t="shared" si="15"/>
        <v>450</v>
      </c>
      <c r="G1007">
        <f>YEAR(VLOOKUP(A1007,orders!A:D,4,0))</f>
        <v>2014</v>
      </c>
      <c r="H1007">
        <f>MONTH(INDEX(orders!D:D,MATCH(A1007, orders!A:A,0)))</f>
        <v>8</v>
      </c>
      <c r="I1007" t="str">
        <f>VLOOKUP(VLOOKUP(B1007,products!A:F,6,0),categories!A:B,2,0)</f>
        <v>Beverages</v>
      </c>
      <c r="J1007" t="str">
        <f>VLOOKUP(VLOOKUP(A1007,orders!A:B,2,0),customers!A:F,6,0)</f>
        <v>France</v>
      </c>
      <c r="K1007" t="str">
        <f>VLOOKUP(VLOOKUP(A1007,orders!A:C,3,0),employees!A:B,2,0)</f>
        <v>Margaret Peacock</v>
      </c>
    </row>
    <row r="1008" spans="1:11" x14ac:dyDescent="0.25">
      <c r="A1008">
        <v>10629</v>
      </c>
      <c r="B1008">
        <v>29</v>
      </c>
      <c r="C1008">
        <v>123.79</v>
      </c>
      <c r="D1008">
        <v>20</v>
      </c>
      <c r="E1008">
        <v>0</v>
      </c>
      <c r="F1008">
        <f t="shared" si="15"/>
        <v>2475.8000000000002</v>
      </c>
      <c r="G1008">
        <f>YEAR(VLOOKUP(A1008,orders!A:D,4,0))</f>
        <v>2014</v>
      </c>
      <c r="H1008">
        <f>MONTH(INDEX(orders!D:D,MATCH(A1008, orders!A:A,0)))</f>
        <v>8</v>
      </c>
      <c r="I1008" t="str">
        <f>VLOOKUP(VLOOKUP(B1008,products!A:F,6,0),categories!A:B,2,0)</f>
        <v>Meat &amp; Poultry</v>
      </c>
      <c r="J1008" t="str">
        <f>VLOOKUP(VLOOKUP(A1008,orders!A:B,2,0),customers!A:F,6,0)</f>
        <v>Spain</v>
      </c>
      <c r="K1008" t="str">
        <f>VLOOKUP(VLOOKUP(A1008,orders!A:C,3,0),employees!A:B,2,0)</f>
        <v>Margaret Peacock</v>
      </c>
    </row>
    <row r="1009" spans="1:11" x14ac:dyDescent="0.25">
      <c r="A1009">
        <v>10629</v>
      </c>
      <c r="B1009">
        <v>64</v>
      </c>
      <c r="C1009">
        <v>33.25</v>
      </c>
      <c r="D1009">
        <v>9</v>
      </c>
      <c r="E1009">
        <v>0</v>
      </c>
      <c r="F1009">
        <f t="shared" si="15"/>
        <v>299.25</v>
      </c>
      <c r="G1009">
        <f>YEAR(VLOOKUP(A1009,orders!A:D,4,0))</f>
        <v>2014</v>
      </c>
      <c r="H1009">
        <f>MONTH(INDEX(orders!D:D,MATCH(A1009, orders!A:A,0)))</f>
        <v>8</v>
      </c>
      <c r="I1009" t="str">
        <f>VLOOKUP(VLOOKUP(B1009,products!A:F,6,0),categories!A:B,2,0)</f>
        <v>Grains &amp; Cereals</v>
      </c>
      <c r="J1009" t="str">
        <f>VLOOKUP(VLOOKUP(A1009,orders!A:B,2,0),customers!A:F,6,0)</f>
        <v>Spain</v>
      </c>
      <c r="K1009" t="str">
        <f>VLOOKUP(VLOOKUP(A1009,orders!A:C,3,0),employees!A:B,2,0)</f>
        <v>Margaret Peacock</v>
      </c>
    </row>
    <row r="1010" spans="1:11" x14ac:dyDescent="0.25">
      <c r="A1010">
        <v>10630</v>
      </c>
      <c r="B1010">
        <v>55</v>
      </c>
      <c r="C1010">
        <v>24</v>
      </c>
      <c r="D1010">
        <v>12</v>
      </c>
      <c r="E1010">
        <v>0.05</v>
      </c>
      <c r="F1010">
        <f t="shared" si="15"/>
        <v>273.59999999999997</v>
      </c>
      <c r="G1010">
        <f>YEAR(VLOOKUP(A1010,orders!A:D,4,0))</f>
        <v>2014</v>
      </c>
      <c r="H1010">
        <f>MONTH(INDEX(orders!D:D,MATCH(A1010, orders!A:A,0)))</f>
        <v>8</v>
      </c>
      <c r="I1010" t="str">
        <f>VLOOKUP(VLOOKUP(B1010,products!A:F,6,0),categories!A:B,2,0)</f>
        <v>Meat &amp; Poultry</v>
      </c>
      <c r="J1010" t="str">
        <f>VLOOKUP(VLOOKUP(A1010,orders!A:B,2,0),customers!A:F,6,0)</f>
        <v>Germany</v>
      </c>
      <c r="K1010" t="str">
        <f>VLOOKUP(VLOOKUP(A1010,orders!A:C,3,0),employees!A:B,2,0)</f>
        <v>Nancy Davolio</v>
      </c>
    </row>
    <row r="1011" spans="1:11" x14ac:dyDescent="0.25">
      <c r="A1011">
        <v>10630</v>
      </c>
      <c r="B1011">
        <v>76</v>
      </c>
      <c r="C1011">
        <v>18</v>
      </c>
      <c r="D1011">
        <v>35</v>
      </c>
      <c r="E1011">
        <v>0</v>
      </c>
      <c r="F1011">
        <f t="shared" si="15"/>
        <v>630</v>
      </c>
      <c r="G1011">
        <f>YEAR(VLOOKUP(A1011,orders!A:D,4,0))</f>
        <v>2014</v>
      </c>
      <c r="H1011">
        <f>MONTH(INDEX(orders!D:D,MATCH(A1011, orders!A:A,0)))</f>
        <v>8</v>
      </c>
      <c r="I1011" t="str">
        <f>VLOOKUP(VLOOKUP(B1011,products!A:F,6,0),categories!A:B,2,0)</f>
        <v>Beverages</v>
      </c>
      <c r="J1011" t="str">
        <f>VLOOKUP(VLOOKUP(A1011,orders!A:B,2,0),customers!A:F,6,0)</f>
        <v>Germany</v>
      </c>
      <c r="K1011" t="str">
        <f>VLOOKUP(VLOOKUP(A1011,orders!A:C,3,0),employees!A:B,2,0)</f>
        <v>Nancy Davolio</v>
      </c>
    </row>
    <row r="1012" spans="1:11" x14ac:dyDescent="0.25">
      <c r="A1012">
        <v>10631</v>
      </c>
      <c r="B1012">
        <v>75</v>
      </c>
      <c r="C1012">
        <v>7.75</v>
      </c>
      <c r="D1012">
        <v>8</v>
      </c>
      <c r="E1012">
        <v>0.1</v>
      </c>
      <c r="F1012">
        <f t="shared" si="15"/>
        <v>55.800000000000004</v>
      </c>
      <c r="G1012">
        <f>YEAR(VLOOKUP(A1012,orders!A:D,4,0))</f>
        <v>2014</v>
      </c>
      <c r="H1012">
        <f>MONTH(INDEX(orders!D:D,MATCH(A1012, orders!A:A,0)))</f>
        <v>8</v>
      </c>
      <c r="I1012" t="str">
        <f>VLOOKUP(VLOOKUP(B1012,products!A:F,6,0),categories!A:B,2,0)</f>
        <v>Beverages</v>
      </c>
      <c r="J1012" t="str">
        <f>VLOOKUP(VLOOKUP(A1012,orders!A:B,2,0),customers!A:F,6,0)</f>
        <v>France</v>
      </c>
      <c r="K1012" t="str">
        <f>VLOOKUP(VLOOKUP(A1012,orders!A:C,3,0),employees!A:B,2,0)</f>
        <v>Laura Callahan</v>
      </c>
    </row>
    <row r="1013" spans="1:11" x14ac:dyDescent="0.25">
      <c r="A1013">
        <v>10632</v>
      </c>
      <c r="B1013">
        <v>2</v>
      </c>
      <c r="C1013">
        <v>19</v>
      </c>
      <c r="D1013">
        <v>30</v>
      </c>
      <c r="E1013">
        <v>0.05</v>
      </c>
      <c r="F1013">
        <f t="shared" si="15"/>
        <v>541.5</v>
      </c>
      <c r="G1013">
        <f>YEAR(VLOOKUP(A1013,orders!A:D,4,0))</f>
        <v>2014</v>
      </c>
      <c r="H1013">
        <f>MONTH(INDEX(orders!D:D,MATCH(A1013, orders!A:A,0)))</f>
        <v>8</v>
      </c>
      <c r="I1013" t="str">
        <f>VLOOKUP(VLOOKUP(B1013,products!A:F,6,0),categories!A:B,2,0)</f>
        <v>Beverages</v>
      </c>
      <c r="J1013" t="str">
        <f>VLOOKUP(VLOOKUP(A1013,orders!A:B,2,0),customers!A:F,6,0)</f>
        <v>Germany</v>
      </c>
      <c r="K1013" t="str">
        <f>VLOOKUP(VLOOKUP(A1013,orders!A:C,3,0),employees!A:B,2,0)</f>
        <v>Laura Callahan</v>
      </c>
    </row>
    <row r="1014" spans="1:11" x14ac:dyDescent="0.25">
      <c r="A1014">
        <v>10632</v>
      </c>
      <c r="B1014">
        <v>33</v>
      </c>
      <c r="C1014">
        <v>2.5</v>
      </c>
      <c r="D1014">
        <v>20</v>
      </c>
      <c r="E1014">
        <v>0.05</v>
      </c>
      <c r="F1014">
        <f t="shared" si="15"/>
        <v>47.5</v>
      </c>
      <c r="G1014">
        <f>YEAR(VLOOKUP(A1014,orders!A:D,4,0))</f>
        <v>2014</v>
      </c>
      <c r="H1014">
        <f>MONTH(INDEX(orders!D:D,MATCH(A1014, orders!A:A,0)))</f>
        <v>8</v>
      </c>
      <c r="I1014" t="str">
        <f>VLOOKUP(VLOOKUP(B1014,products!A:F,6,0),categories!A:B,2,0)</f>
        <v>Dairy Products</v>
      </c>
      <c r="J1014" t="str">
        <f>VLOOKUP(VLOOKUP(A1014,orders!A:B,2,0),customers!A:F,6,0)</f>
        <v>Germany</v>
      </c>
      <c r="K1014" t="str">
        <f>VLOOKUP(VLOOKUP(A1014,orders!A:C,3,0),employees!A:B,2,0)</f>
        <v>Laura Callahan</v>
      </c>
    </row>
    <row r="1015" spans="1:11" x14ac:dyDescent="0.25">
      <c r="A1015">
        <v>10633</v>
      </c>
      <c r="B1015">
        <v>12</v>
      </c>
      <c r="C1015">
        <v>38</v>
      </c>
      <c r="D1015">
        <v>36</v>
      </c>
      <c r="E1015">
        <v>0.15</v>
      </c>
      <c r="F1015">
        <f t="shared" si="15"/>
        <v>1162.8</v>
      </c>
      <c r="G1015">
        <f>YEAR(VLOOKUP(A1015,orders!A:D,4,0))</f>
        <v>2014</v>
      </c>
      <c r="H1015">
        <f>MONTH(INDEX(orders!D:D,MATCH(A1015, orders!A:A,0)))</f>
        <v>8</v>
      </c>
      <c r="I1015" t="str">
        <f>VLOOKUP(VLOOKUP(B1015,products!A:F,6,0),categories!A:B,2,0)</f>
        <v>Dairy Products</v>
      </c>
      <c r="J1015" t="str">
        <f>VLOOKUP(VLOOKUP(A1015,orders!A:B,2,0),customers!A:F,6,0)</f>
        <v>Austria</v>
      </c>
      <c r="K1015" t="str">
        <f>VLOOKUP(VLOOKUP(A1015,orders!A:C,3,0),employees!A:B,2,0)</f>
        <v>Robert King</v>
      </c>
    </row>
    <row r="1016" spans="1:11" x14ac:dyDescent="0.25">
      <c r="A1016">
        <v>10633</v>
      </c>
      <c r="B1016">
        <v>13</v>
      </c>
      <c r="C1016">
        <v>6</v>
      </c>
      <c r="D1016">
        <v>13</v>
      </c>
      <c r="E1016">
        <v>0.15</v>
      </c>
      <c r="F1016">
        <f t="shared" si="15"/>
        <v>66.3</v>
      </c>
      <c r="G1016">
        <f>YEAR(VLOOKUP(A1016,orders!A:D,4,0))</f>
        <v>2014</v>
      </c>
      <c r="H1016">
        <f>MONTH(INDEX(orders!D:D,MATCH(A1016, orders!A:A,0)))</f>
        <v>8</v>
      </c>
      <c r="I1016" t="str">
        <f>VLOOKUP(VLOOKUP(B1016,products!A:F,6,0),categories!A:B,2,0)</f>
        <v>Seafood</v>
      </c>
      <c r="J1016" t="str">
        <f>VLOOKUP(VLOOKUP(A1016,orders!A:B,2,0),customers!A:F,6,0)</f>
        <v>Austria</v>
      </c>
      <c r="K1016" t="str">
        <f>VLOOKUP(VLOOKUP(A1016,orders!A:C,3,0),employees!A:B,2,0)</f>
        <v>Robert King</v>
      </c>
    </row>
    <row r="1017" spans="1:11" x14ac:dyDescent="0.25">
      <c r="A1017">
        <v>10633</v>
      </c>
      <c r="B1017">
        <v>26</v>
      </c>
      <c r="C1017">
        <v>31.23</v>
      </c>
      <c r="D1017">
        <v>35</v>
      </c>
      <c r="E1017">
        <v>0.15</v>
      </c>
      <c r="F1017">
        <f t="shared" si="15"/>
        <v>929.09249999999997</v>
      </c>
      <c r="G1017">
        <f>YEAR(VLOOKUP(A1017,orders!A:D,4,0))</f>
        <v>2014</v>
      </c>
      <c r="H1017">
        <f>MONTH(INDEX(orders!D:D,MATCH(A1017, orders!A:A,0)))</f>
        <v>8</v>
      </c>
      <c r="I1017" t="str">
        <f>VLOOKUP(VLOOKUP(B1017,products!A:F,6,0),categories!A:B,2,0)</f>
        <v>Confections</v>
      </c>
      <c r="J1017" t="str">
        <f>VLOOKUP(VLOOKUP(A1017,orders!A:B,2,0),customers!A:F,6,0)</f>
        <v>Austria</v>
      </c>
      <c r="K1017" t="str">
        <f>VLOOKUP(VLOOKUP(A1017,orders!A:C,3,0),employees!A:B,2,0)</f>
        <v>Robert King</v>
      </c>
    </row>
    <row r="1018" spans="1:11" x14ac:dyDescent="0.25">
      <c r="A1018">
        <v>10633</v>
      </c>
      <c r="B1018">
        <v>62</v>
      </c>
      <c r="C1018">
        <v>49.3</v>
      </c>
      <c r="D1018">
        <v>80</v>
      </c>
      <c r="E1018">
        <v>0.15</v>
      </c>
      <c r="F1018">
        <f t="shared" si="15"/>
        <v>3352.4</v>
      </c>
      <c r="G1018">
        <f>YEAR(VLOOKUP(A1018,orders!A:D,4,0))</f>
        <v>2014</v>
      </c>
      <c r="H1018">
        <f>MONTH(INDEX(orders!D:D,MATCH(A1018, orders!A:A,0)))</f>
        <v>8</v>
      </c>
      <c r="I1018" t="str">
        <f>VLOOKUP(VLOOKUP(B1018,products!A:F,6,0),categories!A:B,2,0)</f>
        <v>Confections</v>
      </c>
      <c r="J1018" t="str">
        <f>VLOOKUP(VLOOKUP(A1018,orders!A:B,2,0),customers!A:F,6,0)</f>
        <v>Austria</v>
      </c>
      <c r="K1018" t="str">
        <f>VLOOKUP(VLOOKUP(A1018,orders!A:C,3,0),employees!A:B,2,0)</f>
        <v>Robert King</v>
      </c>
    </row>
    <row r="1019" spans="1:11" x14ac:dyDescent="0.25">
      <c r="A1019">
        <v>10634</v>
      </c>
      <c r="B1019">
        <v>7</v>
      </c>
      <c r="C1019">
        <v>30</v>
      </c>
      <c r="D1019">
        <v>35</v>
      </c>
      <c r="E1019">
        <v>0</v>
      </c>
      <c r="F1019">
        <f t="shared" si="15"/>
        <v>1050</v>
      </c>
      <c r="G1019">
        <f>YEAR(VLOOKUP(A1019,orders!A:D,4,0))</f>
        <v>2014</v>
      </c>
      <c r="H1019">
        <f>MONTH(INDEX(orders!D:D,MATCH(A1019, orders!A:A,0)))</f>
        <v>8</v>
      </c>
      <c r="I1019" t="str">
        <f>VLOOKUP(VLOOKUP(B1019,products!A:F,6,0),categories!A:B,2,0)</f>
        <v>Produce</v>
      </c>
      <c r="J1019" t="str">
        <f>VLOOKUP(VLOOKUP(A1019,orders!A:B,2,0),customers!A:F,6,0)</f>
        <v>France</v>
      </c>
      <c r="K1019" t="str">
        <f>VLOOKUP(VLOOKUP(A1019,orders!A:C,3,0),employees!A:B,2,0)</f>
        <v>Margaret Peacock</v>
      </c>
    </row>
    <row r="1020" spans="1:11" x14ac:dyDescent="0.25">
      <c r="A1020">
        <v>10634</v>
      </c>
      <c r="B1020">
        <v>18</v>
      </c>
      <c r="C1020">
        <v>62.5</v>
      </c>
      <c r="D1020">
        <v>50</v>
      </c>
      <c r="E1020">
        <v>0</v>
      </c>
      <c r="F1020">
        <f t="shared" si="15"/>
        <v>3125</v>
      </c>
      <c r="G1020">
        <f>YEAR(VLOOKUP(A1020,orders!A:D,4,0))</f>
        <v>2014</v>
      </c>
      <c r="H1020">
        <f>MONTH(INDEX(orders!D:D,MATCH(A1020, orders!A:A,0)))</f>
        <v>8</v>
      </c>
      <c r="I1020" t="str">
        <f>VLOOKUP(VLOOKUP(B1020,products!A:F,6,0),categories!A:B,2,0)</f>
        <v>Seafood</v>
      </c>
      <c r="J1020" t="str">
        <f>VLOOKUP(VLOOKUP(A1020,orders!A:B,2,0),customers!A:F,6,0)</f>
        <v>France</v>
      </c>
      <c r="K1020" t="str">
        <f>VLOOKUP(VLOOKUP(A1020,orders!A:C,3,0),employees!A:B,2,0)</f>
        <v>Margaret Peacock</v>
      </c>
    </row>
    <row r="1021" spans="1:11" x14ac:dyDescent="0.25">
      <c r="A1021">
        <v>10634</v>
      </c>
      <c r="B1021">
        <v>51</v>
      </c>
      <c r="C1021">
        <v>53</v>
      </c>
      <c r="D1021">
        <v>15</v>
      </c>
      <c r="E1021">
        <v>0</v>
      </c>
      <c r="F1021">
        <f t="shared" si="15"/>
        <v>795</v>
      </c>
      <c r="G1021">
        <f>YEAR(VLOOKUP(A1021,orders!A:D,4,0))</f>
        <v>2014</v>
      </c>
      <c r="H1021">
        <f>MONTH(INDEX(orders!D:D,MATCH(A1021, orders!A:A,0)))</f>
        <v>8</v>
      </c>
      <c r="I1021" t="str">
        <f>VLOOKUP(VLOOKUP(B1021,products!A:F,6,0),categories!A:B,2,0)</f>
        <v>Produce</v>
      </c>
      <c r="J1021" t="str">
        <f>VLOOKUP(VLOOKUP(A1021,orders!A:B,2,0),customers!A:F,6,0)</f>
        <v>France</v>
      </c>
      <c r="K1021" t="str">
        <f>VLOOKUP(VLOOKUP(A1021,orders!A:C,3,0),employees!A:B,2,0)</f>
        <v>Margaret Peacock</v>
      </c>
    </row>
    <row r="1022" spans="1:11" x14ac:dyDescent="0.25">
      <c r="A1022">
        <v>10634</v>
      </c>
      <c r="B1022">
        <v>75</v>
      </c>
      <c r="C1022">
        <v>7.75</v>
      </c>
      <c r="D1022">
        <v>2</v>
      </c>
      <c r="E1022">
        <v>0</v>
      </c>
      <c r="F1022">
        <f t="shared" si="15"/>
        <v>15.5</v>
      </c>
      <c r="G1022">
        <f>YEAR(VLOOKUP(A1022,orders!A:D,4,0))</f>
        <v>2014</v>
      </c>
      <c r="H1022">
        <f>MONTH(INDEX(orders!D:D,MATCH(A1022, orders!A:A,0)))</f>
        <v>8</v>
      </c>
      <c r="I1022" t="str">
        <f>VLOOKUP(VLOOKUP(B1022,products!A:F,6,0),categories!A:B,2,0)</f>
        <v>Beverages</v>
      </c>
      <c r="J1022" t="str">
        <f>VLOOKUP(VLOOKUP(A1022,orders!A:B,2,0),customers!A:F,6,0)</f>
        <v>France</v>
      </c>
      <c r="K1022" t="str">
        <f>VLOOKUP(VLOOKUP(A1022,orders!A:C,3,0),employees!A:B,2,0)</f>
        <v>Margaret Peacock</v>
      </c>
    </row>
    <row r="1023" spans="1:11" x14ac:dyDescent="0.25">
      <c r="A1023">
        <v>10635</v>
      </c>
      <c r="B1023">
        <v>4</v>
      </c>
      <c r="C1023">
        <v>22</v>
      </c>
      <c r="D1023">
        <v>10</v>
      </c>
      <c r="E1023">
        <v>0.1</v>
      </c>
      <c r="F1023">
        <f t="shared" si="15"/>
        <v>198</v>
      </c>
      <c r="G1023">
        <f>YEAR(VLOOKUP(A1023,orders!A:D,4,0))</f>
        <v>2014</v>
      </c>
      <c r="H1023">
        <f>MONTH(INDEX(orders!D:D,MATCH(A1023, orders!A:A,0)))</f>
        <v>8</v>
      </c>
      <c r="I1023" t="str">
        <f>VLOOKUP(VLOOKUP(B1023,products!A:F,6,0),categories!A:B,2,0)</f>
        <v>Condiments</v>
      </c>
      <c r="J1023" t="str">
        <f>VLOOKUP(VLOOKUP(A1023,orders!A:B,2,0),customers!A:F,6,0)</f>
        <v>Italy</v>
      </c>
      <c r="K1023" t="str">
        <f>VLOOKUP(VLOOKUP(A1023,orders!A:C,3,0),employees!A:B,2,0)</f>
        <v>Laura Callahan</v>
      </c>
    </row>
    <row r="1024" spans="1:11" x14ac:dyDescent="0.25">
      <c r="A1024">
        <v>10635</v>
      </c>
      <c r="B1024">
        <v>5</v>
      </c>
      <c r="C1024">
        <v>21.35</v>
      </c>
      <c r="D1024">
        <v>15</v>
      </c>
      <c r="E1024">
        <v>0.1</v>
      </c>
      <c r="F1024">
        <f t="shared" si="15"/>
        <v>288.22500000000002</v>
      </c>
      <c r="G1024">
        <f>YEAR(VLOOKUP(A1024,orders!A:D,4,0))</f>
        <v>2014</v>
      </c>
      <c r="H1024">
        <f>MONTH(INDEX(orders!D:D,MATCH(A1024, orders!A:A,0)))</f>
        <v>8</v>
      </c>
      <c r="I1024" t="str">
        <f>VLOOKUP(VLOOKUP(B1024,products!A:F,6,0),categories!A:B,2,0)</f>
        <v>Condiments</v>
      </c>
      <c r="J1024" t="str">
        <f>VLOOKUP(VLOOKUP(A1024,orders!A:B,2,0),customers!A:F,6,0)</f>
        <v>Italy</v>
      </c>
      <c r="K1024" t="str">
        <f>VLOOKUP(VLOOKUP(A1024,orders!A:C,3,0),employees!A:B,2,0)</f>
        <v>Laura Callahan</v>
      </c>
    </row>
    <row r="1025" spans="1:11" x14ac:dyDescent="0.25">
      <c r="A1025">
        <v>10635</v>
      </c>
      <c r="B1025">
        <v>22</v>
      </c>
      <c r="C1025">
        <v>21</v>
      </c>
      <c r="D1025">
        <v>40</v>
      </c>
      <c r="E1025">
        <v>0</v>
      </c>
      <c r="F1025">
        <f t="shared" si="15"/>
        <v>840</v>
      </c>
      <c r="G1025">
        <f>YEAR(VLOOKUP(A1025,orders!A:D,4,0))</f>
        <v>2014</v>
      </c>
      <c r="H1025">
        <f>MONTH(INDEX(orders!D:D,MATCH(A1025, orders!A:A,0)))</f>
        <v>8</v>
      </c>
      <c r="I1025" t="str">
        <f>VLOOKUP(VLOOKUP(B1025,products!A:F,6,0),categories!A:B,2,0)</f>
        <v>Grains &amp; Cereals</v>
      </c>
      <c r="J1025" t="str">
        <f>VLOOKUP(VLOOKUP(A1025,orders!A:B,2,0),customers!A:F,6,0)</f>
        <v>Italy</v>
      </c>
      <c r="K1025" t="str">
        <f>VLOOKUP(VLOOKUP(A1025,orders!A:C,3,0),employees!A:B,2,0)</f>
        <v>Laura Callahan</v>
      </c>
    </row>
    <row r="1026" spans="1:11" x14ac:dyDescent="0.25">
      <c r="A1026">
        <v>10636</v>
      </c>
      <c r="B1026">
        <v>4</v>
      </c>
      <c r="C1026">
        <v>22</v>
      </c>
      <c r="D1026">
        <v>25</v>
      </c>
      <c r="E1026">
        <v>0</v>
      </c>
      <c r="F1026">
        <f t="shared" si="15"/>
        <v>550</v>
      </c>
      <c r="G1026">
        <f>YEAR(VLOOKUP(A1026,orders!A:D,4,0))</f>
        <v>2014</v>
      </c>
      <c r="H1026">
        <f>MONTH(INDEX(orders!D:D,MATCH(A1026, orders!A:A,0)))</f>
        <v>8</v>
      </c>
      <c r="I1026" t="str">
        <f>VLOOKUP(VLOOKUP(B1026,products!A:F,6,0),categories!A:B,2,0)</f>
        <v>Condiments</v>
      </c>
      <c r="J1026" t="str">
        <f>VLOOKUP(VLOOKUP(A1026,orders!A:B,2,0),customers!A:F,6,0)</f>
        <v>Finland</v>
      </c>
      <c r="K1026" t="str">
        <f>VLOOKUP(VLOOKUP(A1026,orders!A:C,3,0),employees!A:B,2,0)</f>
        <v>Margaret Peacock</v>
      </c>
    </row>
    <row r="1027" spans="1:11" x14ac:dyDescent="0.25">
      <c r="A1027">
        <v>10636</v>
      </c>
      <c r="B1027">
        <v>58</v>
      </c>
      <c r="C1027">
        <v>13.25</v>
      </c>
      <c r="D1027">
        <v>6</v>
      </c>
      <c r="E1027">
        <v>0</v>
      </c>
      <c r="F1027">
        <f t="shared" ref="F1027:F1090" si="16">C1027*D1027*(1-E1027)</f>
        <v>79.5</v>
      </c>
      <c r="G1027">
        <f>YEAR(VLOOKUP(A1027,orders!A:D,4,0))</f>
        <v>2014</v>
      </c>
      <c r="H1027">
        <f>MONTH(INDEX(orders!D:D,MATCH(A1027, orders!A:A,0)))</f>
        <v>8</v>
      </c>
      <c r="I1027" t="str">
        <f>VLOOKUP(VLOOKUP(B1027,products!A:F,6,0),categories!A:B,2,0)</f>
        <v>Seafood</v>
      </c>
      <c r="J1027" t="str">
        <f>VLOOKUP(VLOOKUP(A1027,orders!A:B,2,0),customers!A:F,6,0)</f>
        <v>Finland</v>
      </c>
      <c r="K1027" t="str">
        <f>VLOOKUP(VLOOKUP(A1027,orders!A:C,3,0),employees!A:B,2,0)</f>
        <v>Margaret Peacock</v>
      </c>
    </row>
    <row r="1028" spans="1:11" x14ac:dyDescent="0.25">
      <c r="A1028">
        <v>10637</v>
      </c>
      <c r="B1028">
        <v>11</v>
      </c>
      <c r="C1028">
        <v>21</v>
      </c>
      <c r="D1028">
        <v>10</v>
      </c>
      <c r="E1028">
        <v>0</v>
      </c>
      <c r="F1028">
        <f t="shared" si="16"/>
        <v>210</v>
      </c>
      <c r="G1028">
        <f>YEAR(VLOOKUP(A1028,orders!A:D,4,0))</f>
        <v>2014</v>
      </c>
      <c r="H1028">
        <f>MONTH(INDEX(orders!D:D,MATCH(A1028, orders!A:A,0)))</f>
        <v>8</v>
      </c>
      <c r="I1028" t="str">
        <f>VLOOKUP(VLOOKUP(B1028,products!A:F,6,0),categories!A:B,2,0)</f>
        <v>Dairy Products</v>
      </c>
      <c r="J1028" t="str">
        <f>VLOOKUP(VLOOKUP(A1028,orders!A:B,2,0),customers!A:F,6,0)</f>
        <v>Brazil</v>
      </c>
      <c r="K1028" t="str">
        <f>VLOOKUP(VLOOKUP(A1028,orders!A:C,3,0),employees!A:B,2,0)</f>
        <v>Michael Suyama</v>
      </c>
    </row>
    <row r="1029" spans="1:11" x14ac:dyDescent="0.25">
      <c r="A1029">
        <v>10637</v>
      </c>
      <c r="B1029">
        <v>50</v>
      </c>
      <c r="C1029">
        <v>16.25</v>
      </c>
      <c r="D1029">
        <v>25</v>
      </c>
      <c r="E1029">
        <v>0.05</v>
      </c>
      <c r="F1029">
        <f t="shared" si="16"/>
        <v>385.9375</v>
      </c>
      <c r="G1029">
        <f>YEAR(VLOOKUP(A1029,orders!A:D,4,0))</f>
        <v>2014</v>
      </c>
      <c r="H1029">
        <f>MONTH(INDEX(orders!D:D,MATCH(A1029, orders!A:A,0)))</f>
        <v>8</v>
      </c>
      <c r="I1029" t="str">
        <f>VLOOKUP(VLOOKUP(B1029,products!A:F,6,0),categories!A:B,2,0)</f>
        <v>Confections</v>
      </c>
      <c r="J1029" t="str">
        <f>VLOOKUP(VLOOKUP(A1029,orders!A:B,2,0),customers!A:F,6,0)</f>
        <v>Brazil</v>
      </c>
      <c r="K1029" t="str">
        <f>VLOOKUP(VLOOKUP(A1029,orders!A:C,3,0),employees!A:B,2,0)</f>
        <v>Michael Suyama</v>
      </c>
    </row>
    <row r="1030" spans="1:11" x14ac:dyDescent="0.25">
      <c r="A1030">
        <v>10637</v>
      </c>
      <c r="B1030">
        <v>56</v>
      </c>
      <c r="C1030">
        <v>38</v>
      </c>
      <c r="D1030">
        <v>60</v>
      </c>
      <c r="E1030">
        <v>0.05</v>
      </c>
      <c r="F1030">
        <f t="shared" si="16"/>
        <v>2166</v>
      </c>
      <c r="G1030">
        <f>YEAR(VLOOKUP(A1030,orders!A:D,4,0))</f>
        <v>2014</v>
      </c>
      <c r="H1030">
        <f>MONTH(INDEX(orders!D:D,MATCH(A1030, orders!A:A,0)))</f>
        <v>8</v>
      </c>
      <c r="I1030" t="str">
        <f>VLOOKUP(VLOOKUP(B1030,products!A:F,6,0),categories!A:B,2,0)</f>
        <v>Grains &amp; Cereals</v>
      </c>
      <c r="J1030" t="str">
        <f>VLOOKUP(VLOOKUP(A1030,orders!A:B,2,0),customers!A:F,6,0)</f>
        <v>Brazil</v>
      </c>
      <c r="K1030" t="str">
        <f>VLOOKUP(VLOOKUP(A1030,orders!A:C,3,0),employees!A:B,2,0)</f>
        <v>Michael Suyama</v>
      </c>
    </row>
    <row r="1031" spans="1:11" x14ac:dyDescent="0.25">
      <c r="A1031">
        <v>10638</v>
      </c>
      <c r="B1031">
        <v>45</v>
      </c>
      <c r="C1031">
        <v>9.5</v>
      </c>
      <c r="D1031">
        <v>20</v>
      </c>
      <c r="E1031">
        <v>0</v>
      </c>
      <c r="F1031">
        <f t="shared" si="16"/>
        <v>190</v>
      </c>
      <c r="G1031">
        <f>YEAR(VLOOKUP(A1031,orders!A:D,4,0))</f>
        <v>2014</v>
      </c>
      <c r="H1031">
        <f>MONTH(INDEX(orders!D:D,MATCH(A1031, orders!A:A,0)))</f>
        <v>8</v>
      </c>
      <c r="I1031" t="str">
        <f>VLOOKUP(VLOOKUP(B1031,products!A:F,6,0),categories!A:B,2,0)</f>
        <v>Seafood</v>
      </c>
      <c r="J1031" t="str">
        <f>VLOOKUP(VLOOKUP(A1031,orders!A:B,2,0),customers!A:F,6,0)</f>
        <v>Venezuela</v>
      </c>
      <c r="K1031" t="str">
        <f>VLOOKUP(VLOOKUP(A1031,orders!A:C,3,0),employees!A:B,2,0)</f>
        <v>Janet Leverling</v>
      </c>
    </row>
    <row r="1032" spans="1:11" x14ac:dyDescent="0.25">
      <c r="A1032">
        <v>10638</v>
      </c>
      <c r="B1032">
        <v>65</v>
      </c>
      <c r="C1032">
        <v>21.05</v>
      </c>
      <c r="D1032">
        <v>21</v>
      </c>
      <c r="E1032">
        <v>0</v>
      </c>
      <c r="F1032">
        <f t="shared" si="16"/>
        <v>442.05</v>
      </c>
      <c r="G1032">
        <f>YEAR(VLOOKUP(A1032,orders!A:D,4,0))</f>
        <v>2014</v>
      </c>
      <c r="H1032">
        <f>MONTH(INDEX(orders!D:D,MATCH(A1032, orders!A:A,0)))</f>
        <v>8</v>
      </c>
      <c r="I1032" t="str">
        <f>VLOOKUP(VLOOKUP(B1032,products!A:F,6,0),categories!A:B,2,0)</f>
        <v>Condiments</v>
      </c>
      <c r="J1032" t="str">
        <f>VLOOKUP(VLOOKUP(A1032,orders!A:B,2,0),customers!A:F,6,0)</f>
        <v>Venezuela</v>
      </c>
      <c r="K1032" t="str">
        <f>VLOOKUP(VLOOKUP(A1032,orders!A:C,3,0),employees!A:B,2,0)</f>
        <v>Janet Leverling</v>
      </c>
    </row>
    <row r="1033" spans="1:11" x14ac:dyDescent="0.25">
      <c r="A1033">
        <v>10638</v>
      </c>
      <c r="B1033">
        <v>72</v>
      </c>
      <c r="C1033">
        <v>34.799999999999997</v>
      </c>
      <c r="D1033">
        <v>60</v>
      </c>
      <c r="E1033">
        <v>0</v>
      </c>
      <c r="F1033">
        <f t="shared" si="16"/>
        <v>2088</v>
      </c>
      <c r="G1033">
        <f>YEAR(VLOOKUP(A1033,orders!A:D,4,0))</f>
        <v>2014</v>
      </c>
      <c r="H1033">
        <f>MONTH(INDEX(orders!D:D,MATCH(A1033, orders!A:A,0)))</f>
        <v>8</v>
      </c>
      <c r="I1033" t="str">
        <f>VLOOKUP(VLOOKUP(B1033,products!A:F,6,0),categories!A:B,2,0)</f>
        <v>Dairy Products</v>
      </c>
      <c r="J1033" t="str">
        <f>VLOOKUP(VLOOKUP(A1033,orders!A:B,2,0),customers!A:F,6,0)</f>
        <v>Venezuela</v>
      </c>
      <c r="K1033" t="str">
        <f>VLOOKUP(VLOOKUP(A1033,orders!A:C,3,0),employees!A:B,2,0)</f>
        <v>Janet Leverling</v>
      </c>
    </row>
    <row r="1034" spans="1:11" x14ac:dyDescent="0.25">
      <c r="A1034">
        <v>10639</v>
      </c>
      <c r="B1034">
        <v>18</v>
      </c>
      <c r="C1034">
        <v>62.5</v>
      </c>
      <c r="D1034">
        <v>8</v>
      </c>
      <c r="E1034">
        <v>0</v>
      </c>
      <c r="F1034">
        <f t="shared" si="16"/>
        <v>500</v>
      </c>
      <c r="G1034">
        <f>YEAR(VLOOKUP(A1034,orders!A:D,4,0))</f>
        <v>2014</v>
      </c>
      <c r="H1034">
        <f>MONTH(INDEX(orders!D:D,MATCH(A1034, orders!A:A,0)))</f>
        <v>8</v>
      </c>
      <c r="I1034" t="str">
        <f>VLOOKUP(VLOOKUP(B1034,products!A:F,6,0),categories!A:B,2,0)</f>
        <v>Seafood</v>
      </c>
      <c r="J1034" t="str">
        <f>VLOOKUP(VLOOKUP(A1034,orders!A:B,2,0),customers!A:F,6,0)</f>
        <v>Norway</v>
      </c>
      <c r="K1034" t="str">
        <f>VLOOKUP(VLOOKUP(A1034,orders!A:C,3,0),employees!A:B,2,0)</f>
        <v>Robert King</v>
      </c>
    </row>
    <row r="1035" spans="1:11" x14ac:dyDescent="0.25">
      <c r="A1035">
        <v>10640</v>
      </c>
      <c r="B1035">
        <v>69</v>
      </c>
      <c r="C1035">
        <v>36</v>
      </c>
      <c r="D1035">
        <v>20</v>
      </c>
      <c r="E1035">
        <v>0.25</v>
      </c>
      <c r="F1035">
        <f t="shared" si="16"/>
        <v>540</v>
      </c>
      <c r="G1035">
        <f>YEAR(VLOOKUP(A1035,orders!A:D,4,0))</f>
        <v>2014</v>
      </c>
      <c r="H1035">
        <f>MONTH(INDEX(orders!D:D,MATCH(A1035, orders!A:A,0)))</f>
        <v>8</v>
      </c>
      <c r="I1035" t="str">
        <f>VLOOKUP(VLOOKUP(B1035,products!A:F,6,0),categories!A:B,2,0)</f>
        <v>Dairy Products</v>
      </c>
      <c r="J1035" t="str">
        <f>VLOOKUP(VLOOKUP(A1035,orders!A:B,2,0),customers!A:F,6,0)</f>
        <v>Germany</v>
      </c>
      <c r="K1035" t="str">
        <f>VLOOKUP(VLOOKUP(A1035,orders!A:C,3,0),employees!A:B,2,0)</f>
        <v>Margaret Peacock</v>
      </c>
    </row>
    <row r="1036" spans="1:11" x14ac:dyDescent="0.25">
      <c r="A1036">
        <v>10640</v>
      </c>
      <c r="B1036">
        <v>70</v>
      </c>
      <c r="C1036">
        <v>15</v>
      </c>
      <c r="D1036">
        <v>15</v>
      </c>
      <c r="E1036">
        <v>0.25</v>
      </c>
      <c r="F1036">
        <f t="shared" si="16"/>
        <v>168.75</v>
      </c>
      <c r="G1036">
        <f>YEAR(VLOOKUP(A1036,orders!A:D,4,0))</f>
        <v>2014</v>
      </c>
      <c r="H1036">
        <f>MONTH(INDEX(orders!D:D,MATCH(A1036, orders!A:A,0)))</f>
        <v>8</v>
      </c>
      <c r="I1036" t="str">
        <f>VLOOKUP(VLOOKUP(B1036,products!A:F,6,0),categories!A:B,2,0)</f>
        <v>Beverages</v>
      </c>
      <c r="J1036" t="str">
        <f>VLOOKUP(VLOOKUP(A1036,orders!A:B,2,0),customers!A:F,6,0)</f>
        <v>Germany</v>
      </c>
      <c r="K1036" t="str">
        <f>VLOOKUP(VLOOKUP(A1036,orders!A:C,3,0),employees!A:B,2,0)</f>
        <v>Margaret Peacock</v>
      </c>
    </row>
    <row r="1037" spans="1:11" x14ac:dyDescent="0.25">
      <c r="A1037">
        <v>10641</v>
      </c>
      <c r="B1037">
        <v>2</v>
      </c>
      <c r="C1037">
        <v>19</v>
      </c>
      <c r="D1037">
        <v>50</v>
      </c>
      <c r="E1037">
        <v>0</v>
      </c>
      <c r="F1037">
        <f t="shared" si="16"/>
        <v>950</v>
      </c>
      <c r="G1037">
        <f>YEAR(VLOOKUP(A1037,orders!A:D,4,0))</f>
        <v>2014</v>
      </c>
      <c r="H1037">
        <f>MONTH(INDEX(orders!D:D,MATCH(A1037, orders!A:A,0)))</f>
        <v>8</v>
      </c>
      <c r="I1037" t="str">
        <f>VLOOKUP(VLOOKUP(B1037,products!A:F,6,0),categories!A:B,2,0)</f>
        <v>Beverages</v>
      </c>
      <c r="J1037" t="str">
        <f>VLOOKUP(VLOOKUP(A1037,orders!A:B,2,0),customers!A:F,6,0)</f>
        <v>Venezuela</v>
      </c>
      <c r="K1037" t="str">
        <f>VLOOKUP(VLOOKUP(A1037,orders!A:C,3,0),employees!A:B,2,0)</f>
        <v>Margaret Peacock</v>
      </c>
    </row>
    <row r="1038" spans="1:11" x14ac:dyDescent="0.25">
      <c r="A1038">
        <v>10641</v>
      </c>
      <c r="B1038">
        <v>40</v>
      </c>
      <c r="C1038">
        <v>18.399999999999999</v>
      </c>
      <c r="D1038">
        <v>60</v>
      </c>
      <c r="E1038">
        <v>0</v>
      </c>
      <c r="F1038">
        <f t="shared" si="16"/>
        <v>1104</v>
      </c>
      <c r="G1038">
        <f>YEAR(VLOOKUP(A1038,orders!A:D,4,0))</f>
        <v>2014</v>
      </c>
      <c r="H1038">
        <f>MONTH(INDEX(orders!D:D,MATCH(A1038, orders!A:A,0)))</f>
        <v>8</v>
      </c>
      <c r="I1038" t="str">
        <f>VLOOKUP(VLOOKUP(B1038,products!A:F,6,0),categories!A:B,2,0)</f>
        <v>Seafood</v>
      </c>
      <c r="J1038" t="str">
        <f>VLOOKUP(VLOOKUP(A1038,orders!A:B,2,0),customers!A:F,6,0)</f>
        <v>Venezuela</v>
      </c>
      <c r="K1038" t="str">
        <f>VLOOKUP(VLOOKUP(A1038,orders!A:C,3,0),employees!A:B,2,0)</f>
        <v>Margaret Peacock</v>
      </c>
    </row>
    <row r="1039" spans="1:11" x14ac:dyDescent="0.25">
      <c r="A1039">
        <v>10642</v>
      </c>
      <c r="B1039">
        <v>21</v>
      </c>
      <c r="C1039">
        <v>10</v>
      </c>
      <c r="D1039">
        <v>30</v>
      </c>
      <c r="E1039">
        <v>0.2</v>
      </c>
      <c r="F1039">
        <f t="shared" si="16"/>
        <v>240</v>
      </c>
      <c r="G1039">
        <f>YEAR(VLOOKUP(A1039,orders!A:D,4,0))</f>
        <v>2014</v>
      </c>
      <c r="H1039">
        <f>MONTH(INDEX(orders!D:D,MATCH(A1039, orders!A:A,0)))</f>
        <v>8</v>
      </c>
      <c r="I1039" t="str">
        <f>VLOOKUP(VLOOKUP(B1039,products!A:F,6,0),categories!A:B,2,0)</f>
        <v>Confections</v>
      </c>
      <c r="J1039" t="str">
        <f>VLOOKUP(VLOOKUP(A1039,orders!A:B,2,0),customers!A:F,6,0)</f>
        <v>Denmark</v>
      </c>
      <c r="K1039" t="str">
        <f>VLOOKUP(VLOOKUP(A1039,orders!A:C,3,0),employees!A:B,2,0)</f>
        <v>Robert King</v>
      </c>
    </row>
    <row r="1040" spans="1:11" x14ac:dyDescent="0.25">
      <c r="A1040">
        <v>10642</v>
      </c>
      <c r="B1040">
        <v>61</v>
      </c>
      <c r="C1040">
        <v>28.5</v>
      </c>
      <c r="D1040">
        <v>20</v>
      </c>
      <c r="E1040">
        <v>0.2</v>
      </c>
      <c r="F1040">
        <f t="shared" si="16"/>
        <v>456</v>
      </c>
      <c r="G1040">
        <f>YEAR(VLOOKUP(A1040,orders!A:D,4,0))</f>
        <v>2014</v>
      </c>
      <c r="H1040">
        <f>MONTH(INDEX(orders!D:D,MATCH(A1040, orders!A:A,0)))</f>
        <v>8</v>
      </c>
      <c r="I1040" t="str">
        <f>VLOOKUP(VLOOKUP(B1040,products!A:F,6,0),categories!A:B,2,0)</f>
        <v>Condiments</v>
      </c>
      <c r="J1040" t="str">
        <f>VLOOKUP(VLOOKUP(A1040,orders!A:B,2,0),customers!A:F,6,0)</f>
        <v>Denmark</v>
      </c>
      <c r="K1040" t="str">
        <f>VLOOKUP(VLOOKUP(A1040,orders!A:C,3,0),employees!A:B,2,0)</f>
        <v>Robert King</v>
      </c>
    </row>
    <row r="1041" spans="1:11" x14ac:dyDescent="0.25">
      <c r="A1041">
        <v>10643</v>
      </c>
      <c r="B1041">
        <v>28</v>
      </c>
      <c r="C1041">
        <v>45.6</v>
      </c>
      <c r="D1041">
        <v>15</v>
      </c>
      <c r="E1041">
        <v>0.25</v>
      </c>
      <c r="F1041">
        <f t="shared" si="16"/>
        <v>513</v>
      </c>
      <c r="G1041">
        <f>YEAR(VLOOKUP(A1041,orders!A:D,4,0))</f>
        <v>2014</v>
      </c>
      <c r="H1041">
        <f>MONTH(INDEX(orders!D:D,MATCH(A1041, orders!A:A,0)))</f>
        <v>8</v>
      </c>
      <c r="I1041" t="str">
        <f>VLOOKUP(VLOOKUP(B1041,products!A:F,6,0),categories!A:B,2,0)</f>
        <v>Produce</v>
      </c>
      <c r="J1041" t="str">
        <f>VLOOKUP(VLOOKUP(A1041,orders!A:B,2,0),customers!A:F,6,0)</f>
        <v>Germany</v>
      </c>
      <c r="K1041" t="str">
        <f>VLOOKUP(VLOOKUP(A1041,orders!A:C,3,0),employees!A:B,2,0)</f>
        <v>Michael Suyama</v>
      </c>
    </row>
    <row r="1042" spans="1:11" x14ac:dyDescent="0.25">
      <c r="A1042">
        <v>10643</v>
      </c>
      <c r="B1042">
        <v>39</v>
      </c>
      <c r="C1042">
        <v>18</v>
      </c>
      <c r="D1042">
        <v>21</v>
      </c>
      <c r="E1042">
        <v>0.25</v>
      </c>
      <c r="F1042">
        <f t="shared" si="16"/>
        <v>283.5</v>
      </c>
      <c r="G1042">
        <f>YEAR(VLOOKUP(A1042,orders!A:D,4,0))</f>
        <v>2014</v>
      </c>
      <c r="H1042">
        <f>MONTH(INDEX(orders!D:D,MATCH(A1042, orders!A:A,0)))</f>
        <v>8</v>
      </c>
      <c r="I1042" t="str">
        <f>VLOOKUP(VLOOKUP(B1042,products!A:F,6,0),categories!A:B,2,0)</f>
        <v>Beverages</v>
      </c>
      <c r="J1042" t="str">
        <f>VLOOKUP(VLOOKUP(A1042,orders!A:B,2,0),customers!A:F,6,0)</f>
        <v>Germany</v>
      </c>
      <c r="K1042" t="str">
        <f>VLOOKUP(VLOOKUP(A1042,orders!A:C,3,0),employees!A:B,2,0)</f>
        <v>Michael Suyama</v>
      </c>
    </row>
    <row r="1043" spans="1:11" x14ac:dyDescent="0.25">
      <c r="A1043">
        <v>10643</v>
      </c>
      <c r="B1043">
        <v>46</v>
      </c>
      <c r="C1043">
        <v>12</v>
      </c>
      <c r="D1043">
        <v>2</v>
      </c>
      <c r="E1043">
        <v>0.25</v>
      </c>
      <c r="F1043">
        <f t="shared" si="16"/>
        <v>18</v>
      </c>
      <c r="G1043">
        <f>YEAR(VLOOKUP(A1043,orders!A:D,4,0))</f>
        <v>2014</v>
      </c>
      <c r="H1043">
        <f>MONTH(INDEX(orders!D:D,MATCH(A1043, orders!A:A,0)))</f>
        <v>8</v>
      </c>
      <c r="I1043" t="str">
        <f>VLOOKUP(VLOOKUP(B1043,products!A:F,6,0),categories!A:B,2,0)</f>
        <v>Seafood</v>
      </c>
      <c r="J1043" t="str">
        <f>VLOOKUP(VLOOKUP(A1043,orders!A:B,2,0),customers!A:F,6,0)</f>
        <v>Germany</v>
      </c>
      <c r="K1043" t="str">
        <f>VLOOKUP(VLOOKUP(A1043,orders!A:C,3,0),employees!A:B,2,0)</f>
        <v>Michael Suyama</v>
      </c>
    </row>
    <row r="1044" spans="1:11" x14ac:dyDescent="0.25">
      <c r="A1044">
        <v>10644</v>
      </c>
      <c r="B1044">
        <v>18</v>
      </c>
      <c r="C1044">
        <v>62.5</v>
      </c>
      <c r="D1044">
        <v>4</v>
      </c>
      <c r="E1044">
        <v>0.1</v>
      </c>
      <c r="F1044">
        <f t="shared" si="16"/>
        <v>225</v>
      </c>
      <c r="G1044">
        <f>YEAR(VLOOKUP(A1044,orders!A:D,4,0))</f>
        <v>2014</v>
      </c>
      <c r="H1044">
        <f>MONTH(INDEX(orders!D:D,MATCH(A1044, orders!A:A,0)))</f>
        <v>8</v>
      </c>
      <c r="I1044" t="str">
        <f>VLOOKUP(VLOOKUP(B1044,products!A:F,6,0),categories!A:B,2,0)</f>
        <v>Seafood</v>
      </c>
      <c r="J1044" t="str">
        <f>VLOOKUP(VLOOKUP(A1044,orders!A:B,2,0),customers!A:F,6,0)</f>
        <v>Brazil</v>
      </c>
      <c r="K1044" t="str">
        <f>VLOOKUP(VLOOKUP(A1044,orders!A:C,3,0),employees!A:B,2,0)</f>
        <v>Janet Leverling</v>
      </c>
    </row>
    <row r="1045" spans="1:11" x14ac:dyDescent="0.25">
      <c r="A1045">
        <v>10644</v>
      </c>
      <c r="B1045">
        <v>43</v>
      </c>
      <c r="C1045">
        <v>46</v>
      </c>
      <c r="D1045">
        <v>20</v>
      </c>
      <c r="E1045">
        <v>0</v>
      </c>
      <c r="F1045">
        <f t="shared" si="16"/>
        <v>920</v>
      </c>
      <c r="G1045">
        <f>YEAR(VLOOKUP(A1045,orders!A:D,4,0))</f>
        <v>2014</v>
      </c>
      <c r="H1045">
        <f>MONTH(INDEX(orders!D:D,MATCH(A1045, orders!A:A,0)))</f>
        <v>8</v>
      </c>
      <c r="I1045" t="str">
        <f>VLOOKUP(VLOOKUP(B1045,products!A:F,6,0),categories!A:B,2,0)</f>
        <v>Beverages</v>
      </c>
      <c r="J1045" t="str">
        <f>VLOOKUP(VLOOKUP(A1045,orders!A:B,2,0),customers!A:F,6,0)</f>
        <v>Brazil</v>
      </c>
      <c r="K1045" t="str">
        <f>VLOOKUP(VLOOKUP(A1045,orders!A:C,3,0),employees!A:B,2,0)</f>
        <v>Janet Leverling</v>
      </c>
    </row>
    <row r="1046" spans="1:11" x14ac:dyDescent="0.25">
      <c r="A1046">
        <v>10644</v>
      </c>
      <c r="B1046">
        <v>46</v>
      </c>
      <c r="C1046">
        <v>12</v>
      </c>
      <c r="D1046">
        <v>21</v>
      </c>
      <c r="E1046">
        <v>0.1</v>
      </c>
      <c r="F1046">
        <f t="shared" si="16"/>
        <v>226.8</v>
      </c>
      <c r="G1046">
        <f>YEAR(VLOOKUP(A1046,orders!A:D,4,0))</f>
        <v>2014</v>
      </c>
      <c r="H1046">
        <f>MONTH(INDEX(orders!D:D,MATCH(A1046, orders!A:A,0)))</f>
        <v>8</v>
      </c>
      <c r="I1046" t="str">
        <f>VLOOKUP(VLOOKUP(B1046,products!A:F,6,0),categories!A:B,2,0)</f>
        <v>Seafood</v>
      </c>
      <c r="J1046" t="str">
        <f>VLOOKUP(VLOOKUP(A1046,orders!A:B,2,0),customers!A:F,6,0)</f>
        <v>Brazil</v>
      </c>
      <c r="K1046" t="str">
        <f>VLOOKUP(VLOOKUP(A1046,orders!A:C,3,0),employees!A:B,2,0)</f>
        <v>Janet Leverling</v>
      </c>
    </row>
    <row r="1047" spans="1:11" x14ac:dyDescent="0.25">
      <c r="A1047">
        <v>10645</v>
      </c>
      <c r="B1047">
        <v>18</v>
      </c>
      <c r="C1047">
        <v>62.5</v>
      </c>
      <c r="D1047">
        <v>20</v>
      </c>
      <c r="E1047">
        <v>0</v>
      </c>
      <c r="F1047">
        <f t="shared" si="16"/>
        <v>1250</v>
      </c>
      <c r="G1047">
        <f>YEAR(VLOOKUP(A1047,orders!A:D,4,0))</f>
        <v>2014</v>
      </c>
      <c r="H1047">
        <f>MONTH(INDEX(orders!D:D,MATCH(A1047, orders!A:A,0)))</f>
        <v>8</v>
      </c>
      <c r="I1047" t="str">
        <f>VLOOKUP(VLOOKUP(B1047,products!A:F,6,0),categories!A:B,2,0)</f>
        <v>Seafood</v>
      </c>
      <c r="J1047" t="str">
        <f>VLOOKUP(VLOOKUP(A1047,orders!A:B,2,0),customers!A:F,6,0)</f>
        <v>Brazil</v>
      </c>
      <c r="K1047" t="str">
        <f>VLOOKUP(VLOOKUP(A1047,orders!A:C,3,0),employees!A:B,2,0)</f>
        <v>Margaret Peacock</v>
      </c>
    </row>
    <row r="1048" spans="1:11" x14ac:dyDescent="0.25">
      <c r="A1048">
        <v>10645</v>
      </c>
      <c r="B1048">
        <v>36</v>
      </c>
      <c r="C1048">
        <v>19</v>
      </c>
      <c r="D1048">
        <v>15</v>
      </c>
      <c r="E1048">
        <v>0</v>
      </c>
      <c r="F1048">
        <f t="shared" si="16"/>
        <v>285</v>
      </c>
      <c r="G1048">
        <f>YEAR(VLOOKUP(A1048,orders!A:D,4,0))</f>
        <v>2014</v>
      </c>
      <c r="H1048">
        <f>MONTH(INDEX(orders!D:D,MATCH(A1048, orders!A:A,0)))</f>
        <v>8</v>
      </c>
      <c r="I1048" t="str">
        <f>VLOOKUP(VLOOKUP(B1048,products!A:F,6,0),categories!A:B,2,0)</f>
        <v>Seafood</v>
      </c>
      <c r="J1048" t="str">
        <f>VLOOKUP(VLOOKUP(A1048,orders!A:B,2,0),customers!A:F,6,0)</f>
        <v>Brazil</v>
      </c>
      <c r="K1048" t="str">
        <f>VLOOKUP(VLOOKUP(A1048,orders!A:C,3,0),employees!A:B,2,0)</f>
        <v>Margaret Peacock</v>
      </c>
    </row>
    <row r="1049" spans="1:11" x14ac:dyDescent="0.25">
      <c r="A1049">
        <v>10646</v>
      </c>
      <c r="B1049">
        <v>1</v>
      </c>
      <c r="C1049">
        <v>18</v>
      </c>
      <c r="D1049">
        <v>15</v>
      </c>
      <c r="E1049">
        <v>0.25</v>
      </c>
      <c r="F1049">
        <f t="shared" si="16"/>
        <v>202.5</v>
      </c>
      <c r="G1049">
        <f>YEAR(VLOOKUP(A1049,orders!A:D,4,0))</f>
        <v>2014</v>
      </c>
      <c r="H1049">
        <f>MONTH(INDEX(orders!D:D,MATCH(A1049, orders!A:A,0)))</f>
        <v>8</v>
      </c>
      <c r="I1049" t="str">
        <f>VLOOKUP(VLOOKUP(B1049,products!A:F,6,0),categories!A:B,2,0)</f>
        <v>Beverages</v>
      </c>
      <c r="J1049" t="str">
        <f>VLOOKUP(VLOOKUP(A1049,orders!A:B,2,0),customers!A:F,6,0)</f>
        <v>Ireland</v>
      </c>
      <c r="K1049" t="str">
        <f>VLOOKUP(VLOOKUP(A1049,orders!A:C,3,0),employees!A:B,2,0)</f>
        <v>Anne Dodsworth</v>
      </c>
    </row>
    <row r="1050" spans="1:11" x14ac:dyDescent="0.25">
      <c r="A1050">
        <v>10646</v>
      </c>
      <c r="B1050">
        <v>10</v>
      </c>
      <c r="C1050">
        <v>31</v>
      </c>
      <c r="D1050">
        <v>18</v>
      </c>
      <c r="E1050">
        <v>0.25</v>
      </c>
      <c r="F1050">
        <f t="shared" si="16"/>
        <v>418.5</v>
      </c>
      <c r="G1050">
        <f>YEAR(VLOOKUP(A1050,orders!A:D,4,0))</f>
        <v>2014</v>
      </c>
      <c r="H1050">
        <f>MONTH(INDEX(orders!D:D,MATCH(A1050, orders!A:A,0)))</f>
        <v>8</v>
      </c>
      <c r="I1050" t="str">
        <f>VLOOKUP(VLOOKUP(B1050,products!A:F,6,0),categories!A:B,2,0)</f>
        <v>Seafood</v>
      </c>
      <c r="J1050" t="str">
        <f>VLOOKUP(VLOOKUP(A1050,orders!A:B,2,0),customers!A:F,6,0)</f>
        <v>Ireland</v>
      </c>
      <c r="K1050" t="str">
        <f>VLOOKUP(VLOOKUP(A1050,orders!A:C,3,0),employees!A:B,2,0)</f>
        <v>Anne Dodsworth</v>
      </c>
    </row>
    <row r="1051" spans="1:11" x14ac:dyDescent="0.25">
      <c r="A1051">
        <v>10646</v>
      </c>
      <c r="B1051">
        <v>71</v>
      </c>
      <c r="C1051">
        <v>21.5</v>
      </c>
      <c r="D1051">
        <v>30</v>
      </c>
      <c r="E1051">
        <v>0.25</v>
      </c>
      <c r="F1051">
        <f t="shared" si="16"/>
        <v>483.75</v>
      </c>
      <c r="G1051">
        <f>YEAR(VLOOKUP(A1051,orders!A:D,4,0))</f>
        <v>2014</v>
      </c>
      <c r="H1051">
        <f>MONTH(INDEX(orders!D:D,MATCH(A1051, orders!A:A,0)))</f>
        <v>8</v>
      </c>
      <c r="I1051" t="str">
        <f>VLOOKUP(VLOOKUP(B1051,products!A:F,6,0),categories!A:B,2,0)</f>
        <v>Dairy Products</v>
      </c>
      <c r="J1051" t="str">
        <f>VLOOKUP(VLOOKUP(A1051,orders!A:B,2,0),customers!A:F,6,0)</f>
        <v>Ireland</v>
      </c>
      <c r="K1051" t="str">
        <f>VLOOKUP(VLOOKUP(A1051,orders!A:C,3,0),employees!A:B,2,0)</f>
        <v>Anne Dodsworth</v>
      </c>
    </row>
    <row r="1052" spans="1:11" x14ac:dyDescent="0.25">
      <c r="A1052">
        <v>10646</v>
      </c>
      <c r="B1052">
        <v>77</v>
      </c>
      <c r="C1052">
        <v>13</v>
      </c>
      <c r="D1052">
        <v>35</v>
      </c>
      <c r="E1052">
        <v>0.25</v>
      </c>
      <c r="F1052">
        <f t="shared" si="16"/>
        <v>341.25</v>
      </c>
      <c r="G1052">
        <f>YEAR(VLOOKUP(A1052,orders!A:D,4,0))</f>
        <v>2014</v>
      </c>
      <c r="H1052">
        <f>MONTH(INDEX(orders!D:D,MATCH(A1052, orders!A:A,0)))</f>
        <v>8</v>
      </c>
      <c r="I1052" t="str">
        <f>VLOOKUP(VLOOKUP(B1052,products!A:F,6,0),categories!A:B,2,0)</f>
        <v>Condiments</v>
      </c>
      <c r="J1052" t="str">
        <f>VLOOKUP(VLOOKUP(A1052,orders!A:B,2,0),customers!A:F,6,0)</f>
        <v>Ireland</v>
      </c>
      <c r="K1052" t="str">
        <f>VLOOKUP(VLOOKUP(A1052,orders!A:C,3,0),employees!A:B,2,0)</f>
        <v>Anne Dodsworth</v>
      </c>
    </row>
    <row r="1053" spans="1:11" x14ac:dyDescent="0.25">
      <c r="A1053">
        <v>10647</v>
      </c>
      <c r="B1053">
        <v>19</v>
      </c>
      <c r="C1053">
        <v>9.1999999999999993</v>
      </c>
      <c r="D1053">
        <v>30</v>
      </c>
      <c r="E1053">
        <v>0</v>
      </c>
      <c r="F1053">
        <f t="shared" si="16"/>
        <v>276</v>
      </c>
      <c r="G1053">
        <f>YEAR(VLOOKUP(A1053,orders!A:D,4,0))</f>
        <v>2014</v>
      </c>
      <c r="H1053">
        <f>MONTH(INDEX(orders!D:D,MATCH(A1053, orders!A:A,0)))</f>
        <v>8</v>
      </c>
      <c r="I1053" t="str">
        <f>VLOOKUP(VLOOKUP(B1053,products!A:F,6,0),categories!A:B,2,0)</f>
        <v>Confections</v>
      </c>
      <c r="J1053" t="str">
        <f>VLOOKUP(VLOOKUP(A1053,orders!A:B,2,0),customers!A:F,6,0)</f>
        <v>Brazil</v>
      </c>
      <c r="K1053" t="str">
        <f>VLOOKUP(VLOOKUP(A1053,orders!A:C,3,0),employees!A:B,2,0)</f>
        <v>Margaret Peacock</v>
      </c>
    </row>
    <row r="1054" spans="1:11" x14ac:dyDescent="0.25">
      <c r="A1054">
        <v>10647</v>
      </c>
      <c r="B1054">
        <v>39</v>
      </c>
      <c r="C1054">
        <v>18</v>
      </c>
      <c r="D1054">
        <v>20</v>
      </c>
      <c r="E1054">
        <v>0</v>
      </c>
      <c r="F1054">
        <f t="shared" si="16"/>
        <v>360</v>
      </c>
      <c r="G1054">
        <f>YEAR(VLOOKUP(A1054,orders!A:D,4,0))</f>
        <v>2014</v>
      </c>
      <c r="H1054">
        <f>MONTH(INDEX(orders!D:D,MATCH(A1054, orders!A:A,0)))</f>
        <v>8</v>
      </c>
      <c r="I1054" t="str">
        <f>VLOOKUP(VLOOKUP(B1054,products!A:F,6,0),categories!A:B,2,0)</f>
        <v>Beverages</v>
      </c>
      <c r="J1054" t="str">
        <f>VLOOKUP(VLOOKUP(A1054,orders!A:B,2,0),customers!A:F,6,0)</f>
        <v>Brazil</v>
      </c>
      <c r="K1054" t="str">
        <f>VLOOKUP(VLOOKUP(A1054,orders!A:C,3,0),employees!A:B,2,0)</f>
        <v>Margaret Peacock</v>
      </c>
    </row>
    <row r="1055" spans="1:11" x14ac:dyDescent="0.25">
      <c r="A1055">
        <v>10648</v>
      </c>
      <c r="B1055">
        <v>22</v>
      </c>
      <c r="C1055">
        <v>21</v>
      </c>
      <c r="D1055">
        <v>15</v>
      </c>
      <c r="E1055">
        <v>0</v>
      </c>
      <c r="F1055">
        <f t="shared" si="16"/>
        <v>315</v>
      </c>
      <c r="G1055">
        <f>YEAR(VLOOKUP(A1055,orders!A:D,4,0))</f>
        <v>2014</v>
      </c>
      <c r="H1055">
        <f>MONTH(INDEX(orders!D:D,MATCH(A1055, orders!A:A,0)))</f>
        <v>8</v>
      </c>
      <c r="I1055" t="str">
        <f>VLOOKUP(VLOOKUP(B1055,products!A:F,6,0),categories!A:B,2,0)</f>
        <v>Grains &amp; Cereals</v>
      </c>
      <c r="J1055" t="str">
        <f>VLOOKUP(VLOOKUP(A1055,orders!A:B,2,0),customers!A:F,6,0)</f>
        <v>Brazil</v>
      </c>
      <c r="K1055" t="str">
        <f>VLOOKUP(VLOOKUP(A1055,orders!A:C,3,0),employees!A:B,2,0)</f>
        <v>Steven Buchanan</v>
      </c>
    </row>
    <row r="1056" spans="1:11" x14ac:dyDescent="0.25">
      <c r="A1056">
        <v>10648</v>
      </c>
      <c r="B1056">
        <v>24</v>
      </c>
      <c r="C1056">
        <v>4.5</v>
      </c>
      <c r="D1056">
        <v>15</v>
      </c>
      <c r="E1056">
        <v>0.15</v>
      </c>
      <c r="F1056">
        <f t="shared" si="16"/>
        <v>57.375</v>
      </c>
      <c r="G1056">
        <f>YEAR(VLOOKUP(A1056,orders!A:D,4,0))</f>
        <v>2014</v>
      </c>
      <c r="H1056">
        <f>MONTH(INDEX(orders!D:D,MATCH(A1056, orders!A:A,0)))</f>
        <v>8</v>
      </c>
      <c r="I1056" t="str">
        <f>VLOOKUP(VLOOKUP(B1056,products!A:F,6,0),categories!A:B,2,0)</f>
        <v>Beverages</v>
      </c>
      <c r="J1056" t="str">
        <f>VLOOKUP(VLOOKUP(A1056,orders!A:B,2,0),customers!A:F,6,0)</f>
        <v>Brazil</v>
      </c>
      <c r="K1056" t="str">
        <f>VLOOKUP(VLOOKUP(A1056,orders!A:C,3,0),employees!A:B,2,0)</f>
        <v>Steven Buchanan</v>
      </c>
    </row>
    <row r="1057" spans="1:11" x14ac:dyDescent="0.25">
      <c r="A1057">
        <v>10649</v>
      </c>
      <c r="B1057">
        <v>28</v>
      </c>
      <c r="C1057">
        <v>45.6</v>
      </c>
      <c r="D1057">
        <v>20</v>
      </c>
      <c r="E1057">
        <v>0</v>
      </c>
      <c r="F1057">
        <f t="shared" si="16"/>
        <v>912</v>
      </c>
      <c r="G1057">
        <f>YEAR(VLOOKUP(A1057,orders!A:D,4,0))</f>
        <v>2014</v>
      </c>
      <c r="H1057">
        <f>MONTH(INDEX(orders!D:D,MATCH(A1057, orders!A:A,0)))</f>
        <v>8</v>
      </c>
      <c r="I1057" t="str">
        <f>VLOOKUP(VLOOKUP(B1057,products!A:F,6,0),categories!A:B,2,0)</f>
        <v>Produce</v>
      </c>
      <c r="J1057" t="str">
        <f>VLOOKUP(VLOOKUP(A1057,orders!A:B,2,0),customers!A:F,6,0)</f>
        <v>Belgium</v>
      </c>
      <c r="K1057" t="str">
        <f>VLOOKUP(VLOOKUP(A1057,orders!A:C,3,0),employees!A:B,2,0)</f>
        <v>Steven Buchanan</v>
      </c>
    </row>
    <row r="1058" spans="1:11" x14ac:dyDescent="0.25">
      <c r="A1058">
        <v>10649</v>
      </c>
      <c r="B1058">
        <v>72</v>
      </c>
      <c r="C1058">
        <v>34.799999999999997</v>
      </c>
      <c r="D1058">
        <v>15</v>
      </c>
      <c r="E1058">
        <v>0</v>
      </c>
      <c r="F1058">
        <f t="shared" si="16"/>
        <v>522</v>
      </c>
      <c r="G1058">
        <f>YEAR(VLOOKUP(A1058,orders!A:D,4,0))</f>
        <v>2014</v>
      </c>
      <c r="H1058">
        <f>MONTH(INDEX(orders!D:D,MATCH(A1058, orders!A:A,0)))</f>
        <v>8</v>
      </c>
      <c r="I1058" t="str">
        <f>VLOOKUP(VLOOKUP(B1058,products!A:F,6,0),categories!A:B,2,0)</f>
        <v>Dairy Products</v>
      </c>
      <c r="J1058" t="str">
        <f>VLOOKUP(VLOOKUP(A1058,orders!A:B,2,0),customers!A:F,6,0)</f>
        <v>Belgium</v>
      </c>
      <c r="K1058" t="str">
        <f>VLOOKUP(VLOOKUP(A1058,orders!A:C,3,0),employees!A:B,2,0)</f>
        <v>Steven Buchanan</v>
      </c>
    </row>
    <row r="1059" spans="1:11" x14ac:dyDescent="0.25">
      <c r="A1059">
        <v>10650</v>
      </c>
      <c r="B1059">
        <v>30</v>
      </c>
      <c r="C1059">
        <v>25.89</v>
      </c>
      <c r="D1059">
        <v>30</v>
      </c>
      <c r="E1059">
        <v>0</v>
      </c>
      <c r="F1059">
        <f t="shared" si="16"/>
        <v>776.7</v>
      </c>
      <c r="G1059">
        <f>YEAR(VLOOKUP(A1059,orders!A:D,4,0))</f>
        <v>2014</v>
      </c>
      <c r="H1059">
        <f>MONTH(INDEX(orders!D:D,MATCH(A1059, orders!A:A,0)))</f>
        <v>8</v>
      </c>
      <c r="I1059" t="str">
        <f>VLOOKUP(VLOOKUP(B1059,products!A:F,6,0),categories!A:B,2,0)</f>
        <v>Seafood</v>
      </c>
      <c r="J1059" t="str">
        <f>VLOOKUP(VLOOKUP(A1059,orders!A:B,2,0),customers!A:F,6,0)</f>
        <v>Brazil</v>
      </c>
      <c r="K1059" t="str">
        <f>VLOOKUP(VLOOKUP(A1059,orders!A:C,3,0),employees!A:B,2,0)</f>
        <v>Steven Buchanan</v>
      </c>
    </row>
    <row r="1060" spans="1:11" x14ac:dyDescent="0.25">
      <c r="A1060">
        <v>10650</v>
      </c>
      <c r="B1060">
        <v>53</v>
      </c>
      <c r="C1060">
        <v>32.799999999999997</v>
      </c>
      <c r="D1060">
        <v>25</v>
      </c>
      <c r="E1060">
        <v>0.05</v>
      </c>
      <c r="F1060">
        <f t="shared" si="16"/>
        <v>778.99999999999989</v>
      </c>
      <c r="G1060">
        <f>YEAR(VLOOKUP(A1060,orders!A:D,4,0))</f>
        <v>2014</v>
      </c>
      <c r="H1060">
        <f>MONTH(INDEX(orders!D:D,MATCH(A1060, orders!A:A,0)))</f>
        <v>8</v>
      </c>
      <c r="I1060" t="str">
        <f>VLOOKUP(VLOOKUP(B1060,products!A:F,6,0),categories!A:B,2,0)</f>
        <v>Meat &amp; Poultry</v>
      </c>
      <c r="J1060" t="str">
        <f>VLOOKUP(VLOOKUP(A1060,orders!A:B,2,0),customers!A:F,6,0)</f>
        <v>Brazil</v>
      </c>
      <c r="K1060" t="str">
        <f>VLOOKUP(VLOOKUP(A1060,orders!A:C,3,0),employees!A:B,2,0)</f>
        <v>Steven Buchanan</v>
      </c>
    </row>
    <row r="1061" spans="1:11" x14ac:dyDescent="0.25">
      <c r="A1061">
        <v>10650</v>
      </c>
      <c r="B1061">
        <v>54</v>
      </c>
      <c r="C1061">
        <v>7.45</v>
      </c>
      <c r="D1061">
        <v>30</v>
      </c>
      <c r="E1061">
        <v>0</v>
      </c>
      <c r="F1061">
        <f t="shared" si="16"/>
        <v>223.5</v>
      </c>
      <c r="G1061">
        <f>YEAR(VLOOKUP(A1061,orders!A:D,4,0))</f>
        <v>2014</v>
      </c>
      <c r="H1061">
        <f>MONTH(INDEX(orders!D:D,MATCH(A1061, orders!A:A,0)))</f>
        <v>8</v>
      </c>
      <c r="I1061" t="str">
        <f>VLOOKUP(VLOOKUP(B1061,products!A:F,6,0),categories!A:B,2,0)</f>
        <v>Meat &amp; Poultry</v>
      </c>
      <c r="J1061" t="str">
        <f>VLOOKUP(VLOOKUP(A1061,orders!A:B,2,0),customers!A:F,6,0)</f>
        <v>Brazil</v>
      </c>
      <c r="K1061" t="str">
        <f>VLOOKUP(VLOOKUP(A1061,orders!A:C,3,0),employees!A:B,2,0)</f>
        <v>Steven Buchanan</v>
      </c>
    </row>
    <row r="1062" spans="1:11" x14ac:dyDescent="0.25">
      <c r="A1062">
        <v>10651</v>
      </c>
      <c r="B1062">
        <v>19</v>
      </c>
      <c r="C1062">
        <v>9.1999999999999993</v>
      </c>
      <c r="D1062">
        <v>12</v>
      </c>
      <c r="E1062">
        <v>0.25</v>
      </c>
      <c r="F1062">
        <f t="shared" si="16"/>
        <v>82.8</v>
      </c>
      <c r="G1062">
        <f>YEAR(VLOOKUP(A1062,orders!A:D,4,0))</f>
        <v>2014</v>
      </c>
      <c r="H1062">
        <f>MONTH(INDEX(orders!D:D,MATCH(A1062, orders!A:A,0)))</f>
        <v>9</v>
      </c>
      <c r="I1062" t="str">
        <f>VLOOKUP(VLOOKUP(B1062,products!A:F,6,0),categories!A:B,2,0)</f>
        <v>Confections</v>
      </c>
      <c r="J1062" t="str">
        <f>VLOOKUP(VLOOKUP(A1062,orders!A:B,2,0),customers!A:F,6,0)</f>
        <v>Germany</v>
      </c>
      <c r="K1062" t="str">
        <f>VLOOKUP(VLOOKUP(A1062,orders!A:C,3,0),employees!A:B,2,0)</f>
        <v>Laura Callahan</v>
      </c>
    </row>
    <row r="1063" spans="1:11" x14ac:dyDescent="0.25">
      <c r="A1063">
        <v>10651</v>
      </c>
      <c r="B1063">
        <v>22</v>
      </c>
      <c r="C1063">
        <v>21</v>
      </c>
      <c r="D1063">
        <v>20</v>
      </c>
      <c r="E1063">
        <v>0.25</v>
      </c>
      <c r="F1063">
        <f t="shared" si="16"/>
        <v>315</v>
      </c>
      <c r="G1063">
        <f>YEAR(VLOOKUP(A1063,orders!A:D,4,0))</f>
        <v>2014</v>
      </c>
      <c r="H1063">
        <f>MONTH(INDEX(orders!D:D,MATCH(A1063, orders!A:A,0)))</f>
        <v>9</v>
      </c>
      <c r="I1063" t="str">
        <f>VLOOKUP(VLOOKUP(B1063,products!A:F,6,0),categories!A:B,2,0)</f>
        <v>Grains &amp; Cereals</v>
      </c>
      <c r="J1063" t="str">
        <f>VLOOKUP(VLOOKUP(A1063,orders!A:B,2,0),customers!A:F,6,0)</f>
        <v>Germany</v>
      </c>
      <c r="K1063" t="str">
        <f>VLOOKUP(VLOOKUP(A1063,orders!A:C,3,0),employees!A:B,2,0)</f>
        <v>Laura Callahan</v>
      </c>
    </row>
    <row r="1064" spans="1:11" x14ac:dyDescent="0.25">
      <c r="A1064">
        <v>10652</v>
      </c>
      <c r="B1064">
        <v>30</v>
      </c>
      <c r="C1064">
        <v>25.89</v>
      </c>
      <c r="D1064">
        <v>2</v>
      </c>
      <c r="E1064">
        <v>0.25</v>
      </c>
      <c r="F1064">
        <f t="shared" si="16"/>
        <v>38.835000000000001</v>
      </c>
      <c r="G1064">
        <f>YEAR(VLOOKUP(A1064,orders!A:D,4,0))</f>
        <v>2014</v>
      </c>
      <c r="H1064">
        <f>MONTH(INDEX(orders!D:D,MATCH(A1064, orders!A:A,0)))</f>
        <v>9</v>
      </c>
      <c r="I1064" t="str">
        <f>VLOOKUP(VLOOKUP(B1064,products!A:F,6,0),categories!A:B,2,0)</f>
        <v>Seafood</v>
      </c>
      <c r="J1064" t="str">
        <f>VLOOKUP(VLOOKUP(A1064,orders!A:B,2,0),customers!A:F,6,0)</f>
        <v>Brazil</v>
      </c>
      <c r="K1064" t="str">
        <f>VLOOKUP(VLOOKUP(A1064,orders!A:C,3,0),employees!A:B,2,0)</f>
        <v>Margaret Peacock</v>
      </c>
    </row>
    <row r="1065" spans="1:11" x14ac:dyDescent="0.25">
      <c r="A1065">
        <v>10652</v>
      </c>
      <c r="B1065">
        <v>42</v>
      </c>
      <c r="C1065">
        <v>14</v>
      </c>
      <c r="D1065">
        <v>20</v>
      </c>
      <c r="E1065">
        <v>0</v>
      </c>
      <c r="F1065">
        <f t="shared" si="16"/>
        <v>280</v>
      </c>
      <c r="G1065">
        <f>YEAR(VLOOKUP(A1065,orders!A:D,4,0))</f>
        <v>2014</v>
      </c>
      <c r="H1065">
        <f>MONTH(INDEX(orders!D:D,MATCH(A1065, orders!A:A,0)))</f>
        <v>9</v>
      </c>
      <c r="I1065" t="str">
        <f>VLOOKUP(VLOOKUP(B1065,products!A:F,6,0),categories!A:B,2,0)</f>
        <v>Grains &amp; Cereals</v>
      </c>
      <c r="J1065" t="str">
        <f>VLOOKUP(VLOOKUP(A1065,orders!A:B,2,0),customers!A:F,6,0)</f>
        <v>Brazil</v>
      </c>
      <c r="K1065" t="str">
        <f>VLOOKUP(VLOOKUP(A1065,orders!A:C,3,0),employees!A:B,2,0)</f>
        <v>Margaret Peacock</v>
      </c>
    </row>
    <row r="1066" spans="1:11" x14ac:dyDescent="0.25">
      <c r="A1066">
        <v>10653</v>
      </c>
      <c r="B1066">
        <v>16</v>
      </c>
      <c r="C1066">
        <v>17.45</v>
      </c>
      <c r="D1066">
        <v>30</v>
      </c>
      <c r="E1066">
        <v>0.1</v>
      </c>
      <c r="F1066">
        <f t="shared" si="16"/>
        <v>471.15000000000003</v>
      </c>
      <c r="G1066">
        <f>YEAR(VLOOKUP(A1066,orders!A:D,4,0))</f>
        <v>2014</v>
      </c>
      <c r="H1066">
        <f>MONTH(INDEX(orders!D:D,MATCH(A1066, orders!A:A,0)))</f>
        <v>9</v>
      </c>
      <c r="I1066" t="str">
        <f>VLOOKUP(VLOOKUP(B1066,products!A:F,6,0),categories!A:B,2,0)</f>
        <v>Confections</v>
      </c>
      <c r="J1066" t="str">
        <f>VLOOKUP(VLOOKUP(A1066,orders!A:B,2,0),customers!A:F,6,0)</f>
        <v>Germany</v>
      </c>
      <c r="K1066" t="str">
        <f>VLOOKUP(VLOOKUP(A1066,orders!A:C,3,0),employees!A:B,2,0)</f>
        <v>Nancy Davolio</v>
      </c>
    </row>
    <row r="1067" spans="1:11" x14ac:dyDescent="0.25">
      <c r="A1067">
        <v>10653</v>
      </c>
      <c r="B1067">
        <v>60</v>
      </c>
      <c r="C1067">
        <v>34</v>
      </c>
      <c r="D1067">
        <v>20</v>
      </c>
      <c r="E1067">
        <v>0.1</v>
      </c>
      <c r="F1067">
        <f t="shared" si="16"/>
        <v>612</v>
      </c>
      <c r="G1067">
        <f>YEAR(VLOOKUP(A1067,orders!A:D,4,0))</f>
        <v>2014</v>
      </c>
      <c r="H1067">
        <f>MONTH(INDEX(orders!D:D,MATCH(A1067, orders!A:A,0)))</f>
        <v>9</v>
      </c>
      <c r="I1067" t="str">
        <f>VLOOKUP(VLOOKUP(B1067,products!A:F,6,0),categories!A:B,2,0)</f>
        <v>Dairy Products</v>
      </c>
      <c r="J1067" t="str">
        <f>VLOOKUP(VLOOKUP(A1067,orders!A:B,2,0),customers!A:F,6,0)</f>
        <v>Germany</v>
      </c>
      <c r="K1067" t="str">
        <f>VLOOKUP(VLOOKUP(A1067,orders!A:C,3,0),employees!A:B,2,0)</f>
        <v>Nancy Davolio</v>
      </c>
    </row>
    <row r="1068" spans="1:11" x14ac:dyDescent="0.25">
      <c r="A1068">
        <v>10654</v>
      </c>
      <c r="B1068">
        <v>4</v>
      </c>
      <c r="C1068">
        <v>22</v>
      </c>
      <c r="D1068">
        <v>12</v>
      </c>
      <c r="E1068">
        <v>0.1</v>
      </c>
      <c r="F1068">
        <f t="shared" si="16"/>
        <v>237.6</v>
      </c>
      <c r="G1068">
        <f>YEAR(VLOOKUP(A1068,orders!A:D,4,0))</f>
        <v>2014</v>
      </c>
      <c r="H1068">
        <f>MONTH(INDEX(orders!D:D,MATCH(A1068, orders!A:A,0)))</f>
        <v>9</v>
      </c>
      <c r="I1068" t="str">
        <f>VLOOKUP(VLOOKUP(B1068,products!A:F,6,0),categories!A:B,2,0)</f>
        <v>Condiments</v>
      </c>
      <c r="J1068" t="str">
        <f>VLOOKUP(VLOOKUP(A1068,orders!A:B,2,0),customers!A:F,6,0)</f>
        <v>Sweden</v>
      </c>
      <c r="K1068" t="str">
        <f>VLOOKUP(VLOOKUP(A1068,orders!A:C,3,0),employees!A:B,2,0)</f>
        <v>Steven Buchanan</v>
      </c>
    </row>
    <row r="1069" spans="1:11" x14ac:dyDescent="0.25">
      <c r="A1069">
        <v>10654</v>
      </c>
      <c r="B1069">
        <v>39</v>
      </c>
      <c r="C1069">
        <v>18</v>
      </c>
      <c r="D1069">
        <v>20</v>
      </c>
      <c r="E1069">
        <v>0.1</v>
      </c>
      <c r="F1069">
        <f t="shared" si="16"/>
        <v>324</v>
      </c>
      <c r="G1069">
        <f>YEAR(VLOOKUP(A1069,orders!A:D,4,0))</f>
        <v>2014</v>
      </c>
      <c r="H1069">
        <f>MONTH(INDEX(orders!D:D,MATCH(A1069, orders!A:A,0)))</f>
        <v>9</v>
      </c>
      <c r="I1069" t="str">
        <f>VLOOKUP(VLOOKUP(B1069,products!A:F,6,0),categories!A:B,2,0)</f>
        <v>Beverages</v>
      </c>
      <c r="J1069" t="str">
        <f>VLOOKUP(VLOOKUP(A1069,orders!A:B,2,0),customers!A:F,6,0)</f>
        <v>Sweden</v>
      </c>
      <c r="K1069" t="str">
        <f>VLOOKUP(VLOOKUP(A1069,orders!A:C,3,0),employees!A:B,2,0)</f>
        <v>Steven Buchanan</v>
      </c>
    </row>
    <row r="1070" spans="1:11" x14ac:dyDescent="0.25">
      <c r="A1070">
        <v>10654</v>
      </c>
      <c r="B1070">
        <v>54</v>
      </c>
      <c r="C1070">
        <v>7.45</v>
      </c>
      <c r="D1070">
        <v>6</v>
      </c>
      <c r="E1070">
        <v>0.1</v>
      </c>
      <c r="F1070">
        <f t="shared" si="16"/>
        <v>40.230000000000004</v>
      </c>
      <c r="G1070">
        <f>YEAR(VLOOKUP(A1070,orders!A:D,4,0))</f>
        <v>2014</v>
      </c>
      <c r="H1070">
        <f>MONTH(INDEX(orders!D:D,MATCH(A1070, orders!A:A,0)))</f>
        <v>9</v>
      </c>
      <c r="I1070" t="str">
        <f>VLOOKUP(VLOOKUP(B1070,products!A:F,6,0),categories!A:B,2,0)</f>
        <v>Meat &amp; Poultry</v>
      </c>
      <c r="J1070" t="str">
        <f>VLOOKUP(VLOOKUP(A1070,orders!A:B,2,0),customers!A:F,6,0)</f>
        <v>Sweden</v>
      </c>
      <c r="K1070" t="str">
        <f>VLOOKUP(VLOOKUP(A1070,orders!A:C,3,0),employees!A:B,2,0)</f>
        <v>Steven Buchanan</v>
      </c>
    </row>
    <row r="1071" spans="1:11" x14ac:dyDescent="0.25">
      <c r="A1071">
        <v>10655</v>
      </c>
      <c r="B1071">
        <v>41</v>
      </c>
      <c r="C1071">
        <v>9.65</v>
      </c>
      <c r="D1071">
        <v>20</v>
      </c>
      <c r="E1071">
        <v>0.2</v>
      </c>
      <c r="F1071">
        <f t="shared" si="16"/>
        <v>154.4</v>
      </c>
      <c r="G1071">
        <f>YEAR(VLOOKUP(A1071,orders!A:D,4,0))</f>
        <v>2014</v>
      </c>
      <c r="H1071">
        <f>MONTH(INDEX(orders!D:D,MATCH(A1071, orders!A:A,0)))</f>
        <v>9</v>
      </c>
      <c r="I1071" t="str">
        <f>VLOOKUP(VLOOKUP(B1071,products!A:F,6,0),categories!A:B,2,0)</f>
        <v>Seafood</v>
      </c>
      <c r="J1071" t="str">
        <f>VLOOKUP(VLOOKUP(A1071,orders!A:B,2,0),customers!A:F,6,0)</f>
        <v>Italy</v>
      </c>
      <c r="K1071" t="str">
        <f>VLOOKUP(VLOOKUP(A1071,orders!A:C,3,0),employees!A:B,2,0)</f>
        <v>Nancy Davolio</v>
      </c>
    </row>
    <row r="1072" spans="1:11" x14ac:dyDescent="0.25">
      <c r="A1072">
        <v>10656</v>
      </c>
      <c r="B1072">
        <v>14</v>
      </c>
      <c r="C1072">
        <v>23.25</v>
      </c>
      <c r="D1072">
        <v>3</v>
      </c>
      <c r="E1072">
        <v>0.1</v>
      </c>
      <c r="F1072">
        <f t="shared" si="16"/>
        <v>62.774999999999999</v>
      </c>
      <c r="G1072">
        <f>YEAR(VLOOKUP(A1072,orders!A:D,4,0))</f>
        <v>2014</v>
      </c>
      <c r="H1072">
        <f>MONTH(INDEX(orders!D:D,MATCH(A1072, orders!A:A,0)))</f>
        <v>9</v>
      </c>
      <c r="I1072" t="str">
        <f>VLOOKUP(VLOOKUP(B1072,products!A:F,6,0),categories!A:B,2,0)</f>
        <v>Produce</v>
      </c>
      <c r="J1072" t="str">
        <f>VLOOKUP(VLOOKUP(A1072,orders!A:B,2,0),customers!A:F,6,0)</f>
        <v>USA</v>
      </c>
      <c r="K1072" t="str">
        <f>VLOOKUP(VLOOKUP(A1072,orders!A:C,3,0),employees!A:B,2,0)</f>
        <v>Michael Suyama</v>
      </c>
    </row>
    <row r="1073" spans="1:11" x14ac:dyDescent="0.25">
      <c r="A1073">
        <v>10656</v>
      </c>
      <c r="B1073">
        <v>44</v>
      </c>
      <c r="C1073">
        <v>19.45</v>
      </c>
      <c r="D1073">
        <v>28</v>
      </c>
      <c r="E1073">
        <v>0.1</v>
      </c>
      <c r="F1073">
        <f t="shared" si="16"/>
        <v>490.14000000000004</v>
      </c>
      <c r="G1073">
        <f>YEAR(VLOOKUP(A1073,orders!A:D,4,0))</f>
        <v>2014</v>
      </c>
      <c r="H1073">
        <f>MONTH(INDEX(orders!D:D,MATCH(A1073, orders!A:A,0)))</f>
        <v>9</v>
      </c>
      <c r="I1073" t="str">
        <f>VLOOKUP(VLOOKUP(B1073,products!A:F,6,0),categories!A:B,2,0)</f>
        <v>Condiments</v>
      </c>
      <c r="J1073" t="str">
        <f>VLOOKUP(VLOOKUP(A1073,orders!A:B,2,0),customers!A:F,6,0)</f>
        <v>USA</v>
      </c>
      <c r="K1073" t="str">
        <f>VLOOKUP(VLOOKUP(A1073,orders!A:C,3,0),employees!A:B,2,0)</f>
        <v>Michael Suyama</v>
      </c>
    </row>
    <row r="1074" spans="1:11" x14ac:dyDescent="0.25">
      <c r="A1074">
        <v>10656</v>
      </c>
      <c r="B1074">
        <v>47</v>
      </c>
      <c r="C1074">
        <v>9.5</v>
      </c>
      <c r="D1074">
        <v>6</v>
      </c>
      <c r="E1074">
        <v>0.1</v>
      </c>
      <c r="F1074">
        <f t="shared" si="16"/>
        <v>51.300000000000004</v>
      </c>
      <c r="G1074">
        <f>YEAR(VLOOKUP(A1074,orders!A:D,4,0))</f>
        <v>2014</v>
      </c>
      <c r="H1074">
        <f>MONTH(INDEX(orders!D:D,MATCH(A1074, orders!A:A,0)))</f>
        <v>9</v>
      </c>
      <c r="I1074" t="str">
        <f>VLOOKUP(VLOOKUP(B1074,products!A:F,6,0),categories!A:B,2,0)</f>
        <v>Confections</v>
      </c>
      <c r="J1074" t="str">
        <f>VLOOKUP(VLOOKUP(A1074,orders!A:B,2,0),customers!A:F,6,0)</f>
        <v>USA</v>
      </c>
      <c r="K1074" t="str">
        <f>VLOOKUP(VLOOKUP(A1074,orders!A:C,3,0),employees!A:B,2,0)</f>
        <v>Michael Suyama</v>
      </c>
    </row>
    <row r="1075" spans="1:11" x14ac:dyDescent="0.25">
      <c r="A1075">
        <v>10657</v>
      </c>
      <c r="B1075">
        <v>15</v>
      </c>
      <c r="C1075">
        <v>15.5</v>
      </c>
      <c r="D1075">
        <v>50</v>
      </c>
      <c r="E1075">
        <v>0</v>
      </c>
      <c r="F1075">
        <f t="shared" si="16"/>
        <v>775</v>
      </c>
      <c r="G1075">
        <f>YEAR(VLOOKUP(A1075,orders!A:D,4,0))</f>
        <v>2014</v>
      </c>
      <c r="H1075">
        <f>MONTH(INDEX(orders!D:D,MATCH(A1075, orders!A:A,0)))</f>
        <v>9</v>
      </c>
      <c r="I1075" t="str">
        <f>VLOOKUP(VLOOKUP(B1075,products!A:F,6,0),categories!A:B,2,0)</f>
        <v>Condiments</v>
      </c>
      <c r="J1075" t="str">
        <f>VLOOKUP(VLOOKUP(A1075,orders!A:B,2,0),customers!A:F,6,0)</f>
        <v>USA</v>
      </c>
      <c r="K1075" t="str">
        <f>VLOOKUP(VLOOKUP(A1075,orders!A:C,3,0),employees!A:B,2,0)</f>
        <v>Andrew Fuller</v>
      </c>
    </row>
    <row r="1076" spans="1:11" x14ac:dyDescent="0.25">
      <c r="A1076">
        <v>10657</v>
      </c>
      <c r="B1076">
        <v>41</v>
      </c>
      <c r="C1076">
        <v>9.65</v>
      </c>
      <c r="D1076">
        <v>24</v>
      </c>
      <c r="E1076">
        <v>0</v>
      </c>
      <c r="F1076">
        <f t="shared" si="16"/>
        <v>231.60000000000002</v>
      </c>
      <c r="G1076">
        <f>YEAR(VLOOKUP(A1076,orders!A:D,4,0))</f>
        <v>2014</v>
      </c>
      <c r="H1076">
        <f>MONTH(INDEX(orders!D:D,MATCH(A1076, orders!A:A,0)))</f>
        <v>9</v>
      </c>
      <c r="I1076" t="str">
        <f>VLOOKUP(VLOOKUP(B1076,products!A:F,6,0),categories!A:B,2,0)</f>
        <v>Seafood</v>
      </c>
      <c r="J1076" t="str">
        <f>VLOOKUP(VLOOKUP(A1076,orders!A:B,2,0),customers!A:F,6,0)</f>
        <v>USA</v>
      </c>
      <c r="K1076" t="str">
        <f>VLOOKUP(VLOOKUP(A1076,orders!A:C,3,0),employees!A:B,2,0)</f>
        <v>Andrew Fuller</v>
      </c>
    </row>
    <row r="1077" spans="1:11" x14ac:dyDescent="0.25">
      <c r="A1077">
        <v>10657</v>
      </c>
      <c r="B1077">
        <v>46</v>
      </c>
      <c r="C1077">
        <v>12</v>
      </c>
      <c r="D1077">
        <v>45</v>
      </c>
      <c r="E1077">
        <v>0</v>
      </c>
      <c r="F1077">
        <f t="shared" si="16"/>
        <v>540</v>
      </c>
      <c r="G1077">
        <f>YEAR(VLOOKUP(A1077,orders!A:D,4,0))</f>
        <v>2014</v>
      </c>
      <c r="H1077">
        <f>MONTH(INDEX(orders!D:D,MATCH(A1077, orders!A:A,0)))</f>
        <v>9</v>
      </c>
      <c r="I1077" t="str">
        <f>VLOOKUP(VLOOKUP(B1077,products!A:F,6,0),categories!A:B,2,0)</f>
        <v>Seafood</v>
      </c>
      <c r="J1077" t="str">
        <f>VLOOKUP(VLOOKUP(A1077,orders!A:B,2,0),customers!A:F,6,0)</f>
        <v>USA</v>
      </c>
      <c r="K1077" t="str">
        <f>VLOOKUP(VLOOKUP(A1077,orders!A:C,3,0),employees!A:B,2,0)</f>
        <v>Andrew Fuller</v>
      </c>
    </row>
    <row r="1078" spans="1:11" x14ac:dyDescent="0.25">
      <c r="A1078">
        <v>10657</v>
      </c>
      <c r="B1078">
        <v>47</v>
      </c>
      <c r="C1078">
        <v>9.5</v>
      </c>
      <c r="D1078">
        <v>10</v>
      </c>
      <c r="E1078">
        <v>0</v>
      </c>
      <c r="F1078">
        <f t="shared" si="16"/>
        <v>95</v>
      </c>
      <c r="G1078">
        <f>YEAR(VLOOKUP(A1078,orders!A:D,4,0))</f>
        <v>2014</v>
      </c>
      <c r="H1078">
        <f>MONTH(INDEX(orders!D:D,MATCH(A1078, orders!A:A,0)))</f>
        <v>9</v>
      </c>
      <c r="I1078" t="str">
        <f>VLOOKUP(VLOOKUP(B1078,products!A:F,6,0),categories!A:B,2,0)</f>
        <v>Confections</v>
      </c>
      <c r="J1078" t="str">
        <f>VLOOKUP(VLOOKUP(A1078,orders!A:B,2,0),customers!A:F,6,0)</f>
        <v>USA</v>
      </c>
      <c r="K1078" t="str">
        <f>VLOOKUP(VLOOKUP(A1078,orders!A:C,3,0),employees!A:B,2,0)</f>
        <v>Andrew Fuller</v>
      </c>
    </row>
    <row r="1079" spans="1:11" x14ac:dyDescent="0.25">
      <c r="A1079">
        <v>10657</v>
      </c>
      <c r="B1079">
        <v>56</v>
      </c>
      <c r="C1079">
        <v>38</v>
      </c>
      <c r="D1079">
        <v>45</v>
      </c>
      <c r="E1079">
        <v>0</v>
      </c>
      <c r="F1079">
        <f t="shared" si="16"/>
        <v>1710</v>
      </c>
      <c r="G1079">
        <f>YEAR(VLOOKUP(A1079,orders!A:D,4,0))</f>
        <v>2014</v>
      </c>
      <c r="H1079">
        <f>MONTH(INDEX(orders!D:D,MATCH(A1079, orders!A:A,0)))</f>
        <v>9</v>
      </c>
      <c r="I1079" t="str">
        <f>VLOOKUP(VLOOKUP(B1079,products!A:F,6,0),categories!A:B,2,0)</f>
        <v>Grains &amp; Cereals</v>
      </c>
      <c r="J1079" t="str">
        <f>VLOOKUP(VLOOKUP(A1079,orders!A:B,2,0),customers!A:F,6,0)</f>
        <v>USA</v>
      </c>
      <c r="K1079" t="str">
        <f>VLOOKUP(VLOOKUP(A1079,orders!A:C,3,0),employees!A:B,2,0)</f>
        <v>Andrew Fuller</v>
      </c>
    </row>
    <row r="1080" spans="1:11" x14ac:dyDescent="0.25">
      <c r="A1080">
        <v>10657</v>
      </c>
      <c r="B1080">
        <v>60</v>
      </c>
      <c r="C1080">
        <v>34</v>
      </c>
      <c r="D1080">
        <v>30</v>
      </c>
      <c r="E1080">
        <v>0</v>
      </c>
      <c r="F1080">
        <f t="shared" si="16"/>
        <v>1020</v>
      </c>
      <c r="G1080">
        <f>YEAR(VLOOKUP(A1080,orders!A:D,4,0))</f>
        <v>2014</v>
      </c>
      <c r="H1080">
        <f>MONTH(INDEX(orders!D:D,MATCH(A1080, orders!A:A,0)))</f>
        <v>9</v>
      </c>
      <c r="I1080" t="str">
        <f>VLOOKUP(VLOOKUP(B1080,products!A:F,6,0),categories!A:B,2,0)</f>
        <v>Dairy Products</v>
      </c>
      <c r="J1080" t="str">
        <f>VLOOKUP(VLOOKUP(A1080,orders!A:B,2,0),customers!A:F,6,0)</f>
        <v>USA</v>
      </c>
      <c r="K1080" t="str">
        <f>VLOOKUP(VLOOKUP(A1080,orders!A:C,3,0),employees!A:B,2,0)</f>
        <v>Andrew Fuller</v>
      </c>
    </row>
    <row r="1081" spans="1:11" x14ac:dyDescent="0.25">
      <c r="A1081">
        <v>10658</v>
      </c>
      <c r="B1081">
        <v>21</v>
      </c>
      <c r="C1081">
        <v>10</v>
      </c>
      <c r="D1081">
        <v>60</v>
      </c>
      <c r="E1081">
        <v>0</v>
      </c>
      <c r="F1081">
        <f t="shared" si="16"/>
        <v>600</v>
      </c>
      <c r="G1081">
        <f>YEAR(VLOOKUP(A1081,orders!A:D,4,0))</f>
        <v>2014</v>
      </c>
      <c r="H1081">
        <f>MONTH(INDEX(orders!D:D,MATCH(A1081, orders!A:A,0)))</f>
        <v>9</v>
      </c>
      <c r="I1081" t="str">
        <f>VLOOKUP(VLOOKUP(B1081,products!A:F,6,0),categories!A:B,2,0)</f>
        <v>Confections</v>
      </c>
      <c r="J1081" t="str">
        <f>VLOOKUP(VLOOKUP(A1081,orders!A:B,2,0),customers!A:F,6,0)</f>
        <v>Germany</v>
      </c>
      <c r="K1081" t="str">
        <f>VLOOKUP(VLOOKUP(A1081,orders!A:C,3,0),employees!A:B,2,0)</f>
        <v>Margaret Peacock</v>
      </c>
    </row>
    <row r="1082" spans="1:11" x14ac:dyDescent="0.25">
      <c r="A1082">
        <v>10658</v>
      </c>
      <c r="B1082">
        <v>40</v>
      </c>
      <c r="C1082">
        <v>18.399999999999999</v>
      </c>
      <c r="D1082">
        <v>70</v>
      </c>
      <c r="E1082">
        <v>0.05</v>
      </c>
      <c r="F1082">
        <f t="shared" si="16"/>
        <v>1223.5999999999999</v>
      </c>
      <c r="G1082">
        <f>YEAR(VLOOKUP(A1082,orders!A:D,4,0))</f>
        <v>2014</v>
      </c>
      <c r="H1082">
        <f>MONTH(INDEX(orders!D:D,MATCH(A1082, orders!A:A,0)))</f>
        <v>9</v>
      </c>
      <c r="I1082" t="str">
        <f>VLOOKUP(VLOOKUP(B1082,products!A:F,6,0),categories!A:B,2,0)</f>
        <v>Seafood</v>
      </c>
      <c r="J1082" t="str">
        <f>VLOOKUP(VLOOKUP(A1082,orders!A:B,2,0),customers!A:F,6,0)</f>
        <v>Germany</v>
      </c>
      <c r="K1082" t="str">
        <f>VLOOKUP(VLOOKUP(A1082,orders!A:C,3,0),employees!A:B,2,0)</f>
        <v>Margaret Peacock</v>
      </c>
    </row>
    <row r="1083" spans="1:11" x14ac:dyDescent="0.25">
      <c r="A1083">
        <v>10658</v>
      </c>
      <c r="B1083">
        <v>60</v>
      </c>
      <c r="C1083">
        <v>34</v>
      </c>
      <c r="D1083">
        <v>55</v>
      </c>
      <c r="E1083">
        <v>0.05</v>
      </c>
      <c r="F1083">
        <f t="shared" si="16"/>
        <v>1776.5</v>
      </c>
      <c r="G1083">
        <f>YEAR(VLOOKUP(A1083,orders!A:D,4,0))</f>
        <v>2014</v>
      </c>
      <c r="H1083">
        <f>MONTH(INDEX(orders!D:D,MATCH(A1083, orders!A:A,0)))</f>
        <v>9</v>
      </c>
      <c r="I1083" t="str">
        <f>VLOOKUP(VLOOKUP(B1083,products!A:F,6,0),categories!A:B,2,0)</f>
        <v>Dairy Products</v>
      </c>
      <c r="J1083" t="str">
        <f>VLOOKUP(VLOOKUP(A1083,orders!A:B,2,0),customers!A:F,6,0)</f>
        <v>Germany</v>
      </c>
      <c r="K1083" t="str">
        <f>VLOOKUP(VLOOKUP(A1083,orders!A:C,3,0),employees!A:B,2,0)</f>
        <v>Margaret Peacock</v>
      </c>
    </row>
    <row r="1084" spans="1:11" x14ac:dyDescent="0.25">
      <c r="A1084">
        <v>10658</v>
      </c>
      <c r="B1084">
        <v>77</v>
      </c>
      <c r="C1084">
        <v>13</v>
      </c>
      <c r="D1084">
        <v>70</v>
      </c>
      <c r="E1084">
        <v>0.05</v>
      </c>
      <c r="F1084">
        <f t="shared" si="16"/>
        <v>864.5</v>
      </c>
      <c r="G1084">
        <f>YEAR(VLOOKUP(A1084,orders!A:D,4,0))</f>
        <v>2014</v>
      </c>
      <c r="H1084">
        <f>MONTH(INDEX(orders!D:D,MATCH(A1084, orders!A:A,0)))</f>
        <v>9</v>
      </c>
      <c r="I1084" t="str">
        <f>VLOOKUP(VLOOKUP(B1084,products!A:F,6,0),categories!A:B,2,0)</f>
        <v>Condiments</v>
      </c>
      <c r="J1084" t="str">
        <f>VLOOKUP(VLOOKUP(A1084,orders!A:B,2,0),customers!A:F,6,0)</f>
        <v>Germany</v>
      </c>
      <c r="K1084" t="str">
        <f>VLOOKUP(VLOOKUP(A1084,orders!A:C,3,0),employees!A:B,2,0)</f>
        <v>Margaret Peacock</v>
      </c>
    </row>
    <row r="1085" spans="1:11" x14ac:dyDescent="0.25">
      <c r="A1085">
        <v>10659</v>
      </c>
      <c r="B1085">
        <v>31</v>
      </c>
      <c r="C1085">
        <v>12.5</v>
      </c>
      <c r="D1085">
        <v>20</v>
      </c>
      <c r="E1085">
        <v>0.05</v>
      </c>
      <c r="F1085">
        <f t="shared" si="16"/>
        <v>237.5</v>
      </c>
      <c r="G1085">
        <f>YEAR(VLOOKUP(A1085,orders!A:D,4,0))</f>
        <v>2014</v>
      </c>
      <c r="H1085">
        <f>MONTH(INDEX(orders!D:D,MATCH(A1085, orders!A:A,0)))</f>
        <v>9</v>
      </c>
      <c r="I1085" t="str">
        <f>VLOOKUP(VLOOKUP(B1085,products!A:F,6,0),categories!A:B,2,0)</f>
        <v>Dairy Products</v>
      </c>
      <c r="J1085" t="str">
        <f>VLOOKUP(VLOOKUP(A1085,orders!A:B,2,0),customers!A:F,6,0)</f>
        <v>Brazil</v>
      </c>
      <c r="K1085" t="str">
        <f>VLOOKUP(VLOOKUP(A1085,orders!A:C,3,0),employees!A:B,2,0)</f>
        <v>Robert King</v>
      </c>
    </row>
    <row r="1086" spans="1:11" x14ac:dyDescent="0.25">
      <c r="A1086">
        <v>10659</v>
      </c>
      <c r="B1086">
        <v>40</v>
      </c>
      <c r="C1086">
        <v>18.399999999999999</v>
      </c>
      <c r="D1086">
        <v>24</v>
      </c>
      <c r="E1086">
        <v>0.05</v>
      </c>
      <c r="F1086">
        <f t="shared" si="16"/>
        <v>419.51999999999992</v>
      </c>
      <c r="G1086">
        <f>YEAR(VLOOKUP(A1086,orders!A:D,4,0))</f>
        <v>2014</v>
      </c>
      <c r="H1086">
        <f>MONTH(INDEX(orders!D:D,MATCH(A1086, orders!A:A,0)))</f>
        <v>9</v>
      </c>
      <c r="I1086" t="str">
        <f>VLOOKUP(VLOOKUP(B1086,products!A:F,6,0),categories!A:B,2,0)</f>
        <v>Seafood</v>
      </c>
      <c r="J1086" t="str">
        <f>VLOOKUP(VLOOKUP(A1086,orders!A:B,2,0),customers!A:F,6,0)</f>
        <v>Brazil</v>
      </c>
      <c r="K1086" t="str">
        <f>VLOOKUP(VLOOKUP(A1086,orders!A:C,3,0),employees!A:B,2,0)</f>
        <v>Robert King</v>
      </c>
    </row>
    <row r="1087" spans="1:11" x14ac:dyDescent="0.25">
      <c r="A1087">
        <v>10659</v>
      </c>
      <c r="B1087">
        <v>70</v>
      </c>
      <c r="C1087">
        <v>15</v>
      </c>
      <c r="D1087">
        <v>40</v>
      </c>
      <c r="E1087">
        <v>0.05</v>
      </c>
      <c r="F1087">
        <f t="shared" si="16"/>
        <v>570</v>
      </c>
      <c r="G1087">
        <f>YEAR(VLOOKUP(A1087,orders!A:D,4,0))</f>
        <v>2014</v>
      </c>
      <c r="H1087">
        <f>MONTH(INDEX(orders!D:D,MATCH(A1087, orders!A:A,0)))</f>
        <v>9</v>
      </c>
      <c r="I1087" t="str">
        <f>VLOOKUP(VLOOKUP(B1087,products!A:F,6,0),categories!A:B,2,0)</f>
        <v>Beverages</v>
      </c>
      <c r="J1087" t="str">
        <f>VLOOKUP(VLOOKUP(A1087,orders!A:B,2,0),customers!A:F,6,0)</f>
        <v>Brazil</v>
      </c>
      <c r="K1087" t="str">
        <f>VLOOKUP(VLOOKUP(A1087,orders!A:C,3,0),employees!A:B,2,0)</f>
        <v>Robert King</v>
      </c>
    </row>
    <row r="1088" spans="1:11" x14ac:dyDescent="0.25">
      <c r="A1088">
        <v>10660</v>
      </c>
      <c r="B1088">
        <v>20</v>
      </c>
      <c r="C1088">
        <v>81</v>
      </c>
      <c r="D1088">
        <v>21</v>
      </c>
      <c r="E1088">
        <v>0</v>
      </c>
      <c r="F1088">
        <f t="shared" si="16"/>
        <v>1701</v>
      </c>
      <c r="G1088">
        <f>YEAR(VLOOKUP(A1088,orders!A:D,4,0))</f>
        <v>2014</v>
      </c>
      <c r="H1088">
        <f>MONTH(INDEX(orders!D:D,MATCH(A1088, orders!A:A,0)))</f>
        <v>9</v>
      </c>
      <c r="I1088" t="str">
        <f>VLOOKUP(VLOOKUP(B1088,products!A:F,6,0),categories!A:B,2,0)</f>
        <v>Confections</v>
      </c>
      <c r="J1088" t="str">
        <f>VLOOKUP(VLOOKUP(A1088,orders!A:B,2,0),customers!A:F,6,0)</f>
        <v>USA</v>
      </c>
      <c r="K1088" t="str">
        <f>VLOOKUP(VLOOKUP(A1088,orders!A:C,3,0),employees!A:B,2,0)</f>
        <v>Laura Callahan</v>
      </c>
    </row>
    <row r="1089" spans="1:11" x14ac:dyDescent="0.25">
      <c r="A1089">
        <v>10661</v>
      </c>
      <c r="B1089">
        <v>39</v>
      </c>
      <c r="C1089">
        <v>18</v>
      </c>
      <c r="D1089">
        <v>3</v>
      </c>
      <c r="E1089">
        <v>0.2</v>
      </c>
      <c r="F1089">
        <f t="shared" si="16"/>
        <v>43.2</v>
      </c>
      <c r="G1089">
        <f>YEAR(VLOOKUP(A1089,orders!A:D,4,0))</f>
        <v>2014</v>
      </c>
      <c r="H1089">
        <f>MONTH(INDEX(orders!D:D,MATCH(A1089, orders!A:A,0)))</f>
        <v>9</v>
      </c>
      <c r="I1089" t="str">
        <f>VLOOKUP(VLOOKUP(B1089,products!A:F,6,0),categories!A:B,2,0)</f>
        <v>Beverages</v>
      </c>
      <c r="J1089" t="str">
        <f>VLOOKUP(VLOOKUP(A1089,orders!A:B,2,0),customers!A:F,6,0)</f>
        <v>Ireland</v>
      </c>
      <c r="K1089" t="str">
        <f>VLOOKUP(VLOOKUP(A1089,orders!A:C,3,0),employees!A:B,2,0)</f>
        <v>Robert King</v>
      </c>
    </row>
    <row r="1090" spans="1:11" x14ac:dyDescent="0.25">
      <c r="A1090">
        <v>10661</v>
      </c>
      <c r="B1090">
        <v>58</v>
      </c>
      <c r="C1090">
        <v>13.25</v>
      </c>
      <c r="D1090">
        <v>49</v>
      </c>
      <c r="E1090">
        <v>0.2</v>
      </c>
      <c r="F1090">
        <f t="shared" si="16"/>
        <v>519.4</v>
      </c>
      <c r="G1090">
        <f>YEAR(VLOOKUP(A1090,orders!A:D,4,0))</f>
        <v>2014</v>
      </c>
      <c r="H1090">
        <f>MONTH(INDEX(orders!D:D,MATCH(A1090, orders!A:A,0)))</f>
        <v>9</v>
      </c>
      <c r="I1090" t="str">
        <f>VLOOKUP(VLOOKUP(B1090,products!A:F,6,0),categories!A:B,2,0)</f>
        <v>Seafood</v>
      </c>
      <c r="J1090" t="str">
        <f>VLOOKUP(VLOOKUP(A1090,orders!A:B,2,0),customers!A:F,6,0)</f>
        <v>Ireland</v>
      </c>
      <c r="K1090" t="str">
        <f>VLOOKUP(VLOOKUP(A1090,orders!A:C,3,0),employees!A:B,2,0)</f>
        <v>Robert King</v>
      </c>
    </row>
    <row r="1091" spans="1:11" x14ac:dyDescent="0.25">
      <c r="A1091">
        <v>10662</v>
      </c>
      <c r="B1091">
        <v>68</v>
      </c>
      <c r="C1091">
        <v>12.5</v>
      </c>
      <c r="D1091">
        <v>10</v>
      </c>
      <c r="E1091">
        <v>0</v>
      </c>
      <c r="F1091">
        <f t="shared" ref="F1091:F1154" si="17">C1091*D1091*(1-E1091)</f>
        <v>125</v>
      </c>
      <c r="G1091">
        <f>YEAR(VLOOKUP(A1091,orders!A:D,4,0))</f>
        <v>2014</v>
      </c>
      <c r="H1091">
        <f>MONTH(INDEX(orders!D:D,MATCH(A1091, orders!A:A,0)))</f>
        <v>9</v>
      </c>
      <c r="I1091" t="str">
        <f>VLOOKUP(VLOOKUP(B1091,products!A:F,6,0),categories!A:B,2,0)</f>
        <v>Confections</v>
      </c>
      <c r="J1091" t="str">
        <f>VLOOKUP(VLOOKUP(A1091,orders!A:B,2,0),customers!A:F,6,0)</f>
        <v>USA</v>
      </c>
      <c r="K1091" t="str">
        <f>VLOOKUP(VLOOKUP(A1091,orders!A:C,3,0),employees!A:B,2,0)</f>
        <v>Janet Leverling</v>
      </c>
    </row>
    <row r="1092" spans="1:11" x14ac:dyDescent="0.25">
      <c r="A1092">
        <v>10663</v>
      </c>
      <c r="B1092">
        <v>40</v>
      </c>
      <c r="C1092">
        <v>18.399999999999999</v>
      </c>
      <c r="D1092">
        <v>30</v>
      </c>
      <c r="E1092">
        <v>0.05</v>
      </c>
      <c r="F1092">
        <f t="shared" si="17"/>
        <v>524.4</v>
      </c>
      <c r="G1092">
        <f>YEAR(VLOOKUP(A1092,orders!A:D,4,0))</f>
        <v>2014</v>
      </c>
      <c r="H1092">
        <f>MONTH(INDEX(orders!D:D,MATCH(A1092, orders!A:A,0)))</f>
        <v>9</v>
      </c>
      <c r="I1092" t="str">
        <f>VLOOKUP(VLOOKUP(B1092,products!A:F,6,0),categories!A:B,2,0)</f>
        <v>Seafood</v>
      </c>
      <c r="J1092" t="str">
        <f>VLOOKUP(VLOOKUP(A1092,orders!A:B,2,0),customers!A:F,6,0)</f>
        <v>France</v>
      </c>
      <c r="K1092" t="str">
        <f>VLOOKUP(VLOOKUP(A1092,orders!A:C,3,0),employees!A:B,2,0)</f>
        <v>Andrew Fuller</v>
      </c>
    </row>
    <row r="1093" spans="1:11" x14ac:dyDescent="0.25">
      <c r="A1093">
        <v>10663</v>
      </c>
      <c r="B1093">
        <v>42</v>
      </c>
      <c r="C1093">
        <v>14</v>
      </c>
      <c r="D1093">
        <v>30</v>
      </c>
      <c r="E1093">
        <v>0.05</v>
      </c>
      <c r="F1093">
        <f t="shared" si="17"/>
        <v>399</v>
      </c>
      <c r="G1093">
        <f>YEAR(VLOOKUP(A1093,orders!A:D,4,0))</f>
        <v>2014</v>
      </c>
      <c r="H1093">
        <f>MONTH(INDEX(orders!D:D,MATCH(A1093, orders!A:A,0)))</f>
        <v>9</v>
      </c>
      <c r="I1093" t="str">
        <f>VLOOKUP(VLOOKUP(B1093,products!A:F,6,0),categories!A:B,2,0)</f>
        <v>Grains &amp; Cereals</v>
      </c>
      <c r="J1093" t="str">
        <f>VLOOKUP(VLOOKUP(A1093,orders!A:B,2,0),customers!A:F,6,0)</f>
        <v>France</v>
      </c>
      <c r="K1093" t="str">
        <f>VLOOKUP(VLOOKUP(A1093,orders!A:C,3,0),employees!A:B,2,0)</f>
        <v>Andrew Fuller</v>
      </c>
    </row>
    <row r="1094" spans="1:11" x14ac:dyDescent="0.25">
      <c r="A1094">
        <v>10663</v>
      </c>
      <c r="B1094">
        <v>51</v>
      </c>
      <c r="C1094">
        <v>53</v>
      </c>
      <c r="D1094">
        <v>20</v>
      </c>
      <c r="E1094">
        <v>0.05</v>
      </c>
      <c r="F1094">
        <f t="shared" si="17"/>
        <v>1007</v>
      </c>
      <c r="G1094">
        <f>YEAR(VLOOKUP(A1094,orders!A:D,4,0))</f>
        <v>2014</v>
      </c>
      <c r="H1094">
        <f>MONTH(INDEX(orders!D:D,MATCH(A1094, orders!A:A,0)))</f>
        <v>9</v>
      </c>
      <c r="I1094" t="str">
        <f>VLOOKUP(VLOOKUP(B1094,products!A:F,6,0),categories!A:B,2,0)</f>
        <v>Produce</v>
      </c>
      <c r="J1094" t="str">
        <f>VLOOKUP(VLOOKUP(A1094,orders!A:B,2,0),customers!A:F,6,0)</f>
        <v>France</v>
      </c>
      <c r="K1094" t="str">
        <f>VLOOKUP(VLOOKUP(A1094,orders!A:C,3,0),employees!A:B,2,0)</f>
        <v>Andrew Fuller</v>
      </c>
    </row>
    <row r="1095" spans="1:11" x14ac:dyDescent="0.25">
      <c r="A1095">
        <v>10664</v>
      </c>
      <c r="B1095">
        <v>10</v>
      </c>
      <c r="C1095">
        <v>31</v>
      </c>
      <c r="D1095">
        <v>24</v>
      </c>
      <c r="E1095">
        <v>0.15</v>
      </c>
      <c r="F1095">
        <f t="shared" si="17"/>
        <v>632.4</v>
      </c>
      <c r="G1095">
        <f>YEAR(VLOOKUP(A1095,orders!A:D,4,0))</f>
        <v>2014</v>
      </c>
      <c r="H1095">
        <f>MONTH(INDEX(orders!D:D,MATCH(A1095, orders!A:A,0)))</f>
        <v>9</v>
      </c>
      <c r="I1095" t="str">
        <f>VLOOKUP(VLOOKUP(B1095,products!A:F,6,0),categories!A:B,2,0)</f>
        <v>Seafood</v>
      </c>
      <c r="J1095" t="str">
        <f>VLOOKUP(VLOOKUP(A1095,orders!A:B,2,0),customers!A:F,6,0)</f>
        <v>Portugal</v>
      </c>
      <c r="K1095" t="str">
        <f>VLOOKUP(VLOOKUP(A1095,orders!A:C,3,0),employees!A:B,2,0)</f>
        <v>Nancy Davolio</v>
      </c>
    </row>
    <row r="1096" spans="1:11" x14ac:dyDescent="0.25">
      <c r="A1096">
        <v>10664</v>
      </c>
      <c r="B1096">
        <v>56</v>
      </c>
      <c r="C1096">
        <v>38</v>
      </c>
      <c r="D1096">
        <v>12</v>
      </c>
      <c r="E1096">
        <v>0.15</v>
      </c>
      <c r="F1096">
        <f t="shared" si="17"/>
        <v>387.59999999999997</v>
      </c>
      <c r="G1096">
        <f>YEAR(VLOOKUP(A1096,orders!A:D,4,0))</f>
        <v>2014</v>
      </c>
      <c r="H1096">
        <f>MONTH(INDEX(orders!D:D,MATCH(A1096, orders!A:A,0)))</f>
        <v>9</v>
      </c>
      <c r="I1096" t="str">
        <f>VLOOKUP(VLOOKUP(B1096,products!A:F,6,0),categories!A:B,2,0)</f>
        <v>Grains &amp; Cereals</v>
      </c>
      <c r="J1096" t="str">
        <f>VLOOKUP(VLOOKUP(A1096,orders!A:B,2,0),customers!A:F,6,0)</f>
        <v>Portugal</v>
      </c>
      <c r="K1096" t="str">
        <f>VLOOKUP(VLOOKUP(A1096,orders!A:C,3,0),employees!A:B,2,0)</f>
        <v>Nancy Davolio</v>
      </c>
    </row>
    <row r="1097" spans="1:11" x14ac:dyDescent="0.25">
      <c r="A1097">
        <v>10664</v>
      </c>
      <c r="B1097">
        <v>65</v>
      </c>
      <c r="C1097">
        <v>21.05</v>
      </c>
      <c r="D1097">
        <v>15</v>
      </c>
      <c r="E1097">
        <v>0.15</v>
      </c>
      <c r="F1097">
        <f t="shared" si="17"/>
        <v>268.38749999999999</v>
      </c>
      <c r="G1097">
        <f>YEAR(VLOOKUP(A1097,orders!A:D,4,0))</f>
        <v>2014</v>
      </c>
      <c r="H1097">
        <f>MONTH(INDEX(orders!D:D,MATCH(A1097, orders!A:A,0)))</f>
        <v>9</v>
      </c>
      <c r="I1097" t="str">
        <f>VLOOKUP(VLOOKUP(B1097,products!A:F,6,0),categories!A:B,2,0)</f>
        <v>Condiments</v>
      </c>
      <c r="J1097" t="str">
        <f>VLOOKUP(VLOOKUP(A1097,orders!A:B,2,0),customers!A:F,6,0)</f>
        <v>Portugal</v>
      </c>
      <c r="K1097" t="str">
        <f>VLOOKUP(VLOOKUP(A1097,orders!A:C,3,0),employees!A:B,2,0)</f>
        <v>Nancy Davolio</v>
      </c>
    </row>
    <row r="1098" spans="1:11" x14ac:dyDescent="0.25">
      <c r="A1098">
        <v>10665</v>
      </c>
      <c r="B1098">
        <v>51</v>
      </c>
      <c r="C1098">
        <v>53</v>
      </c>
      <c r="D1098">
        <v>20</v>
      </c>
      <c r="E1098">
        <v>0</v>
      </c>
      <c r="F1098">
        <f t="shared" si="17"/>
        <v>1060</v>
      </c>
      <c r="G1098">
        <f>YEAR(VLOOKUP(A1098,orders!A:D,4,0))</f>
        <v>2014</v>
      </c>
      <c r="H1098">
        <f>MONTH(INDEX(orders!D:D,MATCH(A1098, orders!A:A,0)))</f>
        <v>9</v>
      </c>
      <c r="I1098" t="str">
        <f>VLOOKUP(VLOOKUP(B1098,products!A:F,6,0),categories!A:B,2,0)</f>
        <v>Produce</v>
      </c>
      <c r="J1098" t="str">
        <f>VLOOKUP(VLOOKUP(A1098,orders!A:B,2,0),customers!A:F,6,0)</f>
        <v>USA</v>
      </c>
      <c r="K1098" t="str">
        <f>VLOOKUP(VLOOKUP(A1098,orders!A:C,3,0),employees!A:B,2,0)</f>
        <v>Nancy Davolio</v>
      </c>
    </row>
    <row r="1099" spans="1:11" x14ac:dyDescent="0.25">
      <c r="A1099">
        <v>10665</v>
      </c>
      <c r="B1099">
        <v>59</v>
      </c>
      <c r="C1099">
        <v>55</v>
      </c>
      <c r="D1099">
        <v>1</v>
      </c>
      <c r="E1099">
        <v>0</v>
      </c>
      <c r="F1099">
        <f t="shared" si="17"/>
        <v>55</v>
      </c>
      <c r="G1099">
        <f>YEAR(VLOOKUP(A1099,orders!A:D,4,0))</f>
        <v>2014</v>
      </c>
      <c r="H1099">
        <f>MONTH(INDEX(orders!D:D,MATCH(A1099, orders!A:A,0)))</f>
        <v>9</v>
      </c>
      <c r="I1099" t="str">
        <f>VLOOKUP(VLOOKUP(B1099,products!A:F,6,0),categories!A:B,2,0)</f>
        <v>Dairy Products</v>
      </c>
      <c r="J1099" t="str">
        <f>VLOOKUP(VLOOKUP(A1099,orders!A:B,2,0),customers!A:F,6,0)</f>
        <v>USA</v>
      </c>
      <c r="K1099" t="str">
        <f>VLOOKUP(VLOOKUP(A1099,orders!A:C,3,0),employees!A:B,2,0)</f>
        <v>Nancy Davolio</v>
      </c>
    </row>
    <row r="1100" spans="1:11" x14ac:dyDescent="0.25">
      <c r="A1100">
        <v>10665</v>
      </c>
      <c r="B1100">
        <v>76</v>
      </c>
      <c r="C1100">
        <v>18</v>
      </c>
      <c r="D1100">
        <v>10</v>
      </c>
      <c r="E1100">
        <v>0</v>
      </c>
      <c r="F1100">
        <f t="shared" si="17"/>
        <v>180</v>
      </c>
      <c r="G1100">
        <f>YEAR(VLOOKUP(A1100,orders!A:D,4,0))</f>
        <v>2014</v>
      </c>
      <c r="H1100">
        <f>MONTH(INDEX(orders!D:D,MATCH(A1100, orders!A:A,0)))</f>
        <v>9</v>
      </c>
      <c r="I1100" t="str">
        <f>VLOOKUP(VLOOKUP(B1100,products!A:F,6,0),categories!A:B,2,0)</f>
        <v>Beverages</v>
      </c>
      <c r="J1100" t="str">
        <f>VLOOKUP(VLOOKUP(A1100,orders!A:B,2,0),customers!A:F,6,0)</f>
        <v>USA</v>
      </c>
      <c r="K1100" t="str">
        <f>VLOOKUP(VLOOKUP(A1100,orders!A:C,3,0),employees!A:B,2,0)</f>
        <v>Nancy Davolio</v>
      </c>
    </row>
    <row r="1101" spans="1:11" x14ac:dyDescent="0.25">
      <c r="A1101">
        <v>10666</v>
      </c>
      <c r="B1101">
        <v>29</v>
      </c>
      <c r="C1101">
        <v>123.79</v>
      </c>
      <c r="D1101">
        <v>36</v>
      </c>
      <c r="E1101">
        <v>0</v>
      </c>
      <c r="F1101">
        <f t="shared" si="17"/>
        <v>4456.4400000000005</v>
      </c>
      <c r="G1101">
        <f>YEAR(VLOOKUP(A1101,orders!A:D,4,0))</f>
        <v>2014</v>
      </c>
      <c r="H1101">
        <f>MONTH(INDEX(orders!D:D,MATCH(A1101, orders!A:A,0)))</f>
        <v>9</v>
      </c>
      <c r="I1101" t="str">
        <f>VLOOKUP(VLOOKUP(B1101,products!A:F,6,0),categories!A:B,2,0)</f>
        <v>Meat &amp; Poultry</v>
      </c>
      <c r="J1101" t="str">
        <f>VLOOKUP(VLOOKUP(A1101,orders!A:B,2,0),customers!A:F,6,0)</f>
        <v>Switzerland</v>
      </c>
      <c r="K1101" t="str">
        <f>VLOOKUP(VLOOKUP(A1101,orders!A:C,3,0),employees!A:B,2,0)</f>
        <v>Robert King</v>
      </c>
    </row>
    <row r="1102" spans="1:11" x14ac:dyDescent="0.25">
      <c r="A1102">
        <v>10666</v>
      </c>
      <c r="B1102">
        <v>65</v>
      </c>
      <c r="C1102">
        <v>21.05</v>
      </c>
      <c r="D1102">
        <v>10</v>
      </c>
      <c r="E1102">
        <v>0</v>
      </c>
      <c r="F1102">
        <f t="shared" si="17"/>
        <v>210.5</v>
      </c>
      <c r="G1102">
        <f>YEAR(VLOOKUP(A1102,orders!A:D,4,0))</f>
        <v>2014</v>
      </c>
      <c r="H1102">
        <f>MONTH(INDEX(orders!D:D,MATCH(A1102, orders!A:A,0)))</f>
        <v>9</v>
      </c>
      <c r="I1102" t="str">
        <f>VLOOKUP(VLOOKUP(B1102,products!A:F,6,0),categories!A:B,2,0)</f>
        <v>Condiments</v>
      </c>
      <c r="J1102" t="str">
        <f>VLOOKUP(VLOOKUP(A1102,orders!A:B,2,0),customers!A:F,6,0)</f>
        <v>Switzerland</v>
      </c>
      <c r="K1102" t="str">
        <f>VLOOKUP(VLOOKUP(A1102,orders!A:C,3,0),employees!A:B,2,0)</f>
        <v>Robert King</v>
      </c>
    </row>
    <row r="1103" spans="1:11" x14ac:dyDescent="0.25">
      <c r="A1103">
        <v>10667</v>
      </c>
      <c r="B1103">
        <v>69</v>
      </c>
      <c r="C1103">
        <v>36</v>
      </c>
      <c r="D1103">
        <v>45</v>
      </c>
      <c r="E1103">
        <v>0.2</v>
      </c>
      <c r="F1103">
        <f t="shared" si="17"/>
        <v>1296</v>
      </c>
      <c r="G1103">
        <f>YEAR(VLOOKUP(A1103,orders!A:D,4,0))</f>
        <v>2014</v>
      </c>
      <c r="H1103">
        <f>MONTH(INDEX(orders!D:D,MATCH(A1103, orders!A:A,0)))</f>
        <v>9</v>
      </c>
      <c r="I1103" t="str">
        <f>VLOOKUP(VLOOKUP(B1103,products!A:F,6,0),categories!A:B,2,0)</f>
        <v>Dairy Products</v>
      </c>
      <c r="J1103" t="str">
        <f>VLOOKUP(VLOOKUP(A1103,orders!A:B,2,0),customers!A:F,6,0)</f>
        <v>Austria</v>
      </c>
      <c r="K1103" t="str">
        <f>VLOOKUP(VLOOKUP(A1103,orders!A:C,3,0),employees!A:B,2,0)</f>
        <v>Robert King</v>
      </c>
    </row>
    <row r="1104" spans="1:11" x14ac:dyDescent="0.25">
      <c r="A1104">
        <v>10667</v>
      </c>
      <c r="B1104">
        <v>71</v>
      </c>
      <c r="C1104">
        <v>21.5</v>
      </c>
      <c r="D1104">
        <v>14</v>
      </c>
      <c r="E1104">
        <v>0.2</v>
      </c>
      <c r="F1104">
        <f t="shared" si="17"/>
        <v>240.8</v>
      </c>
      <c r="G1104">
        <f>YEAR(VLOOKUP(A1104,orders!A:D,4,0))</f>
        <v>2014</v>
      </c>
      <c r="H1104">
        <f>MONTH(INDEX(orders!D:D,MATCH(A1104, orders!A:A,0)))</f>
        <v>9</v>
      </c>
      <c r="I1104" t="str">
        <f>VLOOKUP(VLOOKUP(B1104,products!A:F,6,0),categories!A:B,2,0)</f>
        <v>Dairy Products</v>
      </c>
      <c r="J1104" t="str">
        <f>VLOOKUP(VLOOKUP(A1104,orders!A:B,2,0),customers!A:F,6,0)</f>
        <v>Austria</v>
      </c>
      <c r="K1104" t="str">
        <f>VLOOKUP(VLOOKUP(A1104,orders!A:C,3,0),employees!A:B,2,0)</f>
        <v>Robert King</v>
      </c>
    </row>
    <row r="1105" spans="1:11" x14ac:dyDescent="0.25">
      <c r="A1105">
        <v>10668</v>
      </c>
      <c r="B1105">
        <v>31</v>
      </c>
      <c r="C1105">
        <v>12.5</v>
      </c>
      <c r="D1105">
        <v>8</v>
      </c>
      <c r="E1105">
        <v>0.1</v>
      </c>
      <c r="F1105">
        <f t="shared" si="17"/>
        <v>90</v>
      </c>
      <c r="G1105">
        <f>YEAR(VLOOKUP(A1105,orders!A:D,4,0))</f>
        <v>2014</v>
      </c>
      <c r="H1105">
        <f>MONTH(INDEX(orders!D:D,MATCH(A1105, orders!A:A,0)))</f>
        <v>9</v>
      </c>
      <c r="I1105" t="str">
        <f>VLOOKUP(VLOOKUP(B1105,products!A:F,6,0),categories!A:B,2,0)</f>
        <v>Dairy Products</v>
      </c>
      <c r="J1105" t="str">
        <f>VLOOKUP(VLOOKUP(A1105,orders!A:B,2,0),customers!A:F,6,0)</f>
        <v>Germany</v>
      </c>
      <c r="K1105" t="str">
        <f>VLOOKUP(VLOOKUP(A1105,orders!A:C,3,0),employees!A:B,2,0)</f>
        <v>Nancy Davolio</v>
      </c>
    </row>
    <row r="1106" spans="1:11" x14ac:dyDescent="0.25">
      <c r="A1106">
        <v>10668</v>
      </c>
      <c r="B1106">
        <v>55</v>
      </c>
      <c r="C1106">
        <v>24</v>
      </c>
      <c r="D1106">
        <v>4</v>
      </c>
      <c r="E1106">
        <v>0.1</v>
      </c>
      <c r="F1106">
        <f t="shared" si="17"/>
        <v>86.4</v>
      </c>
      <c r="G1106">
        <f>YEAR(VLOOKUP(A1106,orders!A:D,4,0))</f>
        <v>2014</v>
      </c>
      <c r="H1106">
        <f>MONTH(INDEX(orders!D:D,MATCH(A1106, orders!A:A,0)))</f>
        <v>9</v>
      </c>
      <c r="I1106" t="str">
        <f>VLOOKUP(VLOOKUP(B1106,products!A:F,6,0),categories!A:B,2,0)</f>
        <v>Meat &amp; Poultry</v>
      </c>
      <c r="J1106" t="str">
        <f>VLOOKUP(VLOOKUP(A1106,orders!A:B,2,0),customers!A:F,6,0)</f>
        <v>Germany</v>
      </c>
      <c r="K1106" t="str">
        <f>VLOOKUP(VLOOKUP(A1106,orders!A:C,3,0),employees!A:B,2,0)</f>
        <v>Nancy Davolio</v>
      </c>
    </row>
    <row r="1107" spans="1:11" x14ac:dyDescent="0.25">
      <c r="A1107">
        <v>10668</v>
      </c>
      <c r="B1107">
        <v>64</v>
      </c>
      <c r="C1107">
        <v>33.25</v>
      </c>
      <c r="D1107">
        <v>15</v>
      </c>
      <c r="E1107">
        <v>0.1</v>
      </c>
      <c r="F1107">
        <f t="shared" si="17"/>
        <v>448.875</v>
      </c>
      <c r="G1107">
        <f>YEAR(VLOOKUP(A1107,orders!A:D,4,0))</f>
        <v>2014</v>
      </c>
      <c r="H1107">
        <f>MONTH(INDEX(orders!D:D,MATCH(A1107, orders!A:A,0)))</f>
        <v>9</v>
      </c>
      <c r="I1107" t="str">
        <f>VLOOKUP(VLOOKUP(B1107,products!A:F,6,0),categories!A:B,2,0)</f>
        <v>Grains &amp; Cereals</v>
      </c>
      <c r="J1107" t="str">
        <f>VLOOKUP(VLOOKUP(A1107,orders!A:B,2,0),customers!A:F,6,0)</f>
        <v>Germany</v>
      </c>
      <c r="K1107" t="str">
        <f>VLOOKUP(VLOOKUP(A1107,orders!A:C,3,0),employees!A:B,2,0)</f>
        <v>Nancy Davolio</v>
      </c>
    </row>
    <row r="1108" spans="1:11" x14ac:dyDescent="0.25">
      <c r="A1108">
        <v>10669</v>
      </c>
      <c r="B1108">
        <v>36</v>
      </c>
      <c r="C1108">
        <v>19</v>
      </c>
      <c r="D1108">
        <v>30</v>
      </c>
      <c r="E1108">
        <v>0</v>
      </c>
      <c r="F1108">
        <f t="shared" si="17"/>
        <v>570</v>
      </c>
      <c r="G1108">
        <f>YEAR(VLOOKUP(A1108,orders!A:D,4,0))</f>
        <v>2014</v>
      </c>
      <c r="H1108">
        <f>MONTH(INDEX(orders!D:D,MATCH(A1108, orders!A:A,0)))</f>
        <v>9</v>
      </c>
      <c r="I1108" t="str">
        <f>VLOOKUP(VLOOKUP(B1108,products!A:F,6,0),categories!A:B,2,0)</f>
        <v>Seafood</v>
      </c>
      <c r="J1108" t="str">
        <f>VLOOKUP(VLOOKUP(A1108,orders!A:B,2,0),customers!A:F,6,0)</f>
        <v>Denmark</v>
      </c>
      <c r="K1108" t="str">
        <f>VLOOKUP(VLOOKUP(A1108,orders!A:C,3,0),employees!A:B,2,0)</f>
        <v>Andrew Fuller</v>
      </c>
    </row>
    <row r="1109" spans="1:11" x14ac:dyDescent="0.25">
      <c r="A1109">
        <v>10670</v>
      </c>
      <c r="B1109">
        <v>23</v>
      </c>
      <c r="C1109">
        <v>9</v>
      </c>
      <c r="D1109">
        <v>32</v>
      </c>
      <c r="E1109">
        <v>0</v>
      </c>
      <c r="F1109">
        <f t="shared" si="17"/>
        <v>288</v>
      </c>
      <c r="G1109">
        <f>YEAR(VLOOKUP(A1109,orders!A:D,4,0))</f>
        <v>2014</v>
      </c>
      <c r="H1109">
        <f>MONTH(INDEX(orders!D:D,MATCH(A1109, orders!A:A,0)))</f>
        <v>9</v>
      </c>
      <c r="I1109" t="str">
        <f>VLOOKUP(VLOOKUP(B1109,products!A:F,6,0),categories!A:B,2,0)</f>
        <v>Grains &amp; Cereals</v>
      </c>
      <c r="J1109" t="str">
        <f>VLOOKUP(VLOOKUP(A1109,orders!A:B,2,0),customers!A:F,6,0)</f>
        <v>Germany</v>
      </c>
      <c r="K1109" t="str">
        <f>VLOOKUP(VLOOKUP(A1109,orders!A:C,3,0),employees!A:B,2,0)</f>
        <v>Margaret Peacock</v>
      </c>
    </row>
    <row r="1110" spans="1:11" x14ac:dyDescent="0.25">
      <c r="A1110">
        <v>10670</v>
      </c>
      <c r="B1110">
        <v>46</v>
      </c>
      <c r="C1110">
        <v>12</v>
      </c>
      <c r="D1110">
        <v>60</v>
      </c>
      <c r="E1110">
        <v>0</v>
      </c>
      <c r="F1110">
        <f t="shared" si="17"/>
        <v>720</v>
      </c>
      <c r="G1110">
        <f>YEAR(VLOOKUP(A1110,orders!A:D,4,0))</f>
        <v>2014</v>
      </c>
      <c r="H1110">
        <f>MONTH(INDEX(orders!D:D,MATCH(A1110, orders!A:A,0)))</f>
        <v>9</v>
      </c>
      <c r="I1110" t="str">
        <f>VLOOKUP(VLOOKUP(B1110,products!A:F,6,0),categories!A:B,2,0)</f>
        <v>Seafood</v>
      </c>
      <c r="J1110" t="str">
        <f>VLOOKUP(VLOOKUP(A1110,orders!A:B,2,0),customers!A:F,6,0)</f>
        <v>Germany</v>
      </c>
      <c r="K1110" t="str">
        <f>VLOOKUP(VLOOKUP(A1110,orders!A:C,3,0),employees!A:B,2,0)</f>
        <v>Margaret Peacock</v>
      </c>
    </row>
    <row r="1111" spans="1:11" x14ac:dyDescent="0.25">
      <c r="A1111">
        <v>10670</v>
      </c>
      <c r="B1111">
        <v>67</v>
      </c>
      <c r="C1111">
        <v>14</v>
      </c>
      <c r="D1111">
        <v>25</v>
      </c>
      <c r="E1111">
        <v>0</v>
      </c>
      <c r="F1111">
        <f t="shared" si="17"/>
        <v>350</v>
      </c>
      <c r="G1111">
        <f>YEAR(VLOOKUP(A1111,orders!A:D,4,0))</f>
        <v>2014</v>
      </c>
      <c r="H1111">
        <f>MONTH(INDEX(orders!D:D,MATCH(A1111, orders!A:A,0)))</f>
        <v>9</v>
      </c>
      <c r="I1111" t="str">
        <f>VLOOKUP(VLOOKUP(B1111,products!A:F,6,0),categories!A:B,2,0)</f>
        <v>Beverages</v>
      </c>
      <c r="J1111" t="str">
        <f>VLOOKUP(VLOOKUP(A1111,orders!A:B,2,0),customers!A:F,6,0)</f>
        <v>Germany</v>
      </c>
      <c r="K1111" t="str">
        <f>VLOOKUP(VLOOKUP(A1111,orders!A:C,3,0),employees!A:B,2,0)</f>
        <v>Margaret Peacock</v>
      </c>
    </row>
    <row r="1112" spans="1:11" x14ac:dyDescent="0.25">
      <c r="A1112">
        <v>10670</v>
      </c>
      <c r="B1112">
        <v>73</v>
      </c>
      <c r="C1112">
        <v>15</v>
      </c>
      <c r="D1112">
        <v>50</v>
      </c>
      <c r="E1112">
        <v>0</v>
      </c>
      <c r="F1112">
        <f t="shared" si="17"/>
        <v>750</v>
      </c>
      <c r="G1112">
        <f>YEAR(VLOOKUP(A1112,orders!A:D,4,0))</f>
        <v>2014</v>
      </c>
      <c r="H1112">
        <f>MONTH(INDEX(orders!D:D,MATCH(A1112, orders!A:A,0)))</f>
        <v>9</v>
      </c>
      <c r="I1112" t="str">
        <f>VLOOKUP(VLOOKUP(B1112,products!A:F,6,0),categories!A:B,2,0)</f>
        <v>Seafood</v>
      </c>
      <c r="J1112" t="str">
        <f>VLOOKUP(VLOOKUP(A1112,orders!A:B,2,0),customers!A:F,6,0)</f>
        <v>Germany</v>
      </c>
      <c r="K1112" t="str">
        <f>VLOOKUP(VLOOKUP(A1112,orders!A:C,3,0),employees!A:B,2,0)</f>
        <v>Margaret Peacock</v>
      </c>
    </row>
    <row r="1113" spans="1:11" x14ac:dyDescent="0.25">
      <c r="A1113">
        <v>10670</v>
      </c>
      <c r="B1113">
        <v>75</v>
      </c>
      <c r="C1113">
        <v>7.75</v>
      </c>
      <c r="D1113">
        <v>25</v>
      </c>
      <c r="E1113">
        <v>0</v>
      </c>
      <c r="F1113">
        <f t="shared" si="17"/>
        <v>193.75</v>
      </c>
      <c r="G1113">
        <f>YEAR(VLOOKUP(A1113,orders!A:D,4,0))</f>
        <v>2014</v>
      </c>
      <c r="H1113">
        <f>MONTH(INDEX(orders!D:D,MATCH(A1113, orders!A:A,0)))</f>
        <v>9</v>
      </c>
      <c r="I1113" t="str">
        <f>VLOOKUP(VLOOKUP(B1113,products!A:F,6,0),categories!A:B,2,0)</f>
        <v>Beverages</v>
      </c>
      <c r="J1113" t="str">
        <f>VLOOKUP(VLOOKUP(A1113,orders!A:B,2,0),customers!A:F,6,0)</f>
        <v>Germany</v>
      </c>
      <c r="K1113" t="str">
        <f>VLOOKUP(VLOOKUP(A1113,orders!A:C,3,0),employees!A:B,2,0)</f>
        <v>Margaret Peacock</v>
      </c>
    </row>
    <row r="1114" spans="1:11" x14ac:dyDescent="0.25">
      <c r="A1114">
        <v>10671</v>
      </c>
      <c r="B1114">
        <v>16</v>
      </c>
      <c r="C1114">
        <v>17.45</v>
      </c>
      <c r="D1114">
        <v>10</v>
      </c>
      <c r="E1114">
        <v>0</v>
      </c>
      <c r="F1114">
        <f t="shared" si="17"/>
        <v>174.5</v>
      </c>
      <c r="G1114">
        <f>YEAR(VLOOKUP(A1114,orders!A:D,4,0))</f>
        <v>2014</v>
      </c>
      <c r="H1114">
        <f>MONTH(INDEX(orders!D:D,MATCH(A1114, orders!A:A,0)))</f>
        <v>9</v>
      </c>
      <c r="I1114" t="str">
        <f>VLOOKUP(VLOOKUP(B1114,products!A:F,6,0),categories!A:B,2,0)</f>
        <v>Confections</v>
      </c>
      <c r="J1114" t="str">
        <f>VLOOKUP(VLOOKUP(A1114,orders!A:B,2,0),customers!A:F,6,0)</f>
        <v>France</v>
      </c>
      <c r="K1114" t="str">
        <f>VLOOKUP(VLOOKUP(A1114,orders!A:C,3,0),employees!A:B,2,0)</f>
        <v>Nancy Davolio</v>
      </c>
    </row>
    <row r="1115" spans="1:11" x14ac:dyDescent="0.25">
      <c r="A1115">
        <v>10671</v>
      </c>
      <c r="B1115">
        <v>62</v>
      </c>
      <c r="C1115">
        <v>49.3</v>
      </c>
      <c r="D1115">
        <v>10</v>
      </c>
      <c r="E1115">
        <v>0</v>
      </c>
      <c r="F1115">
        <f t="shared" si="17"/>
        <v>493</v>
      </c>
      <c r="G1115">
        <f>YEAR(VLOOKUP(A1115,orders!A:D,4,0))</f>
        <v>2014</v>
      </c>
      <c r="H1115">
        <f>MONTH(INDEX(orders!D:D,MATCH(A1115, orders!A:A,0)))</f>
        <v>9</v>
      </c>
      <c r="I1115" t="str">
        <f>VLOOKUP(VLOOKUP(B1115,products!A:F,6,0),categories!A:B,2,0)</f>
        <v>Confections</v>
      </c>
      <c r="J1115" t="str">
        <f>VLOOKUP(VLOOKUP(A1115,orders!A:B,2,0),customers!A:F,6,0)</f>
        <v>France</v>
      </c>
      <c r="K1115" t="str">
        <f>VLOOKUP(VLOOKUP(A1115,orders!A:C,3,0),employees!A:B,2,0)</f>
        <v>Nancy Davolio</v>
      </c>
    </row>
    <row r="1116" spans="1:11" x14ac:dyDescent="0.25">
      <c r="A1116">
        <v>10671</v>
      </c>
      <c r="B1116">
        <v>65</v>
      </c>
      <c r="C1116">
        <v>21.05</v>
      </c>
      <c r="D1116">
        <v>12</v>
      </c>
      <c r="E1116">
        <v>0</v>
      </c>
      <c r="F1116">
        <f t="shared" si="17"/>
        <v>252.60000000000002</v>
      </c>
      <c r="G1116">
        <f>YEAR(VLOOKUP(A1116,orders!A:D,4,0))</f>
        <v>2014</v>
      </c>
      <c r="H1116">
        <f>MONTH(INDEX(orders!D:D,MATCH(A1116, orders!A:A,0)))</f>
        <v>9</v>
      </c>
      <c r="I1116" t="str">
        <f>VLOOKUP(VLOOKUP(B1116,products!A:F,6,0),categories!A:B,2,0)</f>
        <v>Condiments</v>
      </c>
      <c r="J1116" t="str">
        <f>VLOOKUP(VLOOKUP(A1116,orders!A:B,2,0),customers!A:F,6,0)</f>
        <v>France</v>
      </c>
      <c r="K1116" t="str">
        <f>VLOOKUP(VLOOKUP(A1116,orders!A:C,3,0),employees!A:B,2,0)</f>
        <v>Nancy Davolio</v>
      </c>
    </row>
    <row r="1117" spans="1:11" x14ac:dyDescent="0.25">
      <c r="A1117">
        <v>10672</v>
      </c>
      <c r="B1117">
        <v>38</v>
      </c>
      <c r="C1117">
        <v>263.5</v>
      </c>
      <c r="D1117">
        <v>15</v>
      </c>
      <c r="E1117">
        <v>0.1</v>
      </c>
      <c r="F1117">
        <f t="shared" si="17"/>
        <v>3557.25</v>
      </c>
      <c r="G1117">
        <f>YEAR(VLOOKUP(A1117,orders!A:D,4,0))</f>
        <v>2014</v>
      </c>
      <c r="H1117">
        <f>MONTH(INDEX(orders!D:D,MATCH(A1117, orders!A:A,0)))</f>
        <v>9</v>
      </c>
      <c r="I1117" t="str">
        <f>VLOOKUP(VLOOKUP(B1117,products!A:F,6,0),categories!A:B,2,0)</f>
        <v>Beverages</v>
      </c>
      <c r="J1117" t="str">
        <f>VLOOKUP(VLOOKUP(A1117,orders!A:B,2,0),customers!A:F,6,0)</f>
        <v>Sweden</v>
      </c>
      <c r="K1117" t="str">
        <f>VLOOKUP(VLOOKUP(A1117,orders!A:C,3,0),employees!A:B,2,0)</f>
        <v>Anne Dodsworth</v>
      </c>
    </row>
    <row r="1118" spans="1:11" x14ac:dyDescent="0.25">
      <c r="A1118">
        <v>10672</v>
      </c>
      <c r="B1118">
        <v>71</v>
      </c>
      <c r="C1118">
        <v>21.5</v>
      </c>
      <c r="D1118">
        <v>12</v>
      </c>
      <c r="E1118">
        <v>0</v>
      </c>
      <c r="F1118">
        <f t="shared" si="17"/>
        <v>258</v>
      </c>
      <c r="G1118">
        <f>YEAR(VLOOKUP(A1118,orders!A:D,4,0))</f>
        <v>2014</v>
      </c>
      <c r="H1118">
        <f>MONTH(INDEX(orders!D:D,MATCH(A1118, orders!A:A,0)))</f>
        <v>9</v>
      </c>
      <c r="I1118" t="str">
        <f>VLOOKUP(VLOOKUP(B1118,products!A:F,6,0),categories!A:B,2,0)</f>
        <v>Dairy Products</v>
      </c>
      <c r="J1118" t="str">
        <f>VLOOKUP(VLOOKUP(A1118,orders!A:B,2,0),customers!A:F,6,0)</f>
        <v>Sweden</v>
      </c>
      <c r="K1118" t="str">
        <f>VLOOKUP(VLOOKUP(A1118,orders!A:C,3,0),employees!A:B,2,0)</f>
        <v>Anne Dodsworth</v>
      </c>
    </row>
    <row r="1119" spans="1:11" x14ac:dyDescent="0.25">
      <c r="A1119">
        <v>10673</v>
      </c>
      <c r="B1119">
        <v>16</v>
      </c>
      <c r="C1119">
        <v>17.45</v>
      </c>
      <c r="D1119">
        <v>3</v>
      </c>
      <c r="E1119">
        <v>0</v>
      </c>
      <c r="F1119">
        <f t="shared" si="17"/>
        <v>52.349999999999994</v>
      </c>
      <c r="G1119">
        <f>YEAR(VLOOKUP(A1119,orders!A:D,4,0))</f>
        <v>2014</v>
      </c>
      <c r="H1119">
        <f>MONTH(INDEX(orders!D:D,MATCH(A1119, orders!A:A,0)))</f>
        <v>9</v>
      </c>
      <c r="I1119" t="str">
        <f>VLOOKUP(VLOOKUP(B1119,products!A:F,6,0),categories!A:B,2,0)</f>
        <v>Confections</v>
      </c>
      <c r="J1119" t="str">
        <f>VLOOKUP(VLOOKUP(A1119,orders!A:B,2,0),customers!A:F,6,0)</f>
        <v>Finland</v>
      </c>
      <c r="K1119" t="str">
        <f>VLOOKUP(VLOOKUP(A1119,orders!A:C,3,0),employees!A:B,2,0)</f>
        <v>Andrew Fuller</v>
      </c>
    </row>
    <row r="1120" spans="1:11" x14ac:dyDescent="0.25">
      <c r="A1120">
        <v>10673</v>
      </c>
      <c r="B1120">
        <v>42</v>
      </c>
      <c r="C1120">
        <v>14</v>
      </c>
      <c r="D1120">
        <v>6</v>
      </c>
      <c r="E1120">
        <v>0</v>
      </c>
      <c r="F1120">
        <f t="shared" si="17"/>
        <v>84</v>
      </c>
      <c r="G1120">
        <f>YEAR(VLOOKUP(A1120,orders!A:D,4,0))</f>
        <v>2014</v>
      </c>
      <c r="H1120">
        <f>MONTH(INDEX(orders!D:D,MATCH(A1120, orders!A:A,0)))</f>
        <v>9</v>
      </c>
      <c r="I1120" t="str">
        <f>VLOOKUP(VLOOKUP(B1120,products!A:F,6,0),categories!A:B,2,0)</f>
        <v>Grains &amp; Cereals</v>
      </c>
      <c r="J1120" t="str">
        <f>VLOOKUP(VLOOKUP(A1120,orders!A:B,2,0),customers!A:F,6,0)</f>
        <v>Finland</v>
      </c>
      <c r="K1120" t="str">
        <f>VLOOKUP(VLOOKUP(A1120,orders!A:C,3,0),employees!A:B,2,0)</f>
        <v>Andrew Fuller</v>
      </c>
    </row>
    <row r="1121" spans="1:11" x14ac:dyDescent="0.25">
      <c r="A1121">
        <v>10673</v>
      </c>
      <c r="B1121">
        <v>43</v>
      </c>
      <c r="C1121">
        <v>46</v>
      </c>
      <c r="D1121">
        <v>6</v>
      </c>
      <c r="E1121">
        <v>0</v>
      </c>
      <c r="F1121">
        <f t="shared" si="17"/>
        <v>276</v>
      </c>
      <c r="G1121">
        <f>YEAR(VLOOKUP(A1121,orders!A:D,4,0))</f>
        <v>2014</v>
      </c>
      <c r="H1121">
        <f>MONTH(INDEX(orders!D:D,MATCH(A1121, orders!A:A,0)))</f>
        <v>9</v>
      </c>
      <c r="I1121" t="str">
        <f>VLOOKUP(VLOOKUP(B1121,products!A:F,6,0),categories!A:B,2,0)</f>
        <v>Beverages</v>
      </c>
      <c r="J1121" t="str">
        <f>VLOOKUP(VLOOKUP(A1121,orders!A:B,2,0),customers!A:F,6,0)</f>
        <v>Finland</v>
      </c>
      <c r="K1121" t="str">
        <f>VLOOKUP(VLOOKUP(A1121,orders!A:C,3,0),employees!A:B,2,0)</f>
        <v>Andrew Fuller</v>
      </c>
    </row>
    <row r="1122" spans="1:11" x14ac:dyDescent="0.25">
      <c r="A1122">
        <v>10674</v>
      </c>
      <c r="B1122">
        <v>23</v>
      </c>
      <c r="C1122">
        <v>9</v>
      </c>
      <c r="D1122">
        <v>5</v>
      </c>
      <c r="E1122">
        <v>0</v>
      </c>
      <c r="F1122">
        <f t="shared" si="17"/>
        <v>45</v>
      </c>
      <c r="G1122">
        <f>YEAR(VLOOKUP(A1122,orders!A:D,4,0))</f>
        <v>2014</v>
      </c>
      <c r="H1122">
        <f>MONTH(INDEX(orders!D:D,MATCH(A1122, orders!A:A,0)))</f>
        <v>9</v>
      </c>
      <c r="I1122" t="str">
        <f>VLOOKUP(VLOOKUP(B1122,products!A:F,6,0),categories!A:B,2,0)</f>
        <v>Grains &amp; Cereals</v>
      </c>
      <c r="J1122" t="str">
        <f>VLOOKUP(VLOOKUP(A1122,orders!A:B,2,0),customers!A:F,6,0)</f>
        <v>UK</v>
      </c>
      <c r="K1122" t="str">
        <f>VLOOKUP(VLOOKUP(A1122,orders!A:C,3,0),employees!A:B,2,0)</f>
        <v>Margaret Peacock</v>
      </c>
    </row>
    <row r="1123" spans="1:11" x14ac:dyDescent="0.25">
      <c r="A1123">
        <v>10675</v>
      </c>
      <c r="B1123">
        <v>14</v>
      </c>
      <c r="C1123">
        <v>23.25</v>
      </c>
      <c r="D1123">
        <v>30</v>
      </c>
      <c r="E1123">
        <v>0</v>
      </c>
      <c r="F1123">
        <f t="shared" si="17"/>
        <v>697.5</v>
      </c>
      <c r="G1123">
        <f>YEAR(VLOOKUP(A1123,orders!A:D,4,0))</f>
        <v>2014</v>
      </c>
      <c r="H1123">
        <f>MONTH(INDEX(orders!D:D,MATCH(A1123, orders!A:A,0)))</f>
        <v>9</v>
      </c>
      <c r="I1123" t="str">
        <f>VLOOKUP(VLOOKUP(B1123,products!A:F,6,0),categories!A:B,2,0)</f>
        <v>Produce</v>
      </c>
      <c r="J1123" t="str">
        <f>VLOOKUP(VLOOKUP(A1123,orders!A:B,2,0),customers!A:F,6,0)</f>
        <v>Germany</v>
      </c>
      <c r="K1123" t="str">
        <f>VLOOKUP(VLOOKUP(A1123,orders!A:C,3,0),employees!A:B,2,0)</f>
        <v>Steven Buchanan</v>
      </c>
    </row>
    <row r="1124" spans="1:11" x14ac:dyDescent="0.25">
      <c r="A1124">
        <v>10675</v>
      </c>
      <c r="B1124">
        <v>53</v>
      </c>
      <c r="C1124">
        <v>32.799999999999997</v>
      </c>
      <c r="D1124">
        <v>10</v>
      </c>
      <c r="E1124">
        <v>0</v>
      </c>
      <c r="F1124">
        <f t="shared" si="17"/>
        <v>328</v>
      </c>
      <c r="G1124">
        <f>YEAR(VLOOKUP(A1124,orders!A:D,4,0))</f>
        <v>2014</v>
      </c>
      <c r="H1124">
        <f>MONTH(INDEX(orders!D:D,MATCH(A1124, orders!A:A,0)))</f>
        <v>9</v>
      </c>
      <c r="I1124" t="str">
        <f>VLOOKUP(VLOOKUP(B1124,products!A:F,6,0),categories!A:B,2,0)</f>
        <v>Meat &amp; Poultry</v>
      </c>
      <c r="J1124" t="str">
        <f>VLOOKUP(VLOOKUP(A1124,orders!A:B,2,0),customers!A:F,6,0)</f>
        <v>Germany</v>
      </c>
      <c r="K1124" t="str">
        <f>VLOOKUP(VLOOKUP(A1124,orders!A:C,3,0),employees!A:B,2,0)</f>
        <v>Steven Buchanan</v>
      </c>
    </row>
    <row r="1125" spans="1:11" x14ac:dyDescent="0.25">
      <c r="A1125">
        <v>10675</v>
      </c>
      <c r="B1125">
        <v>58</v>
      </c>
      <c r="C1125">
        <v>13.25</v>
      </c>
      <c r="D1125">
        <v>30</v>
      </c>
      <c r="E1125">
        <v>0</v>
      </c>
      <c r="F1125">
        <f t="shared" si="17"/>
        <v>397.5</v>
      </c>
      <c r="G1125">
        <f>YEAR(VLOOKUP(A1125,orders!A:D,4,0))</f>
        <v>2014</v>
      </c>
      <c r="H1125">
        <f>MONTH(INDEX(orders!D:D,MATCH(A1125, orders!A:A,0)))</f>
        <v>9</v>
      </c>
      <c r="I1125" t="str">
        <f>VLOOKUP(VLOOKUP(B1125,products!A:F,6,0),categories!A:B,2,0)</f>
        <v>Seafood</v>
      </c>
      <c r="J1125" t="str">
        <f>VLOOKUP(VLOOKUP(A1125,orders!A:B,2,0),customers!A:F,6,0)</f>
        <v>Germany</v>
      </c>
      <c r="K1125" t="str">
        <f>VLOOKUP(VLOOKUP(A1125,orders!A:C,3,0),employees!A:B,2,0)</f>
        <v>Steven Buchanan</v>
      </c>
    </row>
    <row r="1126" spans="1:11" x14ac:dyDescent="0.25">
      <c r="A1126">
        <v>10676</v>
      </c>
      <c r="B1126">
        <v>10</v>
      </c>
      <c r="C1126">
        <v>31</v>
      </c>
      <c r="D1126">
        <v>2</v>
      </c>
      <c r="E1126">
        <v>0</v>
      </c>
      <c r="F1126">
        <f t="shared" si="17"/>
        <v>62</v>
      </c>
      <c r="G1126">
        <f>YEAR(VLOOKUP(A1126,orders!A:D,4,0))</f>
        <v>2014</v>
      </c>
      <c r="H1126">
        <f>MONTH(INDEX(orders!D:D,MATCH(A1126, orders!A:A,0)))</f>
        <v>9</v>
      </c>
      <c r="I1126" t="str">
        <f>VLOOKUP(VLOOKUP(B1126,products!A:F,6,0),categories!A:B,2,0)</f>
        <v>Seafood</v>
      </c>
      <c r="J1126" t="str">
        <f>VLOOKUP(VLOOKUP(A1126,orders!A:B,2,0),customers!A:F,6,0)</f>
        <v>Mexico</v>
      </c>
      <c r="K1126" t="str">
        <f>VLOOKUP(VLOOKUP(A1126,orders!A:C,3,0),employees!A:B,2,0)</f>
        <v>Andrew Fuller</v>
      </c>
    </row>
    <row r="1127" spans="1:11" x14ac:dyDescent="0.25">
      <c r="A1127">
        <v>10676</v>
      </c>
      <c r="B1127">
        <v>19</v>
      </c>
      <c r="C1127">
        <v>9.1999999999999993</v>
      </c>
      <c r="D1127">
        <v>7</v>
      </c>
      <c r="E1127">
        <v>0</v>
      </c>
      <c r="F1127">
        <f t="shared" si="17"/>
        <v>64.399999999999991</v>
      </c>
      <c r="G1127">
        <f>YEAR(VLOOKUP(A1127,orders!A:D,4,0))</f>
        <v>2014</v>
      </c>
      <c r="H1127">
        <f>MONTH(INDEX(orders!D:D,MATCH(A1127, orders!A:A,0)))</f>
        <v>9</v>
      </c>
      <c r="I1127" t="str">
        <f>VLOOKUP(VLOOKUP(B1127,products!A:F,6,0),categories!A:B,2,0)</f>
        <v>Confections</v>
      </c>
      <c r="J1127" t="str">
        <f>VLOOKUP(VLOOKUP(A1127,orders!A:B,2,0),customers!A:F,6,0)</f>
        <v>Mexico</v>
      </c>
      <c r="K1127" t="str">
        <f>VLOOKUP(VLOOKUP(A1127,orders!A:C,3,0),employees!A:B,2,0)</f>
        <v>Andrew Fuller</v>
      </c>
    </row>
    <row r="1128" spans="1:11" x14ac:dyDescent="0.25">
      <c r="A1128">
        <v>10676</v>
      </c>
      <c r="B1128">
        <v>44</v>
      </c>
      <c r="C1128">
        <v>19.45</v>
      </c>
      <c r="D1128">
        <v>21</v>
      </c>
      <c r="E1128">
        <v>0</v>
      </c>
      <c r="F1128">
        <f t="shared" si="17"/>
        <v>408.45</v>
      </c>
      <c r="G1128">
        <f>YEAR(VLOOKUP(A1128,orders!A:D,4,0))</f>
        <v>2014</v>
      </c>
      <c r="H1128">
        <f>MONTH(INDEX(orders!D:D,MATCH(A1128, orders!A:A,0)))</f>
        <v>9</v>
      </c>
      <c r="I1128" t="str">
        <f>VLOOKUP(VLOOKUP(B1128,products!A:F,6,0),categories!A:B,2,0)</f>
        <v>Condiments</v>
      </c>
      <c r="J1128" t="str">
        <f>VLOOKUP(VLOOKUP(A1128,orders!A:B,2,0),customers!A:F,6,0)</f>
        <v>Mexico</v>
      </c>
      <c r="K1128" t="str">
        <f>VLOOKUP(VLOOKUP(A1128,orders!A:C,3,0),employees!A:B,2,0)</f>
        <v>Andrew Fuller</v>
      </c>
    </row>
    <row r="1129" spans="1:11" x14ac:dyDescent="0.25">
      <c r="A1129">
        <v>10677</v>
      </c>
      <c r="B1129">
        <v>26</v>
      </c>
      <c r="C1129">
        <v>31.23</v>
      </c>
      <c r="D1129">
        <v>30</v>
      </c>
      <c r="E1129">
        <v>0.15</v>
      </c>
      <c r="F1129">
        <f t="shared" si="17"/>
        <v>796.36500000000001</v>
      </c>
      <c r="G1129">
        <f>YEAR(VLOOKUP(A1129,orders!A:D,4,0))</f>
        <v>2014</v>
      </c>
      <c r="H1129">
        <f>MONTH(INDEX(orders!D:D,MATCH(A1129, orders!A:A,0)))</f>
        <v>9</v>
      </c>
      <c r="I1129" t="str">
        <f>VLOOKUP(VLOOKUP(B1129,products!A:F,6,0),categories!A:B,2,0)</f>
        <v>Confections</v>
      </c>
      <c r="J1129" t="str">
        <f>VLOOKUP(VLOOKUP(A1129,orders!A:B,2,0),customers!A:F,6,0)</f>
        <v>Mexico</v>
      </c>
      <c r="K1129" t="str">
        <f>VLOOKUP(VLOOKUP(A1129,orders!A:C,3,0),employees!A:B,2,0)</f>
        <v>Nancy Davolio</v>
      </c>
    </row>
    <row r="1130" spans="1:11" x14ac:dyDescent="0.25">
      <c r="A1130">
        <v>10677</v>
      </c>
      <c r="B1130">
        <v>33</v>
      </c>
      <c r="C1130">
        <v>2.5</v>
      </c>
      <c r="D1130">
        <v>8</v>
      </c>
      <c r="E1130">
        <v>0.15</v>
      </c>
      <c r="F1130">
        <f t="shared" si="17"/>
        <v>17</v>
      </c>
      <c r="G1130">
        <f>YEAR(VLOOKUP(A1130,orders!A:D,4,0))</f>
        <v>2014</v>
      </c>
      <c r="H1130">
        <f>MONTH(INDEX(orders!D:D,MATCH(A1130, orders!A:A,0)))</f>
        <v>9</v>
      </c>
      <c r="I1130" t="str">
        <f>VLOOKUP(VLOOKUP(B1130,products!A:F,6,0),categories!A:B,2,0)</f>
        <v>Dairy Products</v>
      </c>
      <c r="J1130" t="str">
        <f>VLOOKUP(VLOOKUP(A1130,orders!A:B,2,0),customers!A:F,6,0)</f>
        <v>Mexico</v>
      </c>
      <c r="K1130" t="str">
        <f>VLOOKUP(VLOOKUP(A1130,orders!A:C,3,0),employees!A:B,2,0)</f>
        <v>Nancy Davolio</v>
      </c>
    </row>
    <row r="1131" spans="1:11" x14ac:dyDescent="0.25">
      <c r="A1131">
        <v>10678</v>
      </c>
      <c r="B1131">
        <v>12</v>
      </c>
      <c r="C1131">
        <v>38</v>
      </c>
      <c r="D1131">
        <v>100</v>
      </c>
      <c r="E1131">
        <v>0</v>
      </c>
      <c r="F1131">
        <f t="shared" si="17"/>
        <v>3800</v>
      </c>
      <c r="G1131">
        <f>YEAR(VLOOKUP(A1131,orders!A:D,4,0))</f>
        <v>2014</v>
      </c>
      <c r="H1131">
        <f>MONTH(INDEX(orders!D:D,MATCH(A1131, orders!A:A,0)))</f>
        <v>9</v>
      </c>
      <c r="I1131" t="str">
        <f>VLOOKUP(VLOOKUP(B1131,products!A:F,6,0),categories!A:B,2,0)</f>
        <v>Dairy Products</v>
      </c>
      <c r="J1131" t="str">
        <f>VLOOKUP(VLOOKUP(A1131,orders!A:B,2,0),customers!A:F,6,0)</f>
        <v>USA</v>
      </c>
      <c r="K1131" t="str">
        <f>VLOOKUP(VLOOKUP(A1131,orders!A:C,3,0),employees!A:B,2,0)</f>
        <v>Robert King</v>
      </c>
    </row>
    <row r="1132" spans="1:11" x14ac:dyDescent="0.25">
      <c r="A1132">
        <v>10678</v>
      </c>
      <c r="B1132">
        <v>33</v>
      </c>
      <c r="C1132">
        <v>2.5</v>
      </c>
      <c r="D1132">
        <v>30</v>
      </c>
      <c r="E1132">
        <v>0</v>
      </c>
      <c r="F1132">
        <f t="shared" si="17"/>
        <v>75</v>
      </c>
      <c r="G1132">
        <f>YEAR(VLOOKUP(A1132,orders!A:D,4,0))</f>
        <v>2014</v>
      </c>
      <c r="H1132">
        <f>MONTH(INDEX(orders!D:D,MATCH(A1132, orders!A:A,0)))</f>
        <v>9</v>
      </c>
      <c r="I1132" t="str">
        <f>VLOOKUP(VLOOKUP(B1132,products!A:F,6,0),categories!A:B,2,0)</f>
        <v>Dairy Products</v>
      </c>
      <c r="J1132" t="str">
        <f>VLOOKUP(VLOOKUP(A1132,orders!A:B,2,0),customers!A:F,6,0)</f>
        <v>USA</v>
      </c>
      <c r="K1132" t="str">
        <f>VLOOKUP(VLOOKUP(A1132,orders!A:C,3,0),employees!A:B,2,0)</f>
        <v>Robert King</v>
      </c>
    </row>
    <row r="1133" spans="1:11" x14ac:dyDescent="0.25">
      <c r="A1133">
        <v>10678</v>
      </c>
      <c r="B1133">
        <v>41</v>
      </c>
      <c r="C1133">
        <v>9.65</v>
      </c>
      <c r="D1133">
        <v>120</v>
      </c>
      <c r="E1133">
        <v>0</v>
      </c>
      <c r="F1133">
        <f t="shared" si="17"/>
        <v>1158</v>
      </c>
      <c r="G1133">
        <f>YEAR(VLOOKUP(A1133,orders!A:D,4,0))</f>
        <v>2014</v>
      </c>
      <c r="H1133">
        <f>MONTH(INDEX(orders!D:D,MATCH(A1133, orders!A:A,0)))</f>
        <v>9</v>
      </c>
      <c r="I1133" t="str">
        <f>VLOOKUP(VLOOKUP(B1133,products!A:F,6,0),categories!A:B,2,0)</f>
        <v>Seafood</v>
      </c>
      <c r="J1133" t="str">
        <f>VLOOKUP(VLOOKUP(A1133,orders!A:B,2,0),customers!A:F,6,0)</f>
        <v>USA</v>
      </c>
      <c r="K1133" t="str">
        <f>VLOOKUP(VLOOKUP(A1133,orders!A:C,3,0),employees!A:B,2,0)</f>
        <v>Robert King</v>
      </c>
    </row>
    <row r="1134" spans="1:11" x14ac:dyDescent="0.25">
      <c r="A1134">
        <v>10678</v>
      </c>
      <c r="B1134">
        <v>54</v>
      </c>
      <c r="C1134">
        <v>7.45</v>
      </c>
      <c r="D1134">
        <v>30</v>
      </c>
      <c r="E1134">
        <v>0</v>
      </c>
      <c r="F1134">
        <f t="shared" si="17"/>
        <v>223.5</v>
      </c>
      <c r="G1134">
        <f>YEAR(VLOOKUP(A1134,orders!A:D,4,0))</f>
        <v>2014</v>
      </c>
      <c r="H1134">
        <f>MONTH(INDEX(orders!D:D,MATCH(A1134, orders!A:A,0)))</f>
        <v>9</v>
      </c>
      <c r="I1134" t="str">
        <f>VLOOKUP(VLOOKUP(B1134,products!A:F,6,0),categories!A:B,2,0)</f>
        <v>Meat &amp; Poultry</v>
      </c>
      <c r="J1134" t="str">
        <f>VLOOKUP(VLOOKUP(A1134,orders!A:B,2,0),customers!A:F,6,0)</f>
        <v>USA</v>
      </c>
      <c r="K1134" t="str">
        <f>VLOOKUP(VLOOKUP(A1134,orders!A:C,3,0),employees!A:B,2,0)</f>
        <v>Robert King</v>
      </c>
    </row>
    <row r="1135" spans="1:11" x14ac:dyDescent="0.25">
      <c r="A1135">
        <v>10679</v>
      </c>
      <c r="B1135">
        <v>59</v>
      </c>
      <c r="C1135">
        <v>55</v>
      </c>
      <c r="D1135">
        <v>12</v>
      </c>
      <c r="E1135">
        <v>0</v>
      </c>
      <c r="F1135">
        <f t="shared" si="17"/>
        <v>660</v>
      </c>
      <c r="G1135">
        <f>YEAR(VLOOKUP(A1135,orders!A:D,4,0))</f>
        <v>2014</v>
      </c>
      <c r="H1135">
        <f>MONTH(INDEX(orders!D:D,MATCH(A1135, orders!A:A,0)))</f>
        <v>9</v>
      </c>
      <c r="I1135" t="str">
        <f>VLOOKUP(VLOOKUP(B1135,products!A:F,6,0),categories!A:B,2,0)</f>
        <v>Dairy Products</v>
      </c>
      <c r="J1135" t="str">
        <f>VLOOKUP(VLOOKUP(A1135,orders!A:B,2,0),customers!A:F,6,0)</f>
        <v>France</v>
      </c>
      <c r="K1135" t="str">
        <f>VLOOKUP(VLOOKUP(A1135,orders!A:C,3,0),employees!A:B,2,0)</f>
        <v>Laura Callahan</v>
      </c>
    </row>
    <row r="1136" spans="1:11" x14ac:dyDescent="0.25">
      <c r="A1136">
        <v>10680</v>
      </c>
      <c r="B1136">
        <v>16</v>
      </c>
      <c r="C1136">
        <v>17.45</v>
      </c>
      <c r="D1136">
        <v>50</v>
      </c>
      <c r="E1136">
        <v>0.25</v>
      </c>
      <c r="F1136">
        <f t="shared" si="17"/>
        <v>654.375</v>
      </c>
      <c r="G1136">
        <f>YEAR(VLOOKUP(A1136,orders!A:D,4,0))</f>
        <v>2014</v>
      </c>
      <c r="H1136">
        <f>MONTH(INDEX(orders!D:D,MATCH(A1136, orders!A:A,0)))</f>
        <v>9</v>
      </c>
      <c r="I1136" t="str">
        <f>VLOOKUP(VLOOKUP(B1136,products!A:F,6,0),categories!A:B,2,0)</f>
        <v>Confections</v>
      </c>
      <c r="J1136" t="str">
        <f>VLOOKUP(VLOOKUP(A1136,orders!A:B,2,0),customers!A:F,6,0)</f>
        <v>USA</v>
      </c>
      <c r="K1136" t="str">
        <f>VLOOKUP(VLOOKUP(A1136,orders!A:C,3,0),employees!A:B,2,0)</f>
        <v>Nancy Davolio</v>
      </c>
    </row>
    <row r="1137" spans="1:11" x14ac:dyDescent="0.25">
      <c r="A1137">
        <v>10680</v>
      </c>
      <c r="B1137">
        <v>31</v>
      </c>
      <c r="C1137">
        <v>12.5</v>
      </c>
      <c r="D1137">
        <v>20</v>
      </c>
      <c r="E1137">
        <v>0.25</v>
      </c>
      <c r="F1137">
        <f t="shared" si="17"/>
        <v>187.5</v>
      </c>
      <c r="G1137">
        <f>YEAR(VLOOKUP(A1137,orders!A:D,4,0))</f>
        <v>2014</v>
      </c>
      <c r="H1137">
        <f>MONTH(INDEX(orders!D:D,MATCH(A1137, orders!A:A,0)))</f>
        <v>9</v>
      </c>
      <c r="I1137" t="str">
        <f>VLOOKUP(VLOOKUP(B1137,products!A:F,6,0),categories!A:B,2,0)</f>
        <v>Dairy Products</v>
      </c>
      <c r="J1137" t="str">
        <f>VLOOKUP(VLOOKUP(A1137,orders!A:B,2,0),customers!A:F,6,0)</f>
        <v>USA</v>
      </c>
      <c r="K1137" t="str">
        <f>VLOOKUP(VLOOKUP(A1137,orders!A:C,3,0),employees!A:B,2,0)</f>
        <v>Nancy Davolio</v>
      </c>
    </row>
    <row r="1138" spans="1:11" x14ac:dyDescent="0.25">
      <c r="A1138">
        <v>10680</v>
      </c>
      <c r="B1138">
        <v>42</v>
      </c>
      <c r="C1138">
        <v>14</v>
      </c>
      <c r="D1138">
        <v>40</v>
      </c>
      <c r="E1138">
        <v>0.25</v>
      </c>
      <c r="F1138">
        <f t="shared" si="17"/>
        <v>420</v>
      </c>
      <c r="G1138">
        <f>YEAR(VLOOKUP(A1138,orders!A:D,4,0))</f>
        <v>2014</v>
      </c>
      <c r="H1138">
        <f>MONTH(INDEX(orders!D:D,MATCH(A1138, orders!A:A,0)))</f>
        <v>9</v>
      </c>
      <c r="I1138" t="str">
        <f>VLOOKUP(VLOOKUP(B1138,products!A:F,6,0),categories!A:B,2,0)</f>
        <v>Grains &amp; Cereals</v>
      </c>
      <c r="J1138" t="str">
        <f>VLOOKUP(VLOOKUP(A1138,orders!A:B,2,0),customers!A:F,6,0)</f>
        <v>USA</v>
      </c>
      <c r="K1138" t="str">
        <f>VLOOKUP(VLOOKUP(A1138,orders!A:C,3,0),employees!A:B,2,0)</f>
        <v>Nancy Davolio</v>
      </c>
    </row>
    <row r="1139" spans="1:11" x14ac:dyDescent="0.25">
      <c r="A1139">
        <v>10681</v>
      </c>
      <c r="B1139">
        <v>19</v>
      </c>
      <c r="C1139">
        <v>9.1999999999999993</v>
      </c>
      <c r="D1139">
        <v>30</v>
      </c>
      <c r="E1139">
        <v>0.1</v>
      </c>
      <c r="F1139">
        <f t="shared" si="17"/>
        <v>248.4</v>
      </c>
      <c r="G1139">
        <f>YEAR(VLOOKUP(A1139,orders!A:D,4,0))</f>
        <v>2014</v>
      </c>
      <c r="H1139">
        <f>MONTH(INDEX(orders!D:D,MATCH(A1139, orders!A:A,0)))</f>
        <v>9</v>
      </c>
      <c r="I1139" t="str">
        <f>VLOOKUP(VLOOKUP(B1139,products!A:F,6,0),categories!A:B,2,0)</f>
        <v>Confections</v>
      </c>
      <c r="J1139" t="str">
        <f>VLOOKUP(VLOOKUP(A1139,orders!A:B,2,0),customers!A:F,6,0)</f>
        <v>USA</v>
      </c>
      <c r="K1139" t="str">
        <f>VLOOKUP(VLOOKUP(A1139,orders!A:C,3,0),employees!A:B,2,0)</f>
        <v>Janet Leverling</v>
      </c>
    </row>
    <row r="1140" spans="1:11" x14ac:dyDescent="0.25">
      <c r="A1140">
        <v>10681</v>
      </c>
      <c r="B1140">
        <v>21</v>
      </c>
      <c r="C1140">
        <v>10</v>
      </c>
      <c r="D1140">
        <v>12</v>
      </c>
      <c r="E1140">
        <v>0.1</v>
      </c>
      <c r="F1140">
        <f t="shared" si="17"/>
        <v>108</v>
      </c>
      <c r="G1140">
        <f>YEAR(VLOOKUP(A1140,orders!A:D,4,0))</f>
        <v>2014</v>
      </c>
      <c r="H1140">
        <f>MONTH(INDEX(orders!D:D,MATCH(A1140, orders!A:A,0)))</f>
        <v>9</v>
      </c>
      <c r="I1140" t="str">
        <f>VLOOKUP(VLOOKUP(B1140,products!A:F,6,0),categories!A:B,2,0)</f>
        <v>Confections</v>
      </c>
      <c r="J1140" t="str">
        <f>VLOOKUP(VLOOKUP(A1140,orders!A:B,2,0),customers!A:F,6,0)</f>
        <v>USA</v>
      </c>
      <c r="K1140" t="str">
        <f>VLOOKUP(VLOOKUP(A1140,orders!A:C,3,0),employees!A:B,2,0)</f>
        <v>Janet Leverling</v>
      </c>
    </row>
    <row r="1141" spans="1:11" x14ac:dyDescent="0.25">
      <c r="A1141">
        <v>10681</v>
      </c>
      <c r="B1141">
        <v>64</v>
      </c>
      <c r="C1141">
        <v>33.25</v>
      </c>
      <c r="D1141">
        <v>28</v>
      </c>
      <c r="E1141">
        <v>0</v>
      </c>
      <c r="F1141">
        <f t="shared" si="17"/>
        <v>931</v>
      </c>
      <c r="G1141">
        <f>YEAR(VLOOKUP(A1141,orders!A:D,4,0))</f>
        <v>2014</v>
      </c>
      <c r="H1141">
        <f>MONTH(INDEX(orders!D:D,MATCH(A1141, orders!A:A,0)))</f>
        <v>9</v>
      </c>
      <c r="I1141" t="str">
        <f>VLOOKUP(VLOOKUP(B1141,products!A:F,6,0),categories!A:B,2,0)</f>
        <v>Grains &amp; Cereals</v>
      </c>
      <c r="J1141" t="str">
        <f>VLOOKUP(VLOOKUP(A1141,orders!A:B,2,0),customers!A:F,6,0)</f>
        <v>USA</v>
      </c>
      <c r="K1141" t="str">
        <f>VLOOKUP(VLOOKUP(A1141,orders!A:C,3,0),employees!A:B,2,0)</f>
        <v>Janet Leverling</v>
      </c>
    </row>
    <row r="1142" spans="1:11" x14ac:dyDescent="0.25">
      <c r="A1142">
        <v>10682</v>
      </c>
      <c r="B1142">
        <v>33</v>
      </c>
      <c r="C1142">
        <v>2.5</v>
      </c>
      <c r="D1142">
        <v>30</v>
      </c>
      <c r="E1142">
        <v>0</v>
      </c>
      <c r="F1142">
        <f t="shared" si="17"/>
        <v>75</v>
      </c>
      <c r="G1142">
        <f>YEAR(VLOOKUP(A1142,orders!A:D,4,0))</f>
        <v>2014</v>
      </c>
      <c r="H1142">
        <f>MONTH(INDEX(orders!D:D,MATCH(A1142, orders!A:A,0)))</f>
        <v>9</v>
      </c>
      <c r="I1142" t="str">
        <f>VLOOKUP(VLOOKUP(B1142,products!A:F,6,0),categories!A:B,2,0)</f>
        <v>Dairy Products</v>
      </c>
      <c r="J1142" t="str">
        <f>VLOOKUP(VLOOKUP(A1142,orders!A:B,2,0),customers!A:F,6,0)</f>
        <v>Mexico</v>
      </c>
      <c r="K1142" t="str">
        <f>VLOOKUP(VLOOKUP(A1142,orders!A:C,3,0),employees!A:B,2,0)</f>
        <v>Janet Leverling</v>
      </c>
    </row>
    <row r="1143" spans="1:11" x14ac:dyDescent="0.25">
      <c r="A1143">
        <v>10682</v>
      </c>
      <c r="B1143">
        <v>66</v>
      </c>
      <c r="C1143">
        <v>17</v>
      </c>
      <c r="D1143">
        <v>4</v>
      </c>
      <c r="E1143">
        <v>0</v>
      </c>
      <c r="F1143">
        <f t="shared" si="17"/>
        <v>68</v>
      </c>
      <c r="G1143">
        <f>YEAR(VLOOKUP(A1143,orders!A:D,4,0))</f>
        <v>2014</v>
      </c>
      <c r="H1143">
        <f>MONTH(INDEX(orders!D:D,MATCH(A1143, orders!A:A,0)))</f>
        <v>9</v>
      </c>
      <c r="I1143" t="str">
        <f>VLOOKUP(VLOOKUP(B1143,products!A:F,6,0),categories!A:B,2,0)</f>
        <v>Condiments</v>
      </c>
      <c r="J1143" t="str">
        <f>VLOOKUP(VLOOKUP(A1143,orders!A:B,2,0),customers!A:F,6,0)</f>
        <v>Mexico</v>
      </c>
      <c r="K1143" t="str">
        <f>VLOOKUP(VLOOKUP(A1143,orders!A:C,3,0),employees!A:B,2,0)</f>
        <v>Janet Leverling</v>
      </c>
    </row>
    <row r="1144" spans="1:11" x14ac:dyDescent="0.25">
      <c r="A1144">
        <v>10682</v>
      </c>
      <c r="B1144">
        <v>75</v>
      </c>
      <c r="C1144">
        <v>7.75</v>
      </c>
      <c r="D1144">
        <v>30</v>
      </c>
      <c r="E1144">
        <v>0</v>
      </c>
      <c r="F1144">
        <f t="shared" si="17"/>
        <v>232.5</v>
      </c>
      <c r="G1144">
        <f>YEAR(VLOOKUP(A1144,orders!A:D,4,0))</f>
        <v>2014</v>
      </c>
      <c r="H1144">
        <f>MONTH(INDEX(orders!D:D,MATCH(A1144, orders!A:A,0)))</f>
        <v>9</v>
      </c>
      <c r="I1144" t="str">
        <f>VLOOKUP(VLOOKUP(B1144,products!A:F,6,0),categories!A:B,2,0)</f>
        <v>Beverages</v>
      </c>
      <c r="J1144" t="str">
        <f>VLOOKUP(VLOOKUP(A1144,orders!A:B,2,0),customers!A:F,6,0)</f>
        <v>Mexico</v>
      </c>
      <c r="K1144" t="str">
        <f>VLOOKUP(VLOOKUP(A1144,orders!A:C,3,0),employees!A:B,2,0)</f>
        <v>Janet Leverling</v>
      </c>
    </row>
    <row r="1145" spans="1:11" x14ac:dyDescent="0.25">
      <c r="A1145">
        <v>10683</v>
      </c>
      <c r="B1145">
        <v>52</v>
      </c>
      <c r="C1145">
        <v>7</v>
      </c>
      <c r="D1145">
        <v>9</v>
      </c>
      <c r="E1145">
        <v>0</v>
      </c>
      <c r="F1145">
        <f t="shared" si="17"/>
        <v>63</v>
      </c>
      <c r="G1145">
        <f>YEAR(VLOOKUP(A1145,orders!A:D,4,0))</f>
        <v>2014</v>
      </c>
      <c r="H1145">
        <f>MONTH(INDEX(orders!D:D,MATCH(A1145, orders!A:A,0)))</f>
        <v>9</v>
      </c>
      <c r="I1145" t="str">
        <f>VLOOKUP(VLOOKUP(B1145,products!A:F,6,0),categories!A:B,2,0)</f>
        <v>Grains &amp; Cereals</v>
      </c>
      <c r="J1145" t="str">
        <f>VLOOKUP(VLOOKUP(A1145,orders!A:B,2,0),customers!A:F,6,0)</f>
        <v>France</v>
      </c>
      <c r="K1145" t="str">
        <f>VLOOKUP(VLOOKUP(A1145,orders!A:C,3,0),employees!A:B,2,0)</f>
        <v>Andrew Fuller</v>
      </c>
    </row>
    <row r="1146" spans="1:11" x14ac:dyDescent="0.25">
      <c r="A1146">
        <v>10684</v>
      </c>
      <c r="B1146">
        <v>40</v>
      </c>
      <c r="C1146">
        <v>18.399999999999999</v>
      </c>
      <c r="D1146">
        <v>20</v>
      </c>
      <c r="E1146">
        <v>0</v>
      </c>
      <c r="F1146">
        <f t="shared" si="17"/>
        <v>368</v>
      </c>
      <c r="G1146">
        <f>YEAR(VLOOKUP(A1146,orders!A:D,4,0))</f>
        <v>2014</v>
      </c>
      <c r="H1146">
        <f>MONTH(INDEX(orders!D:D,MATCH(A1146, orders!A:A,0)))</f>
        <v>9</v>
      </c>
      <c r="I1146" t="str">
        <f>VLOOKUP(VLOOKUP(B1146,products!A:F,6,0),categories!A:B,2,0)</f>
        <v>Seafood</v>
      </c>
      <c r="J1146" t="str">
        <f>VLOOKUP(VLOOKUP(A1146,orders!A:B,2,0),customers!A:F,6,0)</f>
        <v>Germany</v>
      </c>
      <c r="K1146" t="str">
        <f>VLOOKUP(VLOOKUP(A1146,orders!A:C,3,0),employees!A:B,2,0)</f>
        <v>Janet Leverling</v>
      </c>
    </row>
    <row r="1147" spans="1:11" x14ac:dyDescent="0.25">
      <c r="A1147">
        <v>10684</v>
      </c>
      <c r="B1147">
        <v>47</v>
      </c>
      <c r="C1147">
        <v>9.5</v>
      </c>
      <c r="D1147">
        <v>40</v>
      </c>
      <c r="E1147">
        <v>0</v>
      </c>
      <c r="F1147">
        <f t="shared" si="17"/>
        <v>380</v>
      </c>
      <c r="G1147">
        <f>YEAR(VLOOKUP(A1147,orders!A:D,4,0))</f>
        <v>2014</v>
      </c>
      <c r="H1147">
        <f>MONTH(INDEX(orders!D:D,MATCH(A1147, orders!A:A,0)))</f>
        <v>9</v>
      </c>
      <c r="I1147" t="str">
        <f>VLOOKUP(VLOOKUP(B1147,products!A:F,6,0),categories!A:B,2,0)</f>
        <v>Confections</v>
      </c>
      <c r="J1147" t="str">
        <f>VLOOKUP(VLOOKUP(A1147,orders!A:B,2,0),customers!A:F,6,0)</f>
        <v>Germany</v>
      </c>
      <c r="K1147" t="str">
        <f>VLOOKUP(VLOOKUP(A1147,orders!A:C,3,0),employees!A:B,2,0)</f>
        <v>Janet Leverling</v>
      </c>
    </row>
    <row r="1148" spans="1:11" x14ac:dyDescent="0.25">
      <c r="A1148">
        <v>10684</v>
      </c>
      <c r="B1148">
        <v>60</v>
      </c>
      <c r="C1148">
        <v>34</v>
      </c>
      <c r="D1148">
        <v>30</v>
      </c>
      <c r="E1148">
        <v>0</v>
      </c>
      <c r="F1148">
        <f t="shared" si="17"/>
        <v>1020</v>
      </c>
      <c r="G1148">
        <f>YEAR(VLOOKUP(A1148,orders!A:D,4,0))</f>
        <v>2014</v>
      </c>
      <c r="H1148">
        <f>MONTH(INDEX(orders!D:D,MATCH(A1148, orders!A:A,0)))</f>
        <v>9</v>
      </c>
      <c r="I1148" t="str">
        <f>VLOOKUP(VLOOKUP(B1148,products!A:F,6,0),categories!A:B,2,0)</f>
        <v>Dairy Products</v>
      </c>
      <c r="J1148" t="str">
        <f>VLOOKUP(VLOOKUP(A1148,orders!A:B,2,0),customers!A:F,6,0)</f>
        <v>Germany</v>
      </c>
      <c r="K1148" t="str">
        <f>VLOOKUP(VLOOKUP(A1148,orders!A:C,3,0),employees!A:B,2,0)</f>
        <v>Janet Leverling</v>
      </c>
    </row>
    <row r="1149" spans="1:11" x14ac:dyDescent="0.25">
      <c r="A1149">
        <v>10685</v>
      </c>
      <c r="B1149">
        <v>10</v>
      </c>
      <c r="C1149">
        <v>31</v>
      </c>
      <c r="D1149">
        <v>20</v>
      </c>
      <c r="E1149">
        <v>0</v>
      </c>
      <c r="F1149">
        <f t="shared" si="17"/>
        <v>620</v>
      </c>
      <c r="G1149">
        <f>YEAR(VLOOKUP(A1149,orders!A:D,4,0))</f>
        <v>2014</v>
      </c>
      <c r="H1149">
        <f>MONTH(INDEX(orders!D:D,MATCH(A1149, orders!A:A,0)))</f>
        <v>9</v>
      </c>
      <c r="I1149" t="str">
        <f>VLOOKUP(VLOOKUP(B1149,products!A:F,6,0),categories!A:B,2,0)</f>
        <v>Seafood</v>
      </c>
      <c r="J1149" t="str">
        <f>VLOOKUP(VLOOKUP(A1149,orders!A:B,2,0),customers!A:F,6,0)</f>
        <v>Brazil</v>
      </c>
      <c r="K1149" t="str">
        <f>VLOOKUP(VLOOKUP(A1149,orders!A:C,3,0),employees!A:B,2,0)</f>
        <v>Margaret Peacock</v>
      </c>
    </row>
    <row r="1150" spans="1:11" x14ac:dyDescent="0.25">
      <c r="A1150">
        <v>10685</v>
      </c>
      <c r="B1150">
        <v>41</v>
      </c>
      <c r="C1150">
        <v>9.65</v>
      </c>
      <c r="D1150">
        <v>4</v>
      </c>
      <c r="E1150">
        <v>0</v>
      </c>
      <c r="F1150">
        <f t="shared" si="17"/>
        <v>38.6</v>
      </c>
      <c r="G1150">
        <f>YEAR(VLOOKUP(A1150,orders!A:D,4,0))</f>
        <v>2014</v>
      </c>
      <c r="H1150">
        <f>MONTH(INDEX(orders!D:D,MATCH(A1150, orders!A:A,0)))</f>
        <v>9</v>
      </c>
      <c r="I1150" t="str">
        <f>VLOOKUP(VLOOKUP(B1150,products!A:F,6,0),categories!A:B,2,0)</f>
        <v>Seafood</v>
      </c>
      <c r="J1150" t="str">
        <f>VLOOKUP(VLOOKUP(A1150,orders!A:B,2,0),customers!A:F,6,0)</f>
        <v>Brazil</v>
      </c>
      <c r="K1150" t="str">
        <f>VLOOKUP(VLOOKUP(A1150,orders!A:C,3,0),employees!A:B,2,0)</f>
        <v>Margaret Peacock</v>
      </c>
    </row>
    <row r="1151" spans="1:11" x14ac:dyDescent="0.25">
      <c r="A1151">
        <v>10685</v>
      </c>
      <c r="B1151">
        <v>47</v>
      </c>
      <c r="C1151">
        <v>9.5</v>
      </c>
      <c r="D1151">
        <v>15</v>
      </c>
      <c r="E1151">
        <v>0</v>
      </c>
      <c r="F1151">
        <f t="shared" si="17"/>
        <v>142.5</v>
      </c>
      <c r="G1151">
        <f>YEAR(VLOOKUP(A1151,orders!A:D,4,0))</f>
        <v>2014</v>
      </c>
      <c r="H1151">
        <f>MONTH(INDEX(orders!D:D,MATCH(A1151, orders!A:A,0)))</f>
        <v>9</v>
      </c>
      <c r="I1151" t="str">
        <f>VLOOKUP(VLOOKUP(B1151,products!A:F,6,0),categories!A:B,2,0)</f>
        <v>Confections</v>
      </c>
      <c r="J1151" t="str">
        <f>VLOOKUP(VLOOKUP(A1151,orders!A:B,2,0),customers!A:F,6,0)</f>
        <v>Brazil</v>
      </c>
      <c r="K1151" t="str">
        <f>VLOOKUP(VLOOKUP(A1151,orders!A:C,3,0),employees!A:B,2,0)</f>
        <v>Margaret Peacock</v>
      </c>
    </row>
    <row r="1152" spans="1:11" x14ac:dyDescent="0.25">
      <c r="A1152">
        <v>10686</v>
      </c>
      <c r="B1152">
        <v>17</v>
      </c>
      <c r="C1152">
        <v>39</v>
      </c>
      <c r="D1152">
        <v>30</v>
      </c>
      <c r="E1152">
        <v>0.2</v>
      </c>
      <c r="F1152">
        <f t="shared" si="17"/>
        <v>936</v>
      </c>
      <c r="G1152">
        <f>YEAR(VLOOKUP(A1152,orders!A:D,4,0))</f>
        <v>2014</v>
      </c>
      <c r="H1152">
        <f>MONTH(INDEX(orders!D:D,MATCH(A1152, orders!A:A,0)))</f>
        <v>9</v>
      </c>
      <c r="I1152" t="str">
        <f>VLOOKUP(VLOOKUP(B1152,products!A:F,6,0),categories!A:B,2,0)</f>
        <v>Meat &amp; Poultry</v>
      </c>
      <c r="J1152" t="str">
        <f>VLOOKUP(VLOOKUP(A1152,orders!A:B,2,0),customers!A:F,6,0)</f>
        <v>Austria</v>
      </c>
      <c r="K1152" t="str">
        <f>VLOOKUP(VLOOKUP(A1152,orders!A:C,3,0),employees!A:B,2,0)</f>
        <v>Andrew Fuller</v>
      </c>
    </row>
    <row r="1153" spans="1:11" x14ac:dyDescent="0.25">
      <c r="A1153">
        <v>10686</v>
      </c>
      <c r="B1153">
        <v>26</v>
      </c>
      <c r="C1153">
        <v>31.23</v>
      </c>
      <c r="D1153">
        <v>15</v>
      </c>
      <c r="E1153">
        <v>0</v>
      </c>
      <c r="F1153">
        <f t="shared" si="17"/>
        <v>468.45</v>
      </c>
      <c r="G1153">
        <f>YEAR(VLOOKUP(A1153,orders!A:D,4,0))</f>
        <v>2014</v>
      </c>
      <c r="H1153">
        <f>MONTH(INDEX(orders!D:D,MATCH(A1153, orders!A:A,0)))</f>
        <v>9</v>
      </c>
      <c r="I1153" t="str">
        <f>VLOOKUP(VLOOKUP(B1153,products!A:F,6,0),categories!A:B,2,0)</f>
        <v>Confections</v>
      </c>
      <c r="J1153" t="str">
        <f>VLOOKUP(VLOOKUP(A1153,orders!A:B,2,0),customers!A:F,6,0)</f>
        <v>Austria</v>
      </c>
      <c r="K1153" t="str">
        <f>VLOOKUP(VLOOKUP(A1153,orders!A:C,3,0),employees!A:B,2,0)</f>
        <v>Andrew Fuller</v>
      </c>
    </row>
    <row r="1154" spans="1:11" x14ac:dyDescent="0.25">
      <c r="A1154">
        <v>10687</v>
      </c>
      <c r="B1154">
        <v>9</v>
      </c>
      <c r="C1154">
        <v>97</v>
      </c>
      <c r="D1154">
        <v>50</v>
      </c>
      <c r="E1154">
        <v>0.25</v>
      </c>
      <c r="F1154">
        <f t="shared" si="17"/>
        <v>3637.5</v>
      </c>
      <c r="G1154">
        <f>YEAR(VLOOKUP(A1154,orders!A:D,4,0))</f>
        <v>2014</v>
      </c>
      <c r="H1154">
        <f>MONTH(INDEX(orders!D:D,MATCH(A1154, orders!A:A,0)))</f>
        <v>9</v>
      </c>
      <c r="I1154" t="str">
        <f>VLOOKUP(VLOOKUP(B1154,products!A:F,6,0),categories!A:B,2,0)</f>
        <v>Meat &amp; Poultry</v>
      </c>
      <c r="J1154" t="str">
        <f>VLOOKUP(VLOOKUP(A1154,orders!A:B,2,0),customers!A:F,6,0)</f>
        <v>Ireland</v>
      </c>
      <c r="K1154" t="str">
        <f>VLOOKUP(VLOOKUP(A1154,orders!A:C,3,0),employees!A:B,2,0)</f>
        <v>Anne Dodsworth</v>
      </c>
    </row>
    <row r="1155" spans="1:11" x14ac:dyDescent="0.25">
      <c r="A1155">
        <v>10687</v>
      </c>
      <c r="B1155">
        <v>29</v>
      </c>
      <c r="C1155">
        <v>123.79</v>
      </c>
      <c r="D1155">
        <v>10</v>
      </c>
      <c r="E1155">
        <v>0</v>
      </c>
      <c r="F1155">
        <f t="shared" ref="F1155:F1218" si="18">C1155*D1155*(1-E1155)</f>
        <v>1237.9000000000001</v>
      </c>
      <c r="G1155">
        <f>YEAR(VLOOKUP(A1155,orders!A:D,4,0))</f>
        <v>2014</v>
      </c>
      <c r="H1155">
        <f>MONTH(INDEX(orders!D:D,MATCH(A1155, orders!A:A,0)))</f>
        <v>9</v>
      </c>
      <c r="I1155" t="str">
        <f>VLOOKUP(VLOOKUP(B1155,products!A:F,6,0),categories!A:B,2,0)</f>
        <v>Meat &amp; Poultry</v>
      </c>
      <c r="J1155" t="str">
        <f>VLOOKUP(VLOOKUP(A1155,orders!A:B,2,0),customers!A:F,6,0)</f>
        <v>Ireland</v>
      </c>
      <c r="K1155" t="str">
        <f>VLOOKUP(VLOOKUP(A1155,orders!A:C,3,0),employees!A:B,2,0)</f>
        <v>Anne Dodsworth</v>
      </c>
    </row>
    <row r="1156" spans="1:11" x14ac:dyDescent="0.25">
      <c r="A1156">
        <v>10687</v>
      </c>
      <c r="B1156">
        <v>36</v>
      </c>
      <c r="C1156">
        <v>19</v>
      </c>
      <c r="D1156">
        <v>6</v>
      </c>
      <c r="E1156">
        <v>0.25</v>
      </c>
      <c r="F1156">
        <f t="shared" si="18"/>
        <v>85.5</v>
      </c>
      <c r="G1156">
        <f>YEAR(VLOOKUP(A1156,orders!A:D,4,0))</f>
        <v>2014</v>
      </c>
      <c r="H1156">
        <f>MONTH(INDEX(orders!D:D,MATCH(A1156, orders!A:A,0)))</f>
        <v>9</v>
      </c>
      <c r="I1156" t="str">
        <f>VLOOKUP(VLOOKUP(B1156,products!A:F,6,0),categories!A:B,2,0)</f>
        <v>Seafood</v>
      </c>
      <c r="J1156" t="str">
        <f>VLOOKUP(VLOOKUP(A1156,orders!A:B,2,0),customers!A:F,6,0)</f>
        <v>Ireland</v>
      </c>
      <c r="K1156" t="str">
        <f>VLOOKUP(VLOOKUP(A1156,orders!A:C,3,0),employees!A:B,2,0)</f>
        <v>Anne Dodsworth</v>
      </c>
    </row>
    <row r="1157" spans="1:11" x14ac:dyDescent="0.25">
      <c r="A1157">
        <v>10688</v>
      </c>
      <c r="B1157">
        <v>10</v>
      </c>
      <c r="C1157">
        <v>31</v>
      </c>
      <c r="D1157">
        <v>18</v>
      </c>
      <c r="E1157">
        <v>0.1</v>
      </c>
      <c r="F1157">
        <f t="shared" si="18"/>
        <v>502.2</v>
      </c>
      <c r="G1157">
        <f>YEAR(VLOOKUP(A1157,orders!A:D,4,0))</f>
        <v>2014</v>
      </c>
      <c r="H1157">
        <f>MONTH(INDEX(orders!D:D,MATCH(A1157, orders!A:A,0)))</f>
        <v>10</v>
      </c>
      <c r="I1157" t="str">
        <f>VLOOKUP(VLOOKUP(B1157,products!A:F,6,0),categories!A:B,2,0)</f>
        <v>Seafood</v>
      </c>
      <c r="J1157" t="str">
        <f>VLOOKUP(VLOOKUP(A1157,orders!A:B,2,0),customers!A:F,6,0)</f>
        <v>Denmark</v>
      </c>
      <c r="K1157" t="str">
        <f>VLOOKUP(VLOOKUP(A1157,orders!A:C,3,0),employees!A:B,2,0)</f>
        <v>Margaret Peacock</v>
      </c>
    </row>
    <row r="1158" spans="1:11" x14ac:dyDescent="0.25">
      <c r="A1158">
        <v>10688</v>
      </c>
      <c r="B1158">
        <v>28</v>
      </c>
      <c r="C1158">
        <v>45.6</v>
      </c>
      <c r="D1158">
        <v>60</v>
      </c>
      <c r="E1158">
        <v>0.1</v>
      </c>
      <c r="F1158">
        <f t="shared" si="18"/>
        <v>2462.4</v>
      </c>
      <c r="G1158">
        <f>YEAR(VLOOKUP(A1158,orders!A:D,4,0))</f>
        <v>2014</v>
      </c>
      <c r="H1158">
        <f>MONTH(INDEX(orders!D:D,MATCH(A1158, orders!A:A,0)))</f>
        <v>10</v>
      </c>
      <c r="I1158" t="str">
        <f>VLOOKUP(VLOOKUP(B1158,products!A:F,6,0),categories!A:B,2,0)</f>
        <v>Produce</v>
      </c>
      <c r="J1158" t="str">
        <f>VLOOKUP(VLOOKUP(A1158,orders!A:B,2,0),customers!A:F,6,0)</f>
        <v>Denmark</v>
      </c>
      <c r="K1158" t="str">
        <f>VLOOKUP(VLOOKUP(A1158,orders!A:C,3,0),employees!A:B,2,0)</f>
        <v>Margaret Peacock</v>
      </c>
    </row>
    <row r="1159" spans="1:11" x14ac:dyDescent="0.25">
      <c r="A1159">
        <v>10688</v>
      </c>
      <c r="B1159">
        <v>34</v>
      </c>
      <c r="C1159">
        <v>14</v>
      </c>
      <c r="D1159">
        <v>14</v>
      </c>
      <c r="E1159">
        <v>0</v>
      </c>
      <c r="F1159">
        <f t="shared" si="18"/>
        <v>196</v>
      </c>
      <c r="G1159">
        <f>YEAR(VLOOKUP(A1159,orders!A:D,4,0))</f>
        <v>2014</v>
      </c>
      <c r="H1159">
        <f>MONTH(INDEX(orders!D:D,MATCH(A1159, orders!A:A,0)))</f>
        <v>10</v>
      </c>
      <c r="I1159" t="str">
        <f>VLOOKUP(VLOOKUP(B1159,products!A:F,6,0),categories!A:B,2,0)</f>
        <v>Beverages</v>
      </c>
      <c r="J1159" t="str">
        <f>VLOOKUP(VLOOKUP(A1159,orders!A:B,2,0),customers!A:F,6,0)</f>
        <v>Denmark</v>
      </c>
      <c r="K1159" t="str">
        <f>VLOOKUP(VLOOKUP(A1159,orders!A:C,3,0),employees!A:B,2,0)</f>
        <v>Margaret Peacock</v>
      </c>
    </row>
    <row r="1160" spans="1:11" x14ac:dyDescent="0.25">
      <c r="A1160">
        <v>10689</v>
      </c>
      <c r="B1160">
        <v>1</v>
      </c>
      <c r="C1160">
        <v>18</v>
      </c>
      <c r="D1160">
        <v>35</v>
      </c>
      <c r="E1160">
        <v>0.25</v>
      </c>
      <c r="F1160">
        <f t="shared" si="18"/>
        <v>472.5</v>
      </c>
      <c r="G1160">
        <f>YEAR(VLOOKUP(A1160,orders!A:D,4,0))</f>
        <v>2014</v>
      </c>
      <c r="H1160">
        <f>MONTH(INDEX(orders!D:D,MATCH(A1160, orders!A:A,0)))</f>
        <v>10</v>
      </c>
      <c r="I1160" t="str">
        <f>VLOOKUP(VLOOKUP(B1160,products!A:F,6,0),categories!A:B,2,0)</f>
        <v>Beverages</v>
      </c>
      <c r="J1160" t="str">
        <f>VLOOKUP(VLOOKUP(A1160,orders!A:B,2,0),customers!A:F,6,0)</f>
        <v>Sweden</v>
      </c>
      <c r="K1160" t="str">
        <f>VLOOKUP(VLOOKUP(A1160,orders!A:C,3,0),employees!A:B,2,0)</f>
        <v>Nancy Davolio</v>
      </c>
    </row>
    <row r="1161" spans="1:11" x14ac:dyDescent="0.25">
      <c r="A1161">
        <v>10690</v>
      </c>
      <c r="B1161">
        <v>56</v>
      </c>
      <c r="C1161">
        <v>38</v>
      </c>
      <c r="D1161">
        <v>20</v>
      </c>
      <c r="E1161">
        <v>0.25</v>
      </c>
      <c r="F1161">
        <f t="shared" si="18"/>
        <v>570</v>
      </c>
      <c r="G1161">
        <f>YEAR(VLOOKUP(A1161,orders!A:D,4,0))</f>
        <v>2014</v>
      </c>
      <c r="H1161">
        <f>MONTH(INDEX(orders!D:D,MATCH(A1161, orders!A:A,0)))</f>
        <v>10</v>
      </c>
      <c r="I1161" t="str">
        <f>VLOOKUP(VLOOKUP(B1161,products!A:F,6,0),categories!A:B,2,0)</f>
        <v>Grains &amp; Cereals</v>
      </c>
      <c r="J1161" t="str">
        <f>VLOOKUP(VLOOKUP(A1161,orders!A:B,2,0),customers!A:F,6,0)</f>
        <v>Brazil</v>
      </c>
      <c r="K1161" t="str">
        <f>VLOOKUP(VLOOKUP(A1161,orders!A:C,3,0),employees!A:B,2,0)</f>
        <v>Nancy Davolio</v>
      </c>
    </row>
    <row r="1162" spans="1:11" x14ac:dyDescent="0.25">
      <c r="A1162">
        <v>10690</v>
      </c>
      <c r="B1162">
        <v>77</v>
      </c>
      <c r="C1162">
        <v>13</v>
      </c>
      <c r="D1162">
        <v>30</v>
      </c>
      <c r="E1162">
        <v>0.25</v>
      </c>
      <c r="F1162">
        <f t="shared" si="18"/>
        <v>292.5</v>
      </c>
      <c r="G1162">
        <f>YEAR(VLOOKUP(A1162,orders!A:D,4,0))</f>
        <v>2014</v>
      </c>
      <c r="H1162">
        <f>MONTH(INDEX(orders!D:D,MATCH(A1162, orders!A:A,0)))</f>
        <v>10</v>
      </c>
      <c r="I1162" t="str">
        <f>VLOOKUP(VLOOKUP(B1162,products!A:F,6,0),categories!A:B,2,0)</f>
        <v>Condiments</v>
      </c>
      <c r="J1162" t="str">
        <f>VLOOKUP(VLOOKUP(A1162,orders!A:B,2,0),customers!A:F,6,0)</f>
        <v>Brazil</v>
      </c>
      <c r="K1162" t="str">
        <f>VLOOKUP(VLOOKUP(A1162,orders!A:C,3,0),employees!A:B,2,0)</f>
        <v>Nancy Davolio</v>
      </c>
    </row>
    <row r="1163" spans="1:11" x14ac:dyDescent="0.25">
      <c r="A1163">
        <v>10691</v>
      </c>
      <c r="B1163">
        <v>1</v>
      </c>
      <c r="C1163">
        <v>18</v>
      </c>
      <c r="D1163">
        <v>30</v>
      </c>
      <c r="E1163">
        <v>0</v>
      </c>
      <c r="F1163">
        <f t="shared" si="18"/>
        <v>540</v>
      </c>
      <c r="G1163">
        <f>YEAR(VLOOKUP(A1163,orders!A:D,4,0))</f>
        <v>2014</v>
      </c>
      <c r="H1163">
        <f>MONTH(INDEX(orders!D:D,MATCH(A1163, orders!A:A,0)))</f>
        <v>10</v>
      </c>
      <c r="I1163" t="str">
        <f>VLOOKUP(VLOOKUP(B1163,products!A:F,6,0),categories!A:B,2,0)</f>
        <v>Beverages</v>
      </c>
      <c r="J1163" t="str">
        <f>VLOOKUP(VLOOKUP(A1163,orders!A:B,2,0),customers!A:F,6,0)</f>
        <v>Germany</v>
      </c>
      <c r="K1163" t="str">
        <f>VLOOKUP(VLOOKUP(A1163,orders!A:C,3,0),employees!A:B,2,0)</f>
        <v>Andrew Fuller</v>
      </c>
    </row>
    <row r="1164" spans="1:11" x14ac:dyDescent="0.25">
      <c r="A1164">
        <v>10691</v>
      </c>
      <c r="B1164">
        <v>29</v>
      </c>
      <c r="C1164">
        <v>123.79</v>
      </c>
      <c r="D1164">
        <v>40</v>
      </c>
      <c r="E1164">
        <v>0</v>
      </c>
      <c r="F1164">
        <f t="shared" si="18"/>
        <v>4951.6000000000004</v>
      </c>
      <c r="G1164">
        <f>YEAR(VLOOKUP(A1164,orders!A:D,4,0))</f>
        <v>2014</v>
      </c>
      <c r="H1164">
        <f>MONTH(INDEX(orders!D:D,MATCH(A1164, orders!A:A,0)))</f>
        <v>10</v>
      </c>
      <c r="I1164" t="str">
        <f>VLOOKUP(VLOOKUP(B1164,products!A:F,6,0),categories!A:B,2,0)</f>
        <v>Meat &amp; Poultry</v>
      </c>
      <c r="J1164" t="str">
        <f>VLOOKUP(VLOOKUP(A1164,orders!A:B,2,0),customers!A:F,6,0)</f>
        <v>Germany</v>
      </c>
      <c r="K1164" t="str">
        <f>VLOOKUP(VLOOKUP(A1164,orders!A:C,3,0),employees!A:B,2,0)</f>
        <v>Andrew Fuller</v>
      </c>
    </row>
    <row r="1165" spans="1:11" x14ac:dyDescent="0.25">
      <c r="A1165">
        <v>10691</v>
      </c>
      <c r="B1165">
        <v>43</v>
      </c>
      <c r="C1165">
        <v>46</v>
      </c>
      <c r="D1165">
        <v>40</v>
      </c>
      <c r="E1165">
        <v>0</v>
      </c>
      <c r="F1165">
        <f t="shared" si="18"/>
        <v>1840</v>
      </c>
      <c r="G1165">
        <f>YEAR(VLOOKUP(A1165,orders!A:D,4,0))</f>
        <v>2014</v>
      </c>
      <c r="H1165">
        <f>MONTH(INDEX(orders!D:D,MATCH(A1165, orders!A:A,0)))</f>
        <v>10</v>
      </c>
      <c r="I1165" t="str">
        <f>VLOOKUP(VLOOKUP(B1165,products!A:F,6,0),categories!A:B,2,0)</f>
        <v>Beverages</v>
      </c>
      <c r="J1165" t="str">
        <f>VLOOKUP(VLOOKUP(A1165,orders!A:B,2,0),customers!A:F,6,0)</f>
        <v>Germany</v>
      </c>
      <c r="K1165" t="str">
        <f>VLOOKUP(VLOOKUP(A1165,orders!A:C,3,0),employees!A:B,2,0)</f>
        <v>Andrew Fuller</v>
      </c>
    </row>
    <row r="1166" spans="1:11" x14ac:dyDescent="0.25">
      <c r="A1166">
        <v>10691</v>
      </c>
      <c r="B1166">
        <v>44</v>
      </c>
      <c r="C1166">
        <v>19.45</v>
      </c>
      <c r="D1166">
        <v>24</v>
      </c>
      <c r="E1166">
        <v>0</v>
      </c>
      <c r="F1166">
        <f t="shared" si="18"/>
        <v>466.79999999999995</v>
      </c>
      <c r="G1166">
        <f>YEAR(VLOOKUP(A1166,orders!A:D,4,0))</f>
        <v>2014</v>
      </c>
      <c r="H1166">
        <f>MONTH(INDEX(orders!D:D,MATCH(A1166, orders!A:A,0)))</f>
        <v>10</v>
      </c>
      <c r="I1166" t="str">
        <f>VLOOKUP(VLOOKUP(B1166,products!A:F,6,0),categories!A:B,2,0)</f>
        <v>Condiments</v>
      </c>
      <c r="J1166" t="str">
        <f>VLOOKUP(VLOOKUP(A1166,orders!A:B,2,0),customers!A:F,6,0)</f>
        <v>Germany</v>
      </c>
      <c r="K1166" t="str">
        <f>VLOOKUP(VLOOKUP(A1166,orders!A:C,3,0),employees!A:B,2,0)</f>
        <v>Andrew Fuller</v>
      </c>
    </row>
    <row r="1167" spans="1:11" x14ac:dyDescent="0.25">
      <c r="A1167">
        <v>10691</v>
      </c>
      <c r="B1167">
        <v>62</v>
      </c>
      <c r="C1167">
        <v>49.3</v>
      </c>
      <c r="D1167">
        <v>48</v>
      </c>
      <c r="E1167">
        <v>0</v>
      </c>
      <c r="F1167">
        <f t="shared" si="18"/>
        <v>2366.3999999999996</v>
      </c>
      <c r="G1167">
        <f>YEAR(VLOOKUP(A1167,orders!A:D,4,0))</f>
        <v>2014</v>
      </c>
      <c r="H1167">
        <f>MONTH(INDEX(orders!D:D,MATCH(A1167, orders!A:A,0)))</f>
        <v>10</v>
      </c>
      <c r="I1167" t="str">
        <f>VLOOKUP(VLOOKUP(B1167,products!A:F,6,0),categories!A:B,2,0)</f>
        <v>Confections</v>
      </c>
      <c r="J1167" t="str">
        <f>VLOOKUP(VLOOKUP(A1167,orders!A:B,2,0),customers!A:F,6,0)</f>
        <v>Germany</v>
      </c>
      <c r="K1167" t="str">
        <f>VLOOKUP(VLOOKUP(A1167,orders!A:C,3,0),employees!A:B,2,0)</f>
        <v>Andrew Fuller</v>
      </c>
    </row>
    <row r="1168" spans="1:11" x14ac:dyDescent="0.25">
      <c r="A1168">
        <v>10692</v>
      </c>
      <c r="B1168">
        <v>63</v>
      </c>
      <c r="C1168">
        <v>43.9</v>
      </c>
      <c r="D1168">
        <v>20</v>
      </c>
      <c r="E1168">
        <v>0</v>
      </c>
      <c r="F1168">
        <f t="shared" si="18"/>
        <v>878</v>
      </c>
      <c r="G1168">
        <f>YEAR(VLOOKUP(A1168,orders!A:D,4,0))</f>
        <v>2014</v>
      </c>
      <c r="H1168">
        <f>MONTH(INDEX(orders!D:D,MATCH(A1168, orders!A:A,0)))</f>
        <v>10</v>
      </c>
      <c r="I1168" t="str">
        <f>VLOOKUP(VLOOKUP(B1168,products!A:F,6,0),categories!A:B,2,0)</f>
        <v>Condiments</v>
      </c>
      <c r="J1168" t="str">
        <f>VLOOKUP(VLOOKUP(A1168,orders!A:B,2,0),customers!A:F,6,0)</f>
        <v>Germany</v>
      </c>
      <c r="K1168" t="str">
        <f>VLOOKUP(VLOOKUP(A1168,orders!A:C,3,0),employees!A:B,2,0)</f>
        <v>Margaret Peacock</v>
      </c>
    </row>
    <row r="1169" spans="1:11" x14ac:dyDescent="0.25">
      <c r="A1169">
        <v>10693</v>
      </c>
      <c r="B1169">
        <v>9</v>
      </c>
      <c r="C1169">
        <v>97</v>
      </c>
      <c r="D1169">
        <v>6</v>
      </c>
      <c r="E1169">
        <v>0</v>
      </c>
      <c r="F1169">
        <f t="shared" si="18"/>
        <v>582</v>
      </c>
      <c r="G1169">
        <f>YEAR(VLOOKUP(A1169,orders!A:D,4,0))</f>
        <v>2014</v>
      </c>
      <c r="H1169">
        <f>MONTH(INDEX(orders!D:D,MATCH(A1169, orders!A:A,0)))</f>
        <v>10</v>
      </c>
      <c r="I1169" t="str">
        <f>VLOOKUP(VLOOKUP(B1169,products!A:F,6,0),categories!A:B,2,0)</f>
        <v>Meat &amp; Poultry</v>
      </c>
      <c r="J1169" t="str">
        <f>VLOOKUP(VLOOKUP(A1169,orders!A:B,2,0),customers!A:F,6,0)</f>
        <v>USA</v>
      </c>
      <c r="K1169" t="str">
        <f>VLOOKUP(VLOOKUP(A1169,orders!A:C,3,0),employees!A:B,2,0)</f>
        <v>Janet Leverling</v>
      </c>
    </row>
    <row r="1170" spans="1:11" x14ac:dyDescent="0.25">
      <c r="A1170">
        <v>10693</v>
      </c>
      <c r="B1170">
        <v>54</v>
      </c>
      <c r="C1170">
        <v>7.45</v>
      </c>
      <c r="D1170">
        <v>60</v>
      </c>
      <c r="E1170">
        <v>0.15</v>
      </c>
      <c r="F1170">
        <f t="shared" si="18"/>
        <v>379.95</v>
      </c>
      <c r="G1170">
        <f>YEAR(VLOOKUP(A1170,orders!A:D,4,0))</f>
        <v>2014</v>
      </c>
      <c r="H1170">
        <f>MONTH(INDEX(orders!D:D,MATCH(A1170, orders!A:A,0)))</f>
        <v>10</v>
      </c>
      <c r="I1170" t="str">
        <f>VLOOKUP(VLOOKUP(B1170,products!A:F,6,0),categories!A:B,2,0)</f>
        <v>Meat &amp; Poultry</v>
      </c>
      <c r="J1170" t="str">
        <f>VLOOKUP(VLOOKUP(A1170,orders!A:B,2,0),customers!A:F,6,0)</f>
        <v>USA</v>
      </c>
      <c r="K1170" t="str">
        <f>VLOOKUP(VLOOKUP(A1170,orders!A:C,3,0),employees!A:B,2,0)</f>
        <v>Janet Leverling</v>
      </c>
    </row>
    <row r="1171" spans="1:11" x14ac:dyDescent="0.25">
      <c r="A1171">
        <v>10693</v>
      </c>
      <c r="B1171">
        <v>69</v>
      </c>
      <c r="C1171">
        <v>36</v>
      </c>
      <c r="D1171">
        <v>30</v>
      </c>
      <c r="E1171">
        <v>0.15</v>
      </c>
      <c r="F1171">
        <f t="shared" si="18"/>
        <v>918</v>
      </c>
      <c r="G1171">
        <f>YEAR(VLOOKUP(A1171,orders!A:D,4,0))</f>
        <v>2014</v>
      </c>
      <c r="H1171">
        <f>MONTH(INDEX(orders!D:D,MATCH(A1171, orders!A:A,0)))</f>
        <v>10</v>
      </c>
      <c r="I1171" t="str">
        <f>VLOOKUP(VLOOKUP(B1171,products!A:F,6,0),categories!A:B,2,0)</f>
        <v>Dairy Products</v>
      </c>
      <c r="J1171" t="str">
        <f>VLOOKUP(VLOOKUP(A1171,orders!A:B,2,0),customers!A:F,6,0)</f>
        <v>USA</v>
      </c>
      <c r="K1171" t="str">
        <f>VLOOKUP(VLOOKUP(A1171,orders!A:C,3,0),employees!A:B,2,0)</f>
        <v>Janet Leverling</v>
      </c>
    </row>
    <row r="1172" spans="1:11" x14ac:dyDescent="0.25">
      <c r="A1172">
        <v>10693</v>
      </c>
      <c r="B1172">
        <v>73</v>
      </c>
      <c r="C1172">
        <v>15</v>
      </c>
      <c r="D1172">
        <v>15</v>
      </c>
      <c r="E1172">
        <v>0.15</v>
      </c>
      <c r="F1172">
        <f t="shared" si="18"/>
        <v>191.25</v>
      </c>
      <c r="G1172">
        <f>YEAR(VLOOKUP(A1172,orders!A:D,4,0))</f>
        <v>2014</v>
      </c>
      <c r="H1172">
        <f>MONTH(INDEX(orders!D:D,MATCH(A1172, orders!A:A,0)))</f>
        <v>10</v>
      </c>
      <c r="I1172" t="str">
        <f>VLOOKUP(VLOOKUP(B1172,products!A:F,6,0),categories!A:B,2,0)</f>
        <v>Seafood</v>
      </c>
      <c r="J1172" t="str">
        <f>VLOOKUP(VLOOKUP(A1172,orders!A:B,2,0),customers!A:F,6,0)</f>
        <v>USA</v>
      </c>
      <c r="K1172" t="str">
        <f>VLOOKUP(VLOOKUP(A1172,orders!A:C,3,0),employees!A:B,2,0)</f>
        <v>Janet Leverling</v>
      </c>
    </row>
    <row r="1173" spans="1:11" x14ac:dyDescent="0.25">
      <c r="A1173">
        <v>10694</v>
      </c>
      <c r="B1173">
        <v>7</v>
      </c>
      <c r="C1173">
        <v>30</v>
      </c>
      <c r="D1173">
        <v>90</v>
      </c>
      <c r="E1173">
        <v>0</v>
      </c>
      <c r="F1173">
        <f t="shared" si="18"/>
        <v>2700</v>
      </c>
      <c r="G1173">
        <f>YEAR(VLOOKUP(A1173,orders!A:D,4,0))</f>
        <v>2014</v>
      </c>
      <c r="H1173">
        <f>MONTH(INDEX(orders!D:D,MATCH(A1173, orders!A:A,0)))</f>
        <v>10</v>
      </c>
      <c r="I1173" t="str">
        <f>VLOOKUP(VLOOKUP(B1173,products!A:F,6,0),categories!A:B,2,0)</f>
        <v>Produce</v>
      </c>
      <c r="J1173" t="str">
        <f>VLOOKUP(VLOOKUP(A1173,orders!A:B,2,0),customers!A:F,6,0)</f>
        <v>Germany</v>
      </c>
      <c r="K1173" t="str">
        <f>VLOOKUP(VLOOKUP(A1173,orders!A:C,3,0),employees!A:B,2,0)</f>
        <v>Laura Callahan</v>
      </c>
    </row>
    <row r="1174" spans="1:11" x14ac:dyDescent="0.25">
      <c r="A1174">
        <v>10694</v>
      </c>
      <c r="B1174">
        <v>59</v>
      </c>
      <c r="C1174">
        <v>55</v>
      </c>
      <c r="D1174">
        <v>25</v>
      </c>
      <c r="E1174">
        <v>0</v>
      </c>
      <c r="F1174">
        <f t="shared" si="18"/>
        <v>1375</v>
      </c>
      <c r="G1174">
        <f>YEAR(VLOOKUP(A1174,orders!A:D,4,0))</f>
        <v>2014</v>
      </c>
      <c r="H1174">
        <f>MONTH(INDEX(orders!D:D,MATCH(A1174, orders!A:A,0)))</f>
        <v>10</v>
      </c>
      <c r="I1174" t="str">
        <f>VLOOKUP(VLOOKUP(B1174,products!A:F,6,0),categories!A:B,2,0)</f>
        <v>Dairy Products</v>
      </c>
      <c r="J1174" t="str">
        <f>VLOOKUP(VLOOKUP(A1174,orders!A:B,2,0),customers!A:F,6,0)</f>
        <v>Germany</v>
      </c>
      <c r="K1174" t="str">
        <f>VLOOKUP(VLOOKUP(A1174,orders!A:C,3,0),employees!A:B,2,0)</f>
        <v>Laura Callahan</v>
      </c>
    </row>
    <row r="1175" spans="1:11" x14ac:dyDescent="0.25">
      <c r="A1175">
        <v>10694</v>
      </c>
      <c r="B1175">
        <v>70</v>
      </c>
      <c r="C1175">
        <v>15</v>
      </c>
      <c r="D1175">
        <v>50</v>
      </c>
      <c r="E1175">
        <v>0</v>
      </c>
      <c r="F1175">
        <f t="shared" si="18"/>
        <v>750</v>
      </c>
      <c r="G1175">
        <f>YEAR(VLOOKUP(A1175,orders!A:D,4,0))</f>
        <v>2014</v>
      </c>
      <c r="H1175">
        <f>MONTH(INDEX(orders!D:D,MATCH(A1175, orders!A:A,0)))</f>
        <v>10</v>
      </c>
      <c r="I1175" t="str">
        <f>VLOOKUP(VLOOKUP(B1175,products!A:F,6,0),categories!A:B,2,0)</f>
        <v>Beverages</v>
      </c>
      <c r="J1175" t="str">
        <f>VLOOKUP(VLOOKUP(A1175,orders!A:B,2,0),customers!A:F,6,0)</f>
        <v>Germany</v>
      </c>
      <c r="K1175" t="str">
        <f>VLOOKUP(VLOOKUP(A1175,orders!A:C,3,0),employees!A:B,2,0)</f>
        <v>Laura Callahan</v>
      </c>
    </row>
    <row r="1176" spans="1:11" x14ac:dyDescent="0.25">
      <c r="A1176">
        <v>10695</v>
      </c>
      <c r="B1176">
        <v>8</v>
      </c>
      <c r="C1176">
        <v>40</v>
      </c>
      <c r="D1176">
        <v>10</v>
      </c>
      <c r="E1176">
        <v>0</v>
      </c>
      <c r="F1176">
        <f t="shared" si="18"/>
        <v>400</v>
      </c>
      <c r="G1176">
        <f>YEAR(VLOOKUP(A1176,orders!A:D,4,0))</f>
        <v>2014</v>
      </c>
      <c r="H1176">
        <f>MONTH(INDEX(orders!D:D,MATCH(A1176, orders!A:A,0)))</f>
        <v>10</v>
      </c>
      <c r="I1176" t="str">
        <f>VLOOKUP(VLOOKUP(B1176,products!A:F,6,0),categories!A:B,2,0)</f>
        <v>Condiments</v>
      </c>
      <c r="J1176" t="str">
        <f>VLOOKUP(VLOOKUP(A1176,orders!A:B,2,0),customers!A:F,6,0)</f>
        <v>Finland</v>
      </c>
      <c r="K1176" t="str">
        <f>VLOOKUP(VLOOKUP(A1176,orders!A:C,3,0),employees!A:B,2,0)</f>
        <v>Robert King</v>
      </c>
    </row>
    <row r="1177" spans="1:11" x14ac:dyDescent="0.25">
      <c r="A1177">
        <v>10695</v>
      </c>
      <c r="B1177">
        <v>12</v>
      </c>
      <c r="C1177">
        <v>38</v>
      </c>
      <c r="D1177">
        <v>4</v>
      </c>
      <c r="E1177">
        <v>0</v>
      </c>
      <c r="F1177">
        <f t="shared" si="18"/>
        <v>152</v>
      </c>
      <c r="G1177">
        <f>YEAR(VLOOKUP(A1177,orders!A:D,4,0))</f>
        <v>2014</v>
      </c>
      <c r="H1177">
        <f>MONTH(INDEX(orders!D:D,MATCH(A1177, orders!A:A,0)))</f>
        <v>10</v>
      </c>
      <c r="I1177" t="str">
        <f>VLOOKUP(VLOOKUP(B1177,products!A:F,6,0),categories!A:B,2,0)</f>
        <v>Dairy Products</v>
      </c>
      <c r="J1177" t="str">
        <f>VLOOKUP(VLOOKUP(A1177,orders!A:B,2,0),customers!A:F,6,0)</f>
        <v>Finland</v>
      </c>
      <c r="K1177" t="str">
        <f>VLOOKUP(VLOOKUP(A1177,orders!A:C,3,0),employees!A:B,2,0)</f>
        <v>Robert King</v>
      </c>
    </row>
    <row r="1178" spans="1:11" x14ac:dyDescent="0.25">
      <c r="A1178">
        <v>10695</v>
      </c>
      <c r="B1178">
        <v>24</v>
      </c>
      <c r="C1178">
        <v>4.5</v>
      </c>
      <c r="D1178">
        <v>20</v>
      </c>
      <c r="E1178">
        <v>0</v>
      </c>
      <c r="F1178">
        <f t="shared" si="18"/>
        <v>90</v>
      </c>
      <c r="G1178">
        <f>YEAR(VLOOKUP(A1178,orders!A:D,4,0))</f>
        <v>2014</v>
      </c>
      <c r="H1178">
        <f>MONTH(INDEX(orders!D:D,MATCH(A1178, orders!A:A,0)))</f>
        <v>10</v>
      </c>
      <c r="I1178" t="str">
        <f>VLOOKUP(VLOOKUP(B1178,products!A:F,6,0),categories!A:B,2,0)</f>
        <v>Beverages</v>
      </c>
      <c r="J1178" t="str">
        <f>VLOOKUP(VLOOKUP(A1178,orders!A:B,2,0),customers!A:F,6,0)</f>
        <v>Finland</v>
      </c>
      <c r="K1178" t="str">
        <f>VLOOKUP(VLOOKUP(A1178,orders!A:C,3,0),employees!A:B,2,0)</f>
        <v>Robert King</v>
      </c>
    </row>
    <row r="1179" spans="1:11" x14ac:dyDescent="0.25">
      <c r="A1179">
        <v>10696</v>
      </c>
      <c r="B1179">
        <v>17</v>
      </c>
      <c r="C1179">
        <v>39</v>
      </c>
      <c r="D1179">
        <v>20</v>
      </c>
      <c r="E1179">
        <v>0</v>
      </c>
      <c r="F1179">
        <f t="shared" si="18"/>
        <v>780</v>
      </c>
      <c r="G1179">
        <f>YEAR(VLOOKUP(A1179,orders!A:D,4,0))</f>
        <v>2014</v>
      </c>
      <c r="H1179">
        <f>MONTH(INDEX(orders!D:D,MATCH(A1179, orders!A:A,0)))</f>
        <v>10</v>
      </c>
      <c r="I1179" t="str">
        <f>VLOOKUP(VLOOKUP(B1179,products!A:F,6,0),categories!A:B,2,0)</f>
        <v>Meat &amp; Poultry</v>
      </c>
      <c r="J1179" t="str">
        <f>VLOOKUP(VLOOKUP(A1179,orders!A:B,2,0),customers!A:F,6,0)</f>
        <v>USA</v>
      </c>
      <c r="K1179" t="str">
        <f>VLOOKUP(VLOOKUP(A1179,orders!A:C,3,0),employees!A:B,2,0)</f>
        <v>Laura Callahan</v>
      </c>
    </row>
    <row r="1180" spans="1:11" x14ac:dyDescent="0.25">
      <c r="A1180">
        <v>10696</v>
      </c>
      <c r="B1180">
        <v>46</v>
      </c>
      <c r="C1180">
        <v>12</v>
      </c>
      <c r="D1180">
        <v>18</v>
      </c>
      <c r="E1180">
        <v>0</v>
      </c>
      <c r="F1180">
        <f t="shared" si="18"/>
        <v>216</v>
      </c>
      <c r="G1180">
        <f>YEAR(VLOOKUP(A1180,orders!A:D,4,0))</f>
        <v>2014</v>
      </c>
      <c r="H1180">
        <f>MONTH(INDEX(orders!D:D,MATCH(A1180, orders!A:A,0)))</f>
        <v>10</v>
      </c>
      <c r="I1180" t="str">
        <f>VLOOKUP(VLOOKUP(B1180,products!A:F,6,0),categories!A:B,2,0)</f>
        <v>Seafood</v>
      </c>
      <c r="J1180" t="str">
        <f>VLOOKUP(VLOOKUP(A1180,orders!A:B,2,0),customers!A:F,6,0)</f>
        <v>USA</v>
      </c>
      <c r="K1180" t="str">
        <f>VLOOKUP(VLOOKUP(A1180,orders!A:C,3,0),employees!A:B,2,0)</f>
        <v>Laura Callahan</v>
      </c>
    </row>
    <row r="1181" spans="1:11" x14ac:dyDescent="0.25">
      <c r="A1181">
        <v>10697</v>
      </c>
      <c r="B1181">
        <v>19</v>
      </c>
      <c r="C1181">
        <v>9.1999999999999993</v>
      </c>
      <c r="D1181">
        <v>7</v>
      </c>
      <c r="E1181">
        <v>0.25</v>
      </c>
      <c r="F1181">
        <f t="shared" si="18"/>
        <v>48.3</v>
      </c>
      <c r="G1181">
        <f>YEAR(VLOOKUP(A1181,orders!A:D,4,0))</f>
        <v>2014</v>
      </c>
      <c r="H1181">
        <f>MONTH(INDEX(orders!D:D,MATCH(A1181, orders!A:A,0)))</f>
        <v>10</v>
      </c>
      <c r="I1181" t="str">
        <f>VLOOKUP(VLOOKUP(B1181,products!A:F,6,0),categories!A:B,2,0)</f>
        <v>Confections</v>
      </c>
      <c r="J1181" t="str">
        <f>VLOOKUP(VLOOKUP(A1181,orders!A:B,2,0),customers!A:F,6,0)</f>
        <v>Venezuela</v>
      </c>
      <c r="K1181" t="str">
        <f>VLOOKUP(VLOOKUP(A1181,orders!A:C,3,0),employees!A:B,2,0)</f>
        <v>Janet Leverling</v>
      </c>
    </row>
    <row r="1182" spans="1:11" x14ac:dyDescent="0.25">
      <c r="A1182">
        <v>10697</v>
      </c>
      <c r="B1182">
        <v>35</v>
      </c>
      <c r="C1182">
        <v>18</v>
      </c>
      <c r="D1182">
        <v>9</v>
      </c>
      <c r="E1182">
        <v>0.25</v>
      </c>
      <c r="F1182">
        <f t="shared" si="18"/>
        <v>121.5</v>
      </c>
      <c r="G1182">
        <f>YEAR(VLOOKUP(A1182,orders!A:D,4,0))</f>
        <v>2014</v>
      </c>
      <c r="H1182">
        <f>MONTH(INDEX(orders!D:D,MATCH(A1182, orders!A:A,0)))</f>
        <v>10</v>
      </c>
      <c r="I1182" t="str">
        <f>VLOOKUP(VLOOKUP(B1182,products!A:F,6,0),categories!A:B,2,0)</f>
        <v>Beverages</v>
      </c>
      <c r="J1182" t="str">
        <f>VLOOKUP(VLOOKUP(A1182,orders!A:B,2,0),customers!A:F,6,0)</f>
        <v>Venezuela</v>
      </c>
      <c r="K1182" t="str">
        <f>VLOOKUP(VLOOKUP(A1182,orders!A:C,3,0),employees!A:B,2,0)</f>
        <v>Janet Leverling</v>
      </c>
    </row>
    <row r="1183" spans="1:11" x14ac:dyDescent="0.25">
      <c r="A1183">
        <v>10697</v>
      </c>
      <c r="B1183">
        <v>58</v>
      </c>
      <c r="C1183">
        <v>13.25</v>
      </c>
      <c r="D1183">
        <v>30</v>
      </c>
      <c r="E1183">
        <v>0.25</v>
      </c>
      <c r="F1183">
        <f t="shared" si="18"/>
        <v>298.125</v>
      </c>
      <c r="G1183">
        <f>YEAR(VLOOKUP(A1183,orders!A:D,4,0))</f>
        <v>2014</v>
      </c>
      <c r="H1183">
        <f>MONTH(INDEX(orders!D:D,MATCH(A1183, orders!A:A,0)))</f>
        <v>10</v>
      </c>
      <c r="I1183" t="str">
        <f>VLOOKUP(VLOOKUP(B1183,products!A:F,6,0),categories!A:B,2,0)</f>
        <v>Seafood</v>
      </c>
      <c r="J1183" t="str">
        <f>VLOOKUP(VLOOKUP(A1183,orders!A:B,2,0),customers!A:F,6,0)</f>
        <v>Venezuela</v>
      </c>
      <c r="K1183" t="str">
        <f>VLOOKUP(VLOOKUP(A1183,orders!A:C,3,0),employees!A:B,2,0)</f>
        <v>Janet Leverling</v>
      </c>
    </row>
    <row r="1184" spans="1:11" x14ac:dyDescent="0.25">
      <c r="A1184">
        <v>10697</v>
      </c>
      <c r="B1184">
        <v>70</v>
      </c>
      <c r="C1184">
        <v>15</v>
      </c>
      <c r="D1184">
        <v>30</v>
      </c>
      <c r="E1184">
        <v>0.25</v>
      </c>
      <c r="F1184">
        <f t="shared" si="18"/>
        <v>337.5</v>
      </c>
      <c r="G1184">
        <f>YEAR(VLOOKUP(A1184,orders!A:D,4,0))</f>
        <v>2014</v>
      </c>
      <c r="H1184">
        <f>MONTH(INDEX(orders!D:D,MATCH(A1184, orders!A:A,0)))</f>
        <v>10</v>
      </c>
      <c r="I1184" t="str">
        <f>VLOOKUP(VLOOKUP(B1184,products!A:F,6,0),categories!A:B,2,0)</f>
        <v>Beverages</v>
      </c>
      <c r="J1184" t="str">
        <f>VLOOKUP(VLOOKUP(A1184,orders!A:B,2,0),customers!A:F,6,0)</f>
        <v>Venezuela</v>
      </c>
      <c r="K1184" t="str">
        <f>VLOOKUP(VLOOKUP(A1184,orders!A:C,3,0),employees!A:B,2,0)</f>
        <v>Janet Leverling</v>
      </c>
    </row>
    <row r="1185" spans="1:11" x14ac:dyDescent="0.25">
      <c r="A1185">
        <v>10698</v>
      </c>
      <c r="B1185">
        <v>11</v>
      </c>
      <c r="C1185">
        <v>21</v>
      </c>
      <c r="D1185">
        <v>15</v>
      </c>
      <c r="E1185">
        <v>0</v>
      </c>
      <c r="F1185">
        <f t="shared" si="18"/>
        <v>315</v>
      </c>
      <c r="G1185">
        <f>YEAR(VLOOKUP(A1185,orders!A:D,4,0))</f>
        <v>2014</v>
      </c>
      <c r="H1185">
        <f>MONTH(INDEX(orders!D:D,MATCH(A1185, orders!A:A,0)))</f>
        <v>10</v>
      </c>
      <c r="I1185" t="str">
        <f>VLOOKUP(VLOOKUP(B1185,products!A:F,6,0),categories!A:B,2,0)</f>
        <v>Dairy Products</v>
      </c>
      <c r="J1185" t="str">
        <f>VLOOKUP(VLOOKUP(A1185,orders!A:B,2,0),customers!A:F,6,0)</f>
        <v>Austria</v>
      </c>
      <c r="K1185" t="str">
        <f>VLOOKUP(VLOOKUP(A1185,orders!A:C,3,0),employees!A:B,2,0)</f>
        <v>Margaret Peacock</v>
      </c>
    </row>
    <row r="1186" spans="1:11" x14ac:dyDescent="0.25">
      <c r="A1186">
        <v>10698</v>
      </c>
      <c r="B1186">
        <v>17</v>
      </c>
      <c r="C1186">
        <v>39</v>
      </c>
      <c r="D1186">
        <v>8</v>
      </c>
      <c r="E1186">
        <v>0.05</v>
      </c>
      <c r="F1186">
        <f t="shared" si="18"/>
        <v>296.39999999999998</v>
      </c>
      <c r="G1186">
        <f>YEAR(VLOOKUP(A1186,orders!A:D,4,0))</f>
        <v>2014</v>
      </c>
      <c r="H1186">
        <f>MONTH(INDEX(orders!D:D,MATCH(A1186, orders!A:A,0)))</f>
        <v>10</v>
      </c>
      <c r="I1186" t="str">
        <f>VLOOKUP(VLOOKUP(B1186,products!A:F,6,0),categories!A:B,2,0)</f>
        <v>Meat &amp; Poultry</v>
      </c>
      <c r="J1186" t="str">
        <f>VLOOKUP(VLOOKUP(A1186,orders!A:B,2,0),customers!A:F,6,0)</f>
        <v>Austria</v>
      </c>
      <c r="K1186" t="str">
        <f>VLOOKUP(VLOOKUP(A1186,orders!A:C,3,0),employees!A:B,2,0)</f>
        <v>Margaret Peacock</v>
      </c>
    </row>
    <row r="1187" spans="1:11" x14ac:dyDescent="0.25">
      <c r="A1187">
        <v>10698</v>
      </c>
      <c r="B1187">
        <v>29</v>
      </c>
      <c r="C1187">
        <v>123.79</v>
      </c>
      <c r="D1187">
        <v>12</v>
      </c>
      <c r="E1187">
        <v>0.05</v>
      </c>
      <c r="F1187">
        <f t="shared" si="18"/>
        <v>1411.2059999999999</v>
      </c>
      <c r="G1187">
        <f>YEAR(VLOOKUP(A1187,orders!A:D,4,0))</f>
        <v>2014</v>
      </c>
      <c r="H1187">
        <f>MONTH(INDEX(orders!D:D,MATCH(A1187, orders!A:A,0)))</f>
        <v>10</v>
      </c>
      <c r="I1187" t="str">
        <f>VLOOKUP(VLOOKUP(B1187,products!A:F,6,0),categories!A:B,2,0)</f>
        <v>Meat &amp; Poultry</v>
      </c>
      <c r="J1187" t="str">
        <f>VLOOKUP(VLOOKUP(A1187,orders!A:B,2,0),customers!A:F,6,0)</f>
        <v>Austria</v>
      </c>
      <c r="K1187" t="str">
        <f>VLOOKUP(VLOOKUP(A1187,orders!A:C,3,0),employees!A:B,2,0)</f>
        <v>Margaret Peacock</v>
      </c>
    </row>
    <row r="1188" spans="1:11" x14ac:dyDescent="0.25">
      <c r="A1188">
        <v>10698</v>
      </c>
      <c r="B1188">
        <v>65</v>
      </c>
      <c r="C1188">
        <v>21.05</v>
      </c>
      <c r="D1188">
        <v>65</v>
      </c>
      <c r="E1188">
        <v>0.05</v>
      </c>
      <c r="F1188">
        <f t="shared" si="18"/>
        <v>1299.8374999999999</v>
      </c>
      <c r="G1188">
        <f>YEAR(VLOOKUP(A1188,orders!A:D,4,0))</f>
        <v>2014</v>
      </c>
      <c r="H1188">
        <f>MONTH(INDEX(orders!D:D,MATCH(A1188, orders!A:A,0)))</f>
        <v>10</v>
      </c>
      <c r="I1188" t="str">
        <f>VLOOKUP(VLOOKUP(B1188,products!A:F,6,0),categories!A:B,2,0)</f>
        <v>Condiments</v>
      </c>
      <c r="J1188" t="str">
        <f>VLOOKUP(VLOOKUP(A1188,orders!A:B,2,0),customers!A:F,6,0)</f>
        <v>Austria</v>
      </c>
      <c r="K1188" t="str">
        <f>VLOOKUP(VLOOKUP(A1188,orders!A:C,3,0),employees!A:B,2,0)</f>
        <v>Margaret Peacock</v>
      </c>
    </row>
    <row r="1189" spans="1:11" x14ac:dyDescent="0.25">
      <c r="A1189">
        <v>10698</v>
      </c>
      <c r="B1189">
        <v>70</v>
      </c>
      <c r="C1189">
        <v>15</v>
      </c>
      <c r="D1189">
        <v>8</v>
      </c>
      <c r="E1189">
        <v>0.05</v>
      </c>
      <c r="F1189">
        <f t="shared" si="18"/>
        <v>114</v>
      </c>
      <c r="G1189">
        <f>YEAR(VLOOKUP(A1189,orders!A:D,4,0))</f>
        <v>2014</v>
      </c>
      <c r="H1189">
        <f>MONTH(INDEX(orders!D:D,MATCH(A1189, orders!A:A,0)))</f>
        <v>10</v>
      </c>
      <c r="I1189" t="str">
        <f>VLOOKUP(VLOOKUP(B1189,products!A:F,6,0),categories!A:B,2,0)</f>
        <v>Beverages</v>
      </c>
      <c r="J1189" t="str">
        <f>VLOOKUP(VLOOKUP(A1189,orders!A:B,2,0),customers!A:F,6,0)</f>
        <v>Austria</v>
      </c>
      <c r="K1189" t="str">
        <f>VLOOKUP(VLOOKUP(A1189,orders!A:C,3,0),employees!A:B,2,0)</f>
        <v>Margaret Peacock</v>
      </c>
    </row>
    <row r="1190" spans="1:11" x14ac:dyDescent="0.25">
      <c r="A1190">
        <v>10699</v>
      </c>
      <c r="B1190">
        <v>47</v>
      </c>
      <c r="C1190">
        <v>9.5</v>
      </c>
      <c r="D1190">
        <v>12</v>
      </c>
      <c r="E1190">
        <v>0</v>
      </c>
      <c r="F1190">
        <f t="shared" si="18"/>
        <v>114</v>
      </c>
      <c r="G1190">
        <f>YEAR(VLOOKUP(A1190,orders!A:D,4,0))</f>
        <v>2014</v>
      </c>
      <c r="H1190">
        <f>MONTH(INDEX(orders!D:D,MATCH(A1190, orders!A:A,0)))</f>
        <v>10</v>
      </c>
      <c r="I1190" t="str">
        <f>VLOOKUP(VLOOKUP(B1190,products!A:F,6,0),categories!A:B,2,0)</f>
        <v>Confections</v>
      </c>
      <c r="J1190" t="str">
        <f>VLOOKUP(VLOOKUP(A1190,orders!A:B,2,0),customers!A:F,6,0)</f>
        <v>Germany</v>
      </c>
      <c r="K1190" t="str">
        <f>VLOOKUP(VLOOKUP(A1190,orders!A:C,3,0),employees!A:B,2,0)</f>
        <v>Janet Leverling</v>
      </c>
    </row>
    <row r="1191" spans="1:11" x14ac:dyDescent="0.25">
      <c r="A1191">
        <v>10700</v>
      </c>
      <c r="B1191">
        <v>1</v>
      </c>
      <c r="C1191">
        <v>18</v>
      </c>
      <c r="D1191">
        <v>5</v>
      </c>
      <c r="E1191">
        <v>0.2</v>
      </c>
      <c r="F1191">
        <f t="shared" si="18"/>
        <v>72</v>
      </c>
      <c r="G1191">
        <f>YEAR(VLOOKUP(A1191,orders!A:D,4,0))</f>
        <v>2014</v>
      </c>
      <c r="H1191">
        <f>MONTH(INDEX(orders!D:D,MATCH(A1191, orders!A:A,0)))</f>
        <v>10</v>
      </c>
      <c r="I1191" t="str">
        <f>VLOOKUP(VLOOKUP(B1191,products!A:F,6,0),categories!A:B,2,0)</f>
        <v>Beverages</v>
      </c>
      <c r="J1191" t="str">
        <f>VLOOKUP(VLOOKUP(A1191,orders!A:B,2,0),customers!A:F,6,0)</f>
        <v>USA</v>
      </c>
      <c r="K1191" t="str">
        <f>VLOOKUP(VLOOKUP(A1191,orders!A:C,3,0),employees!A:B,2,0)</f>
        <v>Janet Leverling</v>
      </c>
    </row>
    <row r="1192" spans="1:11" x14ac:dyDescent="0.25">
      <c r="A1192">
        <v>10700</v>
      </c>
      <c r="B1192">
        <v>34</v>
      </c>
      <c r="C1192">
        <v>14</v>
      </c>
      <c r="D1192">
        <v>12</v>
      </c>
      <c r="E1192">
        <v>0.2</v>
      </c>
      <c r="F1192">
        <f t="shared" si="18"/>
        <v>134.4</v>
      </c>
      <c r="G1192">
        <f>YEAR(VLOOKUP(A1192,orders!A:D,4,0))</f>
        <v>2014</v>
      </c>
      <c r="H1192">
        <f>MONTH(INDEX(orders!D:D,MATCH(A1192, orders!A:A,0)))</f>
        <v>10</v>
      </c>
      <c r="I1192" t="str">
        <f>VLOOKUP(VLOOKUP(B1192,products!A:F,6,0),categories!A:B,2,0)</f>
        <v>Beverages</v>
      </c>
      <c r="J1192" t="str">
        <f>VLOOKUP(VLOOKUP(A1192,orders!A:B,2,0),customers!A:F,6,0)</f>
        <v>USA</v>
      </c>
      <c r="K1192" t="str">
        <f>VLOOKUP(VLOOKUP(A1192,orders!A:C,3,0),employees!A:B,2,0)</f>
        <v>Janet Leverling</v>
      </c>
    </row>
    <row r="1193" spans="1:11" x14ac:dyDescent="0.25">
      <c r="A1193">
        <v>10700</v>
      </c>
      <c r="B1193">
        <v>68</v>
      </c>
      <c r="C1193">
        <v>12.5</v>
      </c>
      <c r="D1193">
        <v>40</v>
      </c>
      <c r="E1193">
        <v>0.2</v>
      </c>
      <c r="F1193">
        <f t="shared" si="18"/>
        <v>400</v>
      </c>
      <c r="G1193">
        <f>YEAR(VLOOKUP(A1193,orders!A:D,4,0))</f>
        <v>2014</v>
      </c>
      <c r="H1193">
        <f>MONTH(INDEX(orders!D:D,MATCH(A1193, orders!A:A,0)))</f>
        <v>10</v>
      </c>
      <c r="I1193" t="str">
        <f>VLOOKUP(VLOOKUP(B1193,products!A:F,6,0),categories!A:B,2,0)</f>
        <v>Confections</v>
      </c>
      <c r="J1193" t="str">
        <f>VLOOKUP(VLOOKUP(A1193,orders!A:B,2,0),customers!A:F,6,0)</f>
        <v>USA</v>
      </c>
      <c r="K1193" t="str">
        <f>VLOOKUP(VLOOKUP(A1193,orders!A:C,3,0),employees!A:B,2,0)</f>
        <v>Janet Leverling</v>
      </c>
    </row>
    <row r="1194" spans="1:11" x14ac:dyDescent="0.25">
      <c r="A1194">
        <v>10700</v>
      </c>
      <c r="B1194">
        <v>71</v>
      </c>
      <c r="C1194">
        <v>21.5</v>
      </c>
      <c r="D1194">
        <v>60</v>
      </c>
      <c r="E1194">
        <v>0.2</v>
      </c>
      <c r="F1194">
        <f t="shared" si="18"/>
        <v>1032</v>
      </c>
      <c r="G1194">
        <f>YEAR(VLOOKUP(A1194,orders!A:D,4,0))</f>
        <v>2014</v>
      </c>
      <c r="H1194">
        <f>MONTH(INDEX(orders!D:D,MATCH(A1194, orders!A:A,0)))</f>
        <v>10</v>
      </c>
      <c r="I1194" t="str">
        <f>VLOOKUP(VLOOKUP(B1194,products!A:F,6,0),categories!A:B,2,0)</f>
        <v>Dairy Products</v>
      </c>
      <c r="J1194" t="str">
        <f>VLOOKUP(VLOOKUP(A1194,orders!A:B,2,0),customers!A:F,6,0)</f>
        <v>USA</v>
      </c>
      <c r="K1194" t="str">
        <f>VLOOKUP(VLOOKUP(A1194,orders!A:C,3,0),employees!A:B,2,0)</f>
        <v>Janet Leverling</v>
      </c>
    </row>
    <row r="1195" spans="1:11" x14ac:dyDescent="0.25">
      <c r="A1195">
        <v>10701</v>
      </c>
      <c r="B1195">
        <v>59</v>
      </c>
      <c r="C1195">
        <v>55</v>
      </c>
      <c r="D1195">
        <v>42</v>
      </c>
      <c r="E1195">
        <v>0.15</v>
      </c>
      <c r="F1195">
        <f t="shared" si="18"/>
        <v>1963.5</v>
      </c>
      <c r="G1195">
        <f>YEAR(VLOOKUP(A1195,orders!A:D,4,0))</f>
        <v>2014</v>
      </c>
      <c r="H1195">
        <f>MONTH(INDEX(orders!D:D,MATCH(A1195, orders!A:A,0)))</f>
        <v>10</v>
      </c>
      <c r="I1195" t="str">
        <f>VLOOKUP(VLOOKUP(B1195,products!A:F,6,0),categories!A:B,2,0)</f>
        <v>Dairy Products</v>
      </c>
      <c r="J1195" t="str">
        <f>VLOOKUP(VLOOKUP(A1195,orders!A:B,2,0),customers!A:F,6,0)</f>
        <v>Ireland</v>
      </c>
      <c r="K1195" t="str">
        <f>VLOOKUP(VLOOKUP(A1195,orders!A:C,3,0),employees!A:B,2,0)</f>
        <v>Michael Suyama</v>
      </c>
    </row>
    <row r="1196" spans="1:11" x14ac:dyDescent="0.25">
      <c r="A1196">
        <v>10701</v>
      </c>
      <c r="B1196">
        <v>71</v>
      </c>
      <c r="C1196">
        <v>21.5</v>
      </c>
      <c r="D1196">
        <v>20</v>
      </c>
      <c r="E1196">
        <v>0.15</v>
      </c>
      <c r="F1196">
        <f t="shared" si="18"/>
        <v>365.5</v>
      </c>
      <c r="G1196">
        <f>YEAR(VLOOKUP(A1196,orders!A:D,4,0))</f>
        <v>2014</v>
      </c>
      <c r="H1196">
        <f>MONTH(INDEX(orders!D:D,MATCH(A1196, orders!A:A,0)))</f>
        <v>10</v>
      </c>
      <c r="I1196" t="str">
        <f>VLOOKUP(VLOOKUP(B1196,products!A:F,6,0),categories!A:B,2,0)</f>
        <v>Dairy Products</v>
      </c>
      <c r="J1196" t="str">
        <f>VLOOKUP(VLOOKUP(A1196,orders!A:B,2,0),customers!A:F,6,0)</f>
        <v>Ireland</v>
      </c>
      <c r="K1196" t="str">
        <f>VLOOKUP(VLOOKUP(A1196,orders!A:C,3,0),employees!A:B,2,0)</f>
        <v>Michael Suyama</v>
      </c>
    </row>
    <row r="1197" spans="1:11" x14ac:dyDescent="0.25">
      <c r="A1197">
        <v>10701</v>
      </c>
      <c r="B1197">
        <v>76</v>
      </c>
      <c r="C1197">
        <v>18</v>
      </c>
      <c r="D1197">
        <v>35</v>
      </c>
      <c r="E1197">
        <v>0.15</v>
      </c>
      <c r="F1197">
        <f t="shared" si="18"/>
        <v>535.5</v>
      </c>
      <c r="G1197">
        <f>YEAR(VLOOKUP(A1197,orders!A:D,4,0))</f>
        <v>2014</v>
      </c>
      <c r="H1197">
        <f>MONTH(INDEX(orders!D:D,MATCH(A1197, orders!A:A,0)))</f>
        <v>10</v>
      </c>
      <c r="I1197" t="str">
        <f>VLOOKUP(VLOOKUP(B1197,products!A:F,6,0),categories!A:B,2,0)</f>
        <v>Beverages</v>
      </c>
      <c r="J1197" t="str">
        <f>VLOOKUP(VLOOKUP(A1197,orders!A:B,2,0),customers!A:F,6,0)</f>
        <v>Ireland</v>
      </c>
      <c r="K1197" t="str">
        <f>VLOOKUP(VLOOKUP(A1197,orders!A:C,3,0),employees!A:B,2,0)</f>
        <v>Michael Suyama</v>
      </c>
    </row>
    <row r="1198" spans="1:11" x14ac:dyDescent="0.25">
      <c r="A1198">
        <v>10702</v>
      </c>
      <c r="B1198">
        <v>3</v>
      </c>
      <c r="C1198">
        <v>10</v>
      </c>
      <c r="D1198">
        <v>6</v>
      </c>
      <c r="E1198">
        <v>0</v>
      </c>
      <c r="F1198">
        <f t="shared" si="18"/>
        <v>60</v>
      </c>
      <c r="G1198">
        <f>YEAR(VLOOKUP(A1198,orders!A:D,4,0))</f>
        <v>2014</v>
      </c>
      <c r="H1198">
        <f>MONTH(INDEX(orders!D:D,MATCH(A1198, orders!A:A,0)))</f>
        <v>10</v>
      </c>
      <c r="I1198" t="str">
        <f>VLOOKUP(VLOOKUP(B1198,products!A:F,6,0),categories!A:B,2,0)</f>
        <v>Condiments</v>
      </c>
      <c r="J1198" t="str">
        <f>VLOOKUP(VLOOKUP(A1198,orders!A:B,2,0),customers!A:F,6,0)</f>
        <v>Germany</v>
      </c>
      <c r="K1198" t="str">
        <f>VLOOKUP(VLOOKUP(A1198,orders!A:C,3,0),employees!A:B,2,0)</f>
        <v>Margaret Peacock</v>
      </c>
    </row>
    <row r="1199" spans="1:11" x14ac:dyDescent="0.25">
      <c r="A1199">
        <v>10702</v>
      </c>
      <c r="B1199">
        <v>76</v>
      </c>
      <c r="C1199">
        <v>18</v>
      </c>
      <c r="D1199">
        <v>15</v>
      </c>
      <c r="E1199">
        <v>0</v>
      </c>
      <c r="F1199">
        <f t="shared" si="18"/>
        <v>270</v>
      </c>
      <c r="G1199">
        <f>YEAR(VLOOKUP(A1199,orders!A:D,4,0))</f>
        <v>2014</v>
      </c>
      <c r="H1199">
        <f>MONTH(INDEX(orders!D:D,MATCH(A1199, orders!A:A,0)))</f>
        <v>10</v>
      </c>
      <c r="I1199" t="str">
        <f>VLOOKUP(VLOOKUP(B1199,products!A:F,6,0),categories!A:B,2,0)</f>
        <v>Beverages</v>
      </c>
      <c r="J1199" t="str">
        <f>VLOOKUP(VLOOKUP(A1199,orders!A:B,2,0),customers!A:F,6,0)</f>
        <v>Germany</v>
      </c>
      <c r="K1199" t="str">
        <f>VLOOKUP(VLOOKUP(A1199,orders!A:C,3,0),employees!A:B,2,0)</f>
        <v>Margaret Peacock</v>
      </c>
    </row>
    <row r="1200" spans="1:11" x14ac:dyDescent="0.25">
      <c r="A1200">
        <v>10703</v>
      </c>
      <c r="B1200">
        <v>2</v>
      </c>
      <c r="C1200">
        <v>19</v>
      </c>
      <c r="D1200">
        <v>5</v>
      </c>
      <c r="E1200">
        <v>0</v>
      </c>
      <c r="F1200">
        <f t="shared" si="18"/>
        <v>95</v>
      </c>
      <c r="G1200">
        <f>YEAR(VLOOKUP(A1200,orders!A:D,4,0))</f>
        <v>2014</v>
      </c>
      <c r="H1200">
        <f>MONTH(INDEX(orders!D:D,MATCH(A1200, orders!A:A,0)))</f>
        <v>10</v>
      </c>
      <c r="I1200" t="str">
        <f>VLOOKUP(VLOOKUP(B1200,products!A:F,6,0),categories!A:B,2,0)</f>
        <v>Beverages</v>
      </c>
      <c r="J1200" t="str">
        <f>VLOOKUP(VLOOKUP(A1200,orders!A:B,2,0),customers!A:F,6,0)</f>
        <v>Sweden</v>
      </c>
      <c r="K1200" t="str">
        <f>VLOOKUP(VLOOKUP(A1200,orders!A:C,3,0),employees!A:B,2,0)</f>
        <v>Michael Suyama</v>
      </c>
    </row>
    <row r="1201" spans="1:11" x14ac:dyDescent="0.25">
      <c r="A1201">
        <v>10703</v>
      </c>
      <c r="B1201">
        <v>59</v>
      </c>
      <c r="C1201">
        <v>55</v>
      </c>
      <c r="D1201">
        <v>35</v>
      </c>
      <c r="E1201">
        <v>0</v>
      </c>
      <c r="F1201">
        <f t="shared" si="18"/>
        <v>1925</v>
      </c>
      <c r="G1201">
        <f>YEAR(VLOOKUP(A1201,orders!A:D,4,0))</f>
        <v>2014</v>
      </c>
      <c r="H1201">
        <f>MONTH(INDEX(orders!D:D,MATCH(A1201, orders!A:A,0)))</f>
        <v>10</v>
      </c>
      <c r="I1201" t="str">
        <f>VLOOKUP(VLOOKUP(B1201,products!A:F,6,0),categories!A:B,2,0)</f>
        <v>Dairy Products</v>
      </c>
      <c r="J1201" t="str">
        <f>VLOOKUP(VLOOKUP(A1201,orders!A:B,2,0),customers!A:F,6,0)</f>
        <v>Sweden</v>
      </c>
      <c r="K1201" t="str">
        <f>VLOOKUP(VLOOKUP(A1201,orders!A:C,3,0),employees!A:B,2,0)</f>
        <v>Michael Suyama</v>
      </c>
    </row>
    <row r="1202" spans="1:11" x14ac:dyDescent="0.25">
      <c r="A1202">
        <v>10703</v>
      </c>
      <c r="B1202">
        <v>73</v>
      </c>
      <c r="C1202">
        <v>15</v>
      </c>
      <c r="D1202">
        <v>35</v>
      </c>
      <c r="E1202">
        <v>0</v>
      </c>
      <c r="F1202">
        <f t="shared" si="18"/>
        <v>525</v>
      </c>
      <c r="G1202">
        <f>YEAR(VLOOKUP(A1202,orders!A:D,4,0))</f>
        <v>2014</v>
      </c>
      <c r="H1202">
        <f>MONTH(INDEX(orders!D:D,MATCH(A1202, orders!A:A,0)))</f>
        <v>10</v>
      </c>
      <c r="I1202" t="str">
        <f>VLOOKUP(VLOOKUP(B1202,products!A:F,6,0),categories!A:B,2,0)</f>
        <v>Seafood</v>
      </c>
      <c r="J1202" t="str">
        <f>VLOOKUP(VLOOKUP(A1202,orders!A:B,2,0),customers!A:F,6,0)</f>
        <v>Sweden</v>
      </c>
      <c r="K1202" t="str">
        <f>VLOOKUP(VLOOKUP(A1202,orders!A:C,3,0),employees!A:B,2,0)</f>
        <v>Michael Suyama</v>
      </c>
    </row>
    <row r="1203" spans="1:11" x14ac:dyDescent="0.25">
      <c r="A1203">
        <v>10704</v>
      </c>
      <c r="B1203">
        <v>4</v>
      </c>
      <c r="C1203">
        <v>22</v>
      </c>
      <c r="D1203">
        <v>6</v>
      </c>
      <c r="E1203">
        <v>0</v>
      </c>
      <c r="F1203">
        <f t="shared" si="18"/>
        <v>132</v>
      </c>
      <c r="G1203">
        <f>YEAR(VLOOKUP(A1203,orders!A:D,4,0))</f>
        <v>2014</v>
      </c>
      <c r="H1203">
        <f>MONTH(INDEX(orders!D:D,MATCH(A1203, orders!A:A,0)))</f>
        <v>10</v>
      </c>
      <c r="I1203" t="str">
        <f>VLOOKUP(VLOOKUP(B1203,products!A:F,6,0),categories!A:B,2,0)</f>
        <v>Condiments</v>
      </c>
      <c r="J1203" t="str">
        <f>VLOOKUP(VLOOKUP(A1203,orders!A:B,2,0),customers!A:F,6,0)</f>
        <v>Brazil</v>
      </c>
      <c r="K1203" t="str">
        <f>VLOOKUP(VLOOKUP(A1203,orders!A:C,3,0),employees!A:B,2,0)</f>
        <v>Michael Suyama</v>
      </c>
    </row>
    <row r="1204" spans="1:11" x14ac:dyDescent="0.25">
      <c r="A1204">
        <v>10704</v>
      </c>
      <c r="B1204">
        <v>24</v>
      </c>
      <c r="C1204">
        <v>4.5</v>
      </c>
      <c r="D1204">
        <v>35</v>
      </c>
      <c r="E1204">
        <v>0</v>
      </c>
      <c r="F1204">
        <f t="shared" si="18"/>
        <v>157.5</v>
      </c>
      <c r="G1204">
        <f>YEAR(VLOOKUP(A1204,orders!A:D,4,0))</f>
        <v>2014</v>
      </c>
      <c r="H1204">
        <f>MONTH(INDEX(orders!D:D,MATCH(A1204, orders!A:A,0)))</f>
        <v>10</v>
      </c>
      <c r="I1204" t="str">
        <f>VLOOKUP(VLOOKUP(B1204,products!A:F,6,0),categories!A:B,2,0)</f>
        <v>Beverages</v>
      </c>
      <c r="J1204" t="str">
        <f>VLOOKUP(VLOOKUP(A1204,orders!A:B,2,0),customers!A:F,6,0)</f>
        <v>Brazil</v>
      </c>
      <c r="K1204" t="str">
        <f>VLOOKUP(VLOOKUP(A1204,orders!A:C,3,0),employees!A:B,2,0)</f>
        <v>Michael Suyama</v>
      </c>
    </row>
    <row r="1205" spans="1:11" x14ac:dyDescent="0.25">
      <c r="A1205">
        <v>10704</v>
      </c>
      <c r="B1205">
        <v>48</v>
      </c>
      <c r="C1205">
        <v>12.75</v>
      </c>
      <c r="D1205">
        <v>24</v>
      </c>
      <c r="E1205">
        <v>0</v>
      </c>
      <c r="F1205">
        <f t="shared" si="18"/>
        <v>306</v>
      </c>
      <c r="G1205">
        <f>YEAR(VLOOKUP(A1205,orders!A:D,4,0))</f>
        <v>2014</v>
      </c>
      <c r="H1205">
        <f>MONTH(INDEX(orders!D:D,MATCH(A1205, orders!A:A,0)))</f>
        <v>10</v>
      </c>
      <c r="I1205" t="str">
        <f>VLOOKUP(VLOOKUP(B1205,products!A:F,6,0),categories!A:B,2,0)</f>
        <v>Confections</v>
      </c>
      <c r="J1205" t="str">
        <f>VLOOKUP(VLOOKUP(A1205,orders!A:B,2,0),customers!A:F,6,0)</f>
        <v>Brazil</v>
      </c>
      <c r="K1205" t="str">
        <f>VLOOKUP(VLOOKUP(A1205,orders!A:C,3,0),employees!A:B,2,0)</f>
        <v>Michael Suyama</v>
      </c>
    </row>
    <row r="1206" spans="1:11" x14ac:dyDescent="0.25">
      <c r="A1206">
        <v>10705</v>
      </c>
      <c r="B1206">
        <v>31</v>
      </c>
      <c r="C1206">
        <v>12.5</v>
      </c>
      <c r="D1206">
        <v>20</v>
      </c>
      <c r="E1206">
        <v>0</v>
      </c>
      <c r="F1206">
        <f t="shared" si="18"/>
        <v>250</v>
      </c>
      <c r="G1206">
        <f>YEAR(VLOOKUP(A1206,orders!A:D,4,0))</f>
        <v>2014</v>
      </c>
      <c r="H1206">
        <f>MONTH(INDEX(orders!D:D,MATCH(A1206, orders!A:A,0)))</f>
        <v>10</v>
      </c>
      <c r="I1206" t="str">
        <f>VLOOKUP(VLOOKUP(B1206,products!A:F,6,0),categories!A:B,2,0)</f>
        <v>Dairy Products</v>
      </c>
      <c r="J1206" t="str">
        <f>VLOOKUP(VLOOKUP(A1206,orders!A:B,2,0),customers!A:F,6,0)</f>
        <v>Venezuela</v>
      </c>
      <c r="K1206" t="str">
        <f>VLOOKUP(VLOOKUP(A1206,orders!A:C,3,0),employees!A:B,2,0)</f>
        <v>Anne Dodsworth</v>
      </c>
    </row>
    <row r="1207" spans="1:11" x14ac:dyDescent="0.25">
      <c r="A1207">
        <v>10705</v>
      </c>
      <c r="B1207">
        <v>32</v>
      </c>
      <c r="C1207">
        <v>32</v>
      </c>
      <c r="D1207">
        <v>4</v>
      </c>
      <c r="E1207">
        <v>0</v>
      </c>
      <c r="F1207">
        <f t="shared" si="18"/>
        <v>128</v>
      </c>
      <c r="G1207">
        <f>YEAR(VLOOKUP(A1207,orders!A:D,4,0))</f>
        <v>2014</v>
      </c>
      <c r="H1207">
        <f>MONTH(INDEX(orders!D:D,MATCH(A1207, orders!A:A,0)))</f>
        <v>10</v>
      </c>
      <c r="I1207" t="str">
        <f>VLOOKUP(VLOOKUP(B1207,products!A:F,6,0),categories!A:B,2,0)</f>
        <v>Dairy Products</v>
      </c>
      <c r="J1207" t="str">
        <f>VLOOKUP(VLOOKUP(A1207,orders!A:B,2,0),customers!A:F,6,0)</f>
        <v>Venezuela</v>
      </c>
      <c r="K1207" t="str">
        <f>VLOOKUP(VLOOKUP(A1207,orders!A:C,3,0),employees!A:B,2,0)</f>
        <v>Anne Dodsworth</v>
      </c>
    </row>
    <row r="1208" spans="1:11" x14ac:dyDescent="0.25">
      <c r="A1208">
        <v>10706</v>
      </c>
      <c r="B1208">
        <v>16</v>
      </c>
      <c r="C1208">
        <v>17.45</v>
      </c>
      <c r="D1208">
        <v>20</v>
      </c>
      <c r="E1208">
        <v>0</v>
      </c>
      <c r="F1208">
        <f t="shared" si="18"/>
        <v>349</v>
      </c>
      <c r="G1208">
        <f>YEAR(VLOOKUP(A1208,orders!A:D,4,0))</f>
        <v>2014</v>
      </c>
      <c r="H1208">
        <f>MONTH(INDEX(orders!D:D,MATCH(A1208, orders!A:A,0)))</f>
        <v>10</v>
      </c>
      <c r="I1208" t="str">
        <f>VLOOKUP(VLOOKUP(B1208,products!A:F,6,0),categories!A:B,2,0)</f>
        <v>Confections</v>
      </c>
      <c r="J1208" t="str">
        <f>VLOOKUP(VLOOKUP(A1208,orders!A:B,2,0),customers!A:F,6,0)</f>
        <v>USA</v>
      </c>
      <c r="K1208" t="str">
        <f>VLOOKUP(VLOOKUP(A1208,orders!A:C,3,0),employees!A:B,2,0)</f>
        <v>Laura Callahan</v>
      </c>
    </row>
    <row r="1209" spans="1:11" x14ac:dyDescent="0.25">
      <c r="A1209">
        <v>10706</v>
      </c>
      <c r="B1209">
        <v>43</v>
      </c>
      <c r="C1209">
        <v>46</v>
      </c>
      <c r="D1209">
        <v>24</v>
      </c>
      <c r="E1209">
        <v>0</v>
      </c>
      <c r="F1209">
        <f t="shared" si="18"/>
        <v>1104</v>
      </c>
      <c r="G1209">
        <f>YEAR(VLOOKUP(A1209,orders!A:D,4,0))</f>
        <v>2014</v>
      </c>
      <c r="H1209">
        <f>MONTH(INDEX(orders!D:D,MATCH(A1209, orders!A:A,0)))</f>
        <v>10</v>
      </c>
      <c r="I1209" t="str">
        <f>VLOOKUP(VLOOKUP(B1209,products!A:F,6,0),categories!A:B,2,0)</f>
        <v>Beverages</v>
      </c>
      <c r="J1209" t="str">
        <f>VLOOKUP(VLOOKUP(A1209,orders!A:B,2,0),customers!A:F,6,0)</f>
        <v>USA</v>
      </c>
      <c r="K1209" t="str">
        <f>VLOOKUP(VLOOKUP(A1209,orders!A:C,3,0),employees!A:B,2,0)</f>
        <v>Laura Callahan</v>
      </c>
    </row>
    <row r="1210" spans="1:11" x14ac:dyDescent="0.25">
      <c r="A1210">
        <v>10706</v>
      </c>
      <c r="B1210">
        <v>59</v>
      </c>
      <c r="C1210">
        <v>55</v>
      </c>
      <c r="D1210">
        <v>8</v>
      </c>
      <c r="E1210">
        <v>0</v>
      </c>
      <c r="F1210">
        <f t="shared" si="18"/>
        <v>440</v>
      </c>
      <c r="G1210">
        <f>YEAR(VLOOKUP(A1210,orders!A:D,4,0))</f>
        <v>2014</v>
      </c>
      <c r="H1210">
        <f>MONTH(INDEX(orders!D:D,MATCH(A1210, orders!A:A,0)))</f>
        <v>10</v>
      </c>
      <c r="I1210" t="str">
        <f>VLOOKUP(VLOOKUP(B1210,products!A:F,6,0),categories!A:B,2,0)</f>
        <v>Dairy Products</v>
      </c>
      <c r="J1210" t="str">
        <f>VLOOKUP(VLOOKUP(A1210,orders!A:B,2,0),customers!A:F,6,0)</f>
        <v>USA</v>
      </c>
      <c r="K1210" t="str">
        <f>VLOOKUP(VLOOKUP(A1210,orders!A:C,3,0),employees!A:B,2,0)</f>
        <v>Laura Callahan</v>
      </c>
    </row>
    <row r="1211" spans="1:11" x14ac:dyDescent="0.25">
      <c r="A1211">
        <v>10707</v>
      </c>
      <c r="B1211">
        <v>55</v>
      </c>
      <c r="C1211">
        <v>24</v>
      </c>
      <c r="D1211">
        <v>21</v>
      </c>
      <c r="E1211">
        <v>0</v>
      </c>
      <c r="F1211">
        <f t="shared" si="18"/>
        <v>504</v>
      </c>
      <c r="G1211">
        <f>YEAR(VLOOKUP(A1211,orders!A:D,4,0))</f>
        <v>2014</v>
      </c>
      <c r="H1211">
        <f>MONTH(INDEX(orders!D:D,MATCH(A1211, orders!A:A,0)))</f>
        <v>10</v>
      </c>
      <c r="I1211" t="str">
        <f>VLOOKUP(VLOOKUP(B1211,products!A:F,6,0),categories!A:B,2,0)</f>
        <v>Meat &amp; Poultry</v>
      </c>
      <c r="J1211" t="str">
        <f>VLOOKUP(VLOOKUP(A1211,orders!A:B,2,0),customers!A:F,6,0)</f>
        <v>UK</v>
      </c>
      <c r="K1211" t="str">
        <f>VLOOKUP(VLOOKUP(A1211,orders!A:C,3,0),employees!A:B,2,0)</f>
        <v>Margaret Peacock</v>
      </c>
    </row>
    <row r="1212" spans="1:11" x14ac:dyDescent="0.25">
      <c r="A1212">
        <v>10707</v>
      </c>
      <c r="B1212">
        <v>57</v>
      </c>
      <c r="C1212">
        <v>19.5</v>
      </c>
      <c r="D1212">
        <v>40</v>
      </c>
      <c r="E1212">
        <v>0</v>
      </c>
      <c r="F1212">
        <f t="shared" si="18"/>
        <v>780</v>
      </c>
      <c r="G1212">
        <f>YEAR(VLOOKUP(A1212,orders!A:D,4,0))</f>
        <v>2014</v>
      </c>
      <c r="H1212">
        <f>MONTH(INDEX(orders!D:D,MATCH(A1212, orders!A:A,0)))</f>
        <v>10</v>
      </c>
      <c r="I1212" t="str">
        <f>VLOOKUP(VLOOKUP(B1212,products!A:F,6,0),categories!A:B,2,0)</f>
        <v>Grains &amp; Cereals</v>
      </c>
      <c r="J1212" t="str">
        <f>VLOOKUP(VLOOKUP(A1212,orders!A:B,2,0),customers!A:F,6,0)</f>
        <v>UK</v>
      </c>
      <c r="K1212" t="str">
        <f>VLOOKUP(VLOOKUP(A1212,orders!A:C,3,0),employees!A:B,2,0)</f>
        <v>Margaret Peacock</v>
      </c>
    </row>
    <row r="1213" spans="1:11" x14ac:dyDescent="0.25">
      <c r="A1213">
        <v>10707</v>
      </c>
      <c r="B1213">
        <v>70</v>
      </c>
      <c r="C1213">
        <v>15</v>
      </c>
      <c r="D1213">
        <v>28</v>
      </c>
      <c r="E1213">
        <v>0.15</v>
      </c>
      <c r="F1213">
        <f t="shared" si="18"/>
        <v>357</v>
      </c>
      <c r="G1213">
        <f>YEAR(VLOOKUP(A1213,orders!A:D,4,0))</f>
        <v>2014</v>
      </c>
      <c r="H1213">
        <f>MONTH(INDEX(orders!D:D,MATCH(A1213, orders!A:A,0)))</f>
        <v>10</v>
      </c>
      <c r="I1213" t="str">
        <f>VLOOKUP(VLOOKUP(B1213,products!A:F,6,0),categories!A:B,2,0)</f>
        <v>Beverages</v>
      </c>
      <c r="J1213" t="str">
        <f>VLOOKUP(VLOOKUP(A1213,orders!A:B,2,0),customers!A:F,6,0)</f>
        <v>UK</v>
      </c>
      <c r="K1213" t="str">
        <f>VLOOKUP(VLOOKUP(A1213,orders!A:C,3,0),employees!A:B,2,0)</f>
        <v>Margaret Peacock</v>
      </c>
    </row>
    <row r="1214" spans="1:11" x14ac:dyDescent="0.25">
      <c r="A1214">
        <v>10708</v>
      </c>
      <c r="B1214">
        <v>5</v>
      </c>
      <c r="C1214">
        <v>21.35</v>
      </c>
      <c r="D1214">
        <v>4</v>
      </c>
      <c r="E1214">
        <v>0</v>
      </c>
      <c r="F1214">
        <f t="shared" si="18"/>
        <v>85.4</v>
      </c>
      <c r="G1214">
        <f>YEAR(VLOOKUP(A1214,orders!A:D,4,0))</f>
        <v>2014</v>
      </c>
      <c r="H1214">
        <f>MONTH(INDEX(orders!D:D,MATCH(A1214, orders!A:A,0)))</f>
        <v>10</v>
      </c>
      <c r="I1214" t="str">
        <f>VLOOKUP(VLOOKUP(B1214,products!A:F,6,0),categories!A:B,2,0)</f>
        <v>Condiments</v>
      </c>
      <c r="J1214" t="str">
        <f>VLOOKUP(VLOOKUP(A1214,orders!A:B,2,0),customers!A:F,6,0)</f>
        <v>USA</v>
      </c>
      <c r="K1214" t="str">
        <f>VLOOKUP(VLOOKUP(A1214,orders!A:C,3,0),employees!A:B,2,0)</f>
        <v>Michael Suyama</v>
      </c>
    </row>
    <row r="1215" spans="1:11" x14ac:dyDescent="0.25">
      <c r="A1215">
        <v>10708</v>
      </c>
      <c r="B1215">
        <v>36</v>
      </c>
      <c r="C1215">
        <v>19</v>
      </c>
      <c r="D1215">
        <v>5</v>
      </c>
      <c r="E1215">
        <v>0</v>
      </c>
      <c r="F1215">
        <f t="shared" si="18"/>
        <v>95</v>
      </c>
      <c r="G1215">
        <f>YEAR(VLOOKUP(A1215,orders!A:D,4,0))</f>
        <v>2014</v>
      </c>
      <c r="H1215">
        <f>MONTH(INDEX(orders!D:D,MATCH(A1215, orders!A:A,0)))</f>
        <v>10</v>
      </c>
      <c r="I1215" t="str">
        <f>VLOOKUP(VLOOKUP(B1215,products!A:F,6,0),categories!A:B,2,0)</f>
        <v>Seafood</v>
      </c>
      <c r="J1215" t="str">
        <f>VLOOKUP(VLOOKUP(A1215,orders!A:B,2,0),customers!A:F,6,0)</f>
        <v>USA</v>
      </c>
      <c r="K1215" t="str">
        <f>VLOOKUP(VLOOKUP(A1215,orders!A:C,3,0),employees!A:B,2,0)</f>
        <v>Michael Suyama</v>
      </c>
    </row>
    <row r="1216" spans="1:11" x14ac:dyDescent="0.25">
      <c r="A1216">
        <v>10709</v>
      </c>
      <c r="B1216">
        <v>8</v>
      </c>
      <c r="C1216">
        <v>40</v>
      </c>
      <c r="D1216">
        <v>40</v>
      </c>
      <c r="E1216">
        <v>0</v>
      </c>
      <c r="F1216">
        <f t="shared" si="18"/>
        <v>1600</v>
      </c>
      <c r="G1216">
        <f>YEAR(VLOOKUP(A1216,orders!A:D,4,0))</f>
        <v>2014</v>
      </c>
      <c r="H1216">
        <f>MONTH(INDEX(orders!D:D,MATCH(A1216, orders!A:A,0)))</f>
        <v>10</v>
      </c>
      <c r="I1216" t="str">
        <f>VLOOKUP(VLOOKUP(B1216,products!A:F,6,0),categories!A:B,2,0)</f>
        <v>Condiments</v>
      </c>
      <c r="J1216" t="str">
        <f>VLOOKUP(VLOOKUP(A1216,orders!A:B,2,0),customers!A:F,6,0)</f>
        <v>Brazil</v>
      </c>
      <c r="K1216" t="str">
        <f>VLOOKUP(VLOOKUP(A1216,orders!A:C,3,0),employees!A:B,2,0)</f>
        <v>Nancy Davolio</v>
      </c>
    </row>
    <row r="1217" spans="1:11" x14ac:dyDescent="0.25">
      <c r="A1217">
        <v>10709</v>
      </c>
      <c r="B1217">
        <v>51</v>
      </c>
      <c r="C1217">
        <v>53</v>
      </c>
      <c r="D1217">
        <v>28</v>
      </c>
      <c r="E1217">
        <v>0</v>
      </c>
      <c r="F1217">
        <f t="shared" si="18"/>
        <v>1484</v>
      </c>
      <c r="G1217">
        <f>YEAR(VLOOKUP(A1217,orders!A:D,4,0))</f>
        <v>2014</v>
      </c>
      <c r="H1217">
        <f>MONTH(INDEX(orders!D:D,MATCH(A1217, orders!A:A,0)))</f>
        <v>10</v>
      </c>
      <c r="I1217" t="str">
        <f>VLOOKUP(VLOOKUP(B1217,products!A:F,6,0),categories!A:B,2,0)</f>
        <v>Produce</v>
      </c>
      <c r="J1217" t="str">
        <f>VLOOKUP(VLOOKUP(A1217,orders!A:B,2,0),customers!A:F,6,0)</f>
        <v>Brazil</v>
      </c>
      <c r="K1217" t="str">
        <f>VLOOKUP(VLOOKUP(A1217,orders!A:C,3,0),employees!A:B,2,0)</f>
        <v>Nancy Davolio</v>
      </c>
    </row>
    <row r="1218" spans="1:11" x14ac:dyDescent="0.25">
      <c r="A1218">
        <v>10709</v>
      </c>
      <c r="B1218">
        <v>60</v>
      </c>
      <c r="C1218">
        <v>34</v>
      </c>
      <c r="D1218">
        <v>10</v>
      </c>
      <c r="E1218">
        <v>0</v>
      </c>
      <c r="F1218">
        <f t="shared" si="18"/>
        <v>340</v>
      </c>
      <c r="G1218">
        <f>YEAR(VLOOKUP(A1218,orders!A:D,4,0))</f>
        <v>2014</v>
      </c>
      <c r="H1218">
        <f>MONTH(INDEX(orders!D:D,MATCH(A1218, orders!A:A,0)))</f>
        <v>10</v>
      </c>
      <c r="I1218" t="str">
        <f>VLOOKUP(VLOOKUP(B1218,products!A:F,6,0),categories!A:B,2,0)</f>
        <v>Dairy Products</v>
      </c>
      <c r="J1218" t="str">
        <f>VLOOKUP(VLOOKUP(A1218,orders!A:B,2,0),customers!A:F,6,0)</f>
        <v>Brazil</v>
      </c>
      <c r="K1218" t="str">
        <f>VLOOKUP(VLOOKUP(A1218,orders!A:C,3,0),employees!A:B,2,0)</f>
        <v>Nancy Davolio</v>
      </c>
    </row>
    <row r="1219" spans="1:11" x14ac:dyDescent="0.25">
      <c r="A1219">
        <v>10710</v>
      </c>
      <c r="B1219">
        <v>19</v>
      </c>
      <c r="C1219">
        <v>9.1999999999999993</v>
      </c>
      <c r="D1219">
        <v>5</v>
      </c>
      <c r="E1219">
        <v>0</v>
      </c>
      <c r="F1219">
        <f t="shared" ref="F1219:F1282" si="19">C1219*D1219*(1-E1219)</f>
        <v>46</v>
      </c>
      <c r="G1219">
        <f>YEAR(VLOOKUP(A1219,orders!A:D,4,0))</f>
        <v>2014</v>
      </c>
      <c r="H1219">
        <f>MONTH(INDEX(orders!D:D,MATCH(A1219, orders!A:A,0)))</f>
        <v>10</v>
      </c>
      <c r="I1219" t="str">
        <f>VLOOKUP(VLOOKUP(B1219,products!A:F,6,0),categories!A:B,2,0)</f>
        <v>Confections</v>
      </c>
      <c r="J1219" t="str">
        <f>VLOOKUP(VLOOKUP(A1219,orders!A:B,2,0),customers!A:F,6,0)</f>
        <v>Italy</v>
      </c>
      <c r="K1219" t="str">
        <f>VLOOKUP(VLOOKUP(A1219,orders!A:C,3,0),employees!A:B,2,0)</f>
        <v>Nancy Davolio</v>
      </c>
    </row>
    <row r="1220" spans="1:11" x14ac:dyDescent="0.25">
      <c r="A1220">
        <v>10710</v>
      </c>
      <c r="B1220">
        <v>47</v>
      </c>
      <c r="C1220">
        <v>9.5</v>
      </c>
      <c r="D1220">
        <v>5</v>
      </c>
      <c r="E1220">
        <v>0</v>
      </c>
      <c r="F1220">
        <f t="shared" si="19"/>
        <v>47.5</v>
      </c>
      <c r="G1220">
        <f>YEAR(VLOOKUP(A1220,orders!A:D,4,0))</f>
        <v>2014</v>
      </c>
      <c r="H1220">
        <f>MONTH(INDEX(orders!D:D,MATCH(A1220, orders!A:A,0)))</f>
        <v>10</v>
      </c>
      <c r="I1220" t="str">
        <f>VLOOKUP(VLOOKUP(B1220,products!A:F,6,0),categories!A:B,2,0)</f>
        <v>Confections</v>
      </c>
      <c r="J1220" t="str">
        <f>VLOOKUP(VLOOKUP(A1220,orders!A:B,2,0),customers!A:F,6,0)</f>
        <v>Italy</v>
      </c>
      <c r="K1220" t="str">
        <f>VLOOKUP(VLOOKUP(A1220,orders!A:C,3,0),employees!A:B,2,0)</f>
        <v>Nancy Davolio</v>
      </c>
    </row>
    <row r="1221" spans="1:11" x14ac:dyDescent="0.25">
      <c r="A1221">
        <v>10711</v>
      </c>
      <c r="B1221">
        <v>19</v>
      </c>
      <c r="C1221">
        <v>9.1999999999999993</v>
      </c>
      <c r="D1221">
        <v>12</v>
      </c>
      <c r="E1221">
        <v>0</v>
      </c>
      <c r="F1221">
        <f t="shared" si="19"/>
        <v>110.39999999999999</v>
      </c>
      <c r="G1221">
        <f>YEAR(VLOOKUP(A1221,orders!A:D,4,0))</f>
        <v>2014</v>
      </c>
      <c r="H1221">
        <f>MONTH(INDEX(orders!D:D,MATCH(A1221, orders!A:A,0)))</f>
        <v>10</v>
      </c>
      <c r="I1221" t="str">
        <f>VLOOKUP(VLOOKUP(B1221,products!A:F,6,0),categories!A:B,2,0)</f>
        <v>Confections</v>
      </c>
      <c r="J1221" t="str">
        <f>VLOOKUP(VLOOKUP(A1221,orders!A:B,2,0),customers!A:F,6,0)</f>
        <v>USA</v>
      </c>
      <c r="K1221" t="str">
        <f>VLOOKUP(VLOOKUP(A1221,orders!A:C,3,0),employees!A:B,2,0)</f>
        <v>Steven Buchanan</v>
      </c>
    </row>
    <row r="1222" spans="1:11" x14ac:dyDescent="0.25">
      <c r="A1222">
        <v>10711</v>
      </c>
      <c r="B1222">
        <v>41</v>
      </c>
      <c r="C1222">
        <v>9.65</v>
      </c>
      <c r="D1222">
        <v>42</v>
      </c>
      <c r="E1222">
        <v>0</v>
      </c>
      <c r="F1222">
        <f t="shared" si="19"/>
        <v>405.3</v>
      </c>
      <c r="G1222">
        <f>YEAR(VLOOKUP(A1222,orders!A:D,4,0))</f>
        <v>2014</v>
      </c>
      <c r="H1222">
        <f>MONTH(INDEX(orders!D:D,MATCH(A1222, orders!A:A,0)))</f>
        <v>10</v>
      </c>
      <c r="I1222" t="str">
        <f>VLOOKUP(VLOOKUP(B1222,products!A:F,6,0),categories!A:B,2,0)</f>
        <v>Seafood</v>
      </c>
      <c r="J1222" t="str">
        <f>VLOOKUP(VLOOKUP(A1222,orders!A:B,2,0),customers!A:F,6,0)</f>
        <v>USA</v>
      </c>
      <c r="K1222" t="str">
        <f>VLOOKUP(VLOOKUP(A1222,orders!A:C,3,0),employees!A:B,2,0)</f>
        <v>Steven Buchanan</v>
      </c>
    </row>
    <row r="1223" spans="1:11" x14ac:dyDescent="0.25">
      <c r="A1223">
        <v>10711</v>
      </c>
      <c r="B1223">
        <v>53</v>
      </c>
      <c r="C1223">
        <v>32.799999999999997</v>
      </c>
      <c r="D1223">
        <v>120</v>
      </c>
      <c r="E1223">
        <v>0</v>
      </c>
      <c r="F1223">
        <f t="shared" si="19"/>
        <v>3935.9999999999995</v>
      </c>
      <c r="G1223">
        <f>YEAR(VLOOKUP(A1223,orders!A:D,4,0))</f>
        <v>2014</v>
      </c>
      <c r="H1223">
        <f>MONTH(INDEX(orders!D:D,MATCH(A1223, orders!A:A,0)))</f>
        <v>10</v>
      </c>
      <c r="I1223" t="str">
        <f>VLOOKUP(VLOOKUP(B1223,products!A:F,6,0),categories!A:B,2,0)</f>
        <v>Meat &amp; Poultry</v>
      </c>
      <c r="J1223" t="str">
        <f>VLOOKUP(VLOOKUP(A1223,orders!A:B,2,0),customers!A:F,6,0)</f>
        <v>USA</v>
      </c>
      <c r="K1223" t="str">
        <f>VLOOKUP(VLOOKUP(A1223,orders!A:C,3,0),employees!A:B,2,0)</f>
        <v>Steven Buchanan</v>
      </c>
    </row>
    <row r="1224" spans="1:11" x14ac:dyDescent="0.25">
      <c r="A1224">
        <v>10712</v>
      </c>
      <c r="B1224">
        <v>53</v>
      </c>
      <c r="C1224">
        <v>32.799999999999997</v>
      </c>
      <c r="D1224">
        <v>3</v>
      </c>
      <c r="E1224">
        <v>0.05</v>
      </c>
      <c r="F1224">
        <f t="shared" si="19"/>
        <v>93.47999999999999</v>
      </c>
      <c r="G1224">
        <f>YEAR(VLOOKUP(A1224,orders!A:D,4,0))</f>
        <v>2014</v>
      </c>
      <c r="H1224">
        <f>MONTH(INDEX(orders!D:D,MATCH(A1224, orders!A:A,0)))</f>
        <v>10</v>
      </c>
      <c r="I1224" t="str">
        <f>VLOOKUP(VLOOKUP(B1224,products!A:F,6,0),categories!A:B,2,0)</f>
        <v>Meat &amp; Poultry</v>
      </c>
      <c r="J1224" t="str">
        <f>VLOOKUP(VLOOKUP(A1224,orders!A:B,2,0),customers!A:F,6,0)</f>
        <v>Ireland</v>
      </c>
      <c r="K1224" t="str">
        <f>VLOOKUP(VLOOKUP(A1224,orders!A:C,3,0),employees!A:B,2,0)</f>
        <v>Janet Leverling</v>
      </c>
    </row>
    <row r="1225" spans="1:11" x14ac:dyDescent="0.25">
      <c r="A1225">
        <v>10712</v>
      </c>
      <c r="B1225">
        <v>56</v>
      </c>
      <c r="C1225">
        <v>38</v>
      </c>
      <c r="D1225">
        <v>30</v>
      </c>
      <c r="E1225">
        <v>0</v>
      </c>
      <c r="F1225">
        <f t="shared" si="19"/>
        <v>1140</v>
      </c>
      <c r="G1225">
        <f>YEAR(VLOOKUP(A1225,orders!A:D,4,0))</f>
        <v>2014</v>
      </c>
      <c r="H1225">
        <f>MONTH(INDEX(orders!D:D,MATCH(A1225, orders!A:A,0)))</f>
        <v>10</v>
      </c>
      <c r="I1225" t="str">
        <f>VLOOKUP(VLOOKUP(B1225,products!A:F,6,0),categories!A:B,2,0)</f>
        <v>Grains &amp; Cereals</v>
      </c>
      <c r="J1225" t="str">
        <f>VLOOKUP(VLOOKUP(A1225,orders!A:B,2,0),customers!A:F,6,0)</f>
        <v>Ireland</v>
      </c>
      <c r="K1225" t="str">
        <f>VLOOKUP(VLOOKUP(A1225,orders!A:C,3,0),employees!A:B,2,0)</f>
        <v>Janet Leverling</v>
      </c>
    </row>
    <row r="1226" spans="1:11" x14ac:dyDescent="0.25">
      <c r="A1226">
        <v>10713</v>
      </c>
      <c r="B1226">
        <v>10</v>
      </c>
      <c r="C1226">
        <v>31</v>
      </c>
      <c r="D1226">
        <v>18</v>
      </c>
      <c r="E1226">
        <v>0</v>
      </c>
      <c r="F1226">
        <f t="shared" si="19"/>
        <v>558</v>
      </c>
      <c r="G1226">
        <f>YEAR(VLOOKUP(A1226,orders!A:D,4,0))</f>
        <v>2014</v>
      </c>
      <c r="H1226">
        <f>MONTH(INDEX(orders!D:D,MATCH(A1226, orders!A:A,0)))</f>
        <v>10</v>
      </c>
      <c r="I1226" t="str">
        <f>VLOOKUP(VLOOKUP(B1226,products!A:F,6,0),categories!A:B,2,0)</f>
        <v>Seafood</v>
      </c>
      <c r="J1226" t="str">
        <f>VLOOKUP(VLOOKUP(A1226,orders!A:B,2,0),customers!A:F,6,0)</f>
        <v>USA</v>
      </c>
      <c r="K1226" t="str">
        <f>VLOOKUP(VLOOKUP(A1226,orders!A:C,3,0),employees!A:B,2,0)</f>
        <v>Nancy Davolio</v>
      </c>
    </row>
    <row r="1227" spans="1:11" x14ac:dyDescent="0.25">
      <c r="A1227">
        <v>10713</v>
      </c>
      <c r="B1227">
        <v>26</v>
      </c>
      <c r="C1227">
        <v>31.23</v>
      </c>
      <c r="D1227">
        <v>30</v>
      </c>
      <c r="E1227">
        <v>0</v>
      </c>
      <c r="F1227">
        <f t="shared" si="19"/>
        <v>936.9</v>
      </c>
      <c r="G1227">
        <f>YEAR(VLOOKUP(A1227,orders!A:D,4,0))</f>
        <v>2014</v>
      </c>
      <c r="H1227">
        <f>MONTH(INDEX(orders!D:D,MATCH(A1227, orders!A:A,0)))</f>
        <v>10</v>
      </c>
      <c r="I1227" t="str">
        <f>VLOOKUP(VLOOKUP(B1227,products!A:F,6,0),categories!A:B,2,0)</f>
        <v>Confections</v>
      </c>
      <c r="J1227" t="str">
        <f>VLOOKUP(VLOOKUP(A1227,orders!A:B,2,0),customers!A:F,6,0)</f>
        <v>USA</v>
      </c>
      <c r="K1227" t="str">
        <f>VLOOKUP(VLOOKUP(A1227,orders!A:C,3,0),employees!A:B,2,0)</f>
        <v>Nancy Davolio</v>
      </c>
    </row>
    <row r="1228" spans="1:11" x14ac:dyDescent="0.25">
      <c r="A1228">
        <v>10713</v>
      </c>
      <c r="B1228">
        <v>45</v>
      </c>
      <c r="C1228">
        <v>9.5</v>
      </c>
      <c r="D1228">
        <v>110</v>
      </c>
      <c r="E1228">
        <v>0</v>
      </c>
      <c r="F1228">
        <f t="shared" si="19"/>
        <v>1045</v>
      </c>
      <c r="G1228">
        <f>YEAR(VLOOKUP(A1228,orders!A:D,4,0))</f>
        <v>2014</v>
      </c>
      <c r="H1228">
        <f>MONTH(INDEX(orders!D:D,MATCH(A1228, orders!A:A,0)))</f>
        <v>10</v>
      </c>
      <c r="I1228" t="str">
        <f>VLOOKUP(VLOOKUP(B1228,products!A:F,6,0),categories!A:B,2,0)</f>
        <v>Seafood</v>
      </c>
      <c r="J1228" t="str">
        <f>VLOOKUP(VLOOKUP(A1228,orders!A:B,2,0),customers!A:F,6,0)</f>
        <v>USA</v>
      </c>
      <c r="K1228" t="str">
        <f>VLOOKUP(VLOOKUP(A1228,orders!A:C,3,0),employees!A:B,2,0)</f>
        <v>Nancy Davolio</v>
      </c>
    </row>
    <row r="1229" spans="1:11" x14ac:dyDescent="0.25">
      <c r="A1229">
        <v>10713</v>
      </c>
      <c r="B1229">
        <v>46</v>
      </c>
      <c r="C1229">
        <v>12</v>
      </c>
      <c r="D1229">
        <v>24</v>
      </c>
      <c r="E1229">
        <v>0</v>
      </c>
      <c r="F1229">
        <f t="shared" si="19"/>
        <v>288</v>
      </c>
      <c r="G1229">
        <f>YEAR(VLOOKUP(A1229,orders!A:D,4,0))</f>
        <v>2014</v>
      </c>
      <c r="H1229">
        <f>MONTH(INDEX(orders!D:D,MATCH(A1229, orders!A:A,0)))</f>
        <v>10</v>
      </c>
      <c r="I1229" t="str">
        <f>VLOOKUP(VLOOKUP(B1229,products!A:F,6,0),categories!A:B,2,0)</f>
        <v>Seafood</v>
      </c>
      <c r="J1229" t="str">
        <f>VLOOKUP(VLOOKUP(A1229,orders!A:B,2,0),customers!A:F,6,0)</f>
        <v>USA</v>
      </c>
      <c r="K1229" t="str">
        <f>VLOOKUP(VLOOKUP(A1229,orders!A:C,3,0),employees!A:B,2,0)</f>
        <v>Nancy Davolio</v>
      </c>
    </row>
    <row r="1230" spans="1:11" x14ac:dyDescent="0.25">
      <c r="A1230">
        <v>10714</v>
      </c>
      <c r="B1230">
        <v>2</v>
      </c>
      <c r="C1230">
        <v>19</v>
      </c>
      <c r="D1230">
        <v>30</v>
      </c>
      <c r="E1230">
        <v>0.25</v>
      </c>
      <c r="F1230">
        <f t="shared" si="19"/>
        <v>427.5</v>
      </c>
      <c r="G1230">
        <f>YEAR(VLOOKUP(A1230,orders!A:D,4,0))</f>
        <v>2014</v>
      </c>
      <c r="H1230">
        <f>MONTH(INDEX(orders!D:D,MATCH(A1230, orders!A:A,0)))</f>
        <v>10</v>
      </c>
      <c r="I1230" t="str">
        <f>VLOOKUP(VLOOKUP(B1230,products!A:F,6,0),categories!A:B,2,0)</f>
        <v>Beverages</v>
      </c>
      <c r="J1230" t="str">
        <f>VLOOKUP(VLOOKUP(A1230,orders!A:B,2,0),customers!A:F,6,0)</f>
        <v>USA</v>
      </c>
      <c r="K1230" t="str">
        <f>VLOOKUP(VLOOKUP(A1230,orders!A:C,3,0),employees!A:B,2,0)</f>
        <v>Steven Buchanan</v>
      </c>
    </row>
    <row r="1231" spans="1:11" x14ac:dyDescent="0.25">
      <c r="A1231">
        <v>10714</v>
      </c>
      <c r="B1231">
        <v>17</v>
      </c>
      <c r="C1231">
        <v>39</v>
      </c>
      <c r="D1231">
        <v>27</v>
      </c>
      <c r="E1231">
        <v>0.25</v>
      </c>
      <c r="F1231">
        <f t="shared" si="19"/>
        <v>789.75</v>
      </c>
      <c r="G1231">
        <f>YEAR(VLOOKUP(A1231,orders!A:D,4,0))</f>
        <v>2014</v>
      </c>
      <c r="H1231">
        <f>MONTH(INDEX(orders!D:D,MATCH(A1231, orders!A:A,0)))</f>
        <v>10</v>
      </c>
      <c r="I1231" t="str">
        <f>VLOOKUP(VLOOKUP(B1231,products!A:F,6,0),categories!A:B,2,0)</f>
        <v>Meat &amp; Poultry</v>
      </c>
      <c r="J1231" t="str">
        <f>VLOOKUP(VLOOKUP(A1231,orders!A:B,2,0),customers!A:F,6,0)</f>
        <v>USA</v>
      </c>
      <c r="K1231" t="str">
        <f>VLOOKUP(VLOOKUP(A1231,orders!A:C,3,0),employees!A:B,2,0)</f>
        <v>Steven Buchanan</v>
      </c>
    </row>
    <row r="1232" spans="1:11" x14ac:dyDescent="0.25">
      <c r="A1232">
        <v>10714</v>
      </c>
      <c r="B1232">
        <v>47</v>
      </c>
      <c r="C1232">
        <v>9.5</v>
      </c>
      <c r="D1232">
        <v>50</v>
      </c>
      <c r="E1232">
        <v>0.25</v>
      </c>
      <c r="F1232">
        <f t="shared" si="19"/>
        <v>356.25</v>
      </c>
      <c r="G1232">
        <f>YEAR(VLOOKUP(A1232,orders!A:D,4,0))</f>
        <v>2014</v>
      </c>
      <c r="H1232">
        <f>MONTH(INDEX(orders!D:D,MATCH(A1232, orders!A:A,0)))</f>
        <v>10</v>
      </c>
      <c r="I1232" t="str">
        <f>VLOOKUP(VLOOKUP(B1232,products!A:F,6,0),categories!A:B,2,0)</f>
        <v>Confections</v>
      </c>
      <c r="J1232" t="str">
        <f>VLOOKUP(VLOOKUP(A1232,orders!A:B,2,0),customers!A:F,6,0)</f>
        <v>USA</v>
      </c>
      <c r="K1232" t="str">
        <f>VLOOKUP(VLOOKUP(A1232,orders!A:C,3,0),employees!A:B,2,0)</f>
        <v>Steven Buchanan</v>
      </c>
    </row>
    <row r="1233" spans="1:11" x14ac:dyDescent="0.25">
      <c r="A1233">
        <v>10714</v>
      </c>
      <c r="B1233">
        <v>56</v>
      </c>
      <c r="C1233">
        <v>38</v>
      </c>
      <c r="D1233">
        <v>18</v>
      </c>
      <c r="E1233">
        <v>0.25</v>
      </c>
      <c r="F1233">
        <f t="shared" si="19"/>
        <v>513</v>
      </c>
      <c r="G1233">
        <f>YEAR(VLOOKUP(A1233,orders!A:D,4,0))</f>
        <v>2014</v>
      </c>
      <c r="H1233">
        <f>MONTH(INDEX(orders!D:D,MATCH(A1233, orders!A:A,0)))</f>
        <v>10</v>
      </c>
      <c r="I1233" t="str">
        <f>VLOOKUP(VLOOKUP(B1233,products!A:F,6,0),categories!A:B,2,0)</f>
        <v>Grains &amp; Cereals</v>
      </c>
      <c r="J1233" t="str">
        <f>VLOOKUP(VLOOKUP(A1233,orders!A:B,2,0),customers!A:F,6,0)</f>
        <v>USA</v>
      </c>
      <c r="K1233" t="str">
        <f>VLOOKUP(VLOOKUP(A1233,orders!A:C,3,0),employees!A:B,2,0)</f>
        <v>Steven Buchanan</v>
      </c>
    </row>
    <row r="1234" spans="1:11" x14ac:dyDescent="0.25">
      <c r="A1234">
        <v>10714</v>
      </c>
      <c r="B1234">
        <v>58</v>
      </c>
      <c r="C1234">
        <v>13.25</v>
      </c>
      <c r="D1234">
        <v>12</v>
      </c>
      <c r="E1234">
        <v>0.25</v>
      </c>
      <c r="F1234">
        <f t="shared" si="19"/>
        <v>119.25</v>
      </c>
      <c r="G1234">
        <f>YEAR(VLOOKUP(A1234,orders!A:D,4,0))</f>
        <v>2014</v>
      </c>
      <c r="H1234">
        <f>MONTH(INDEX(orders!D:D,MATCH(A1234, orders!A:A,0)))</f>
        <v>10</v>
      </c>
      <c r="I1234" t="str">
        <f>VLOOKUP(VLOOKUP(B1234,products!A:F,6,0),categories!A:B,2,0)</f>
        <v>Seafood</v>
      </c>
      <c r="J1234" t="str">
        <f>VLOOKUP(VLOOKUP(A1234,orders!A:B,2,0),customers!A:F,6,0)</f>
        <v>USA</v>
      </c>
      <c r="K1234" t="str">
        <f>VLOOKUP(VLOOKUP(A1234,orders!A:C,3,0),employees!A:B,2,0)</f>
        <v>Steven Buchanan</v>
      </c>
    </row>
    <row r="1235" spans="1:11" x14ac:dyDescent="0.25">
      <c r="A1235">
        <v>10715</v>
      </c>
      <c r="B1235">
        <v>10</v>
      </c>
      <c r="C1235">
        <v>31</v>
      </c>
      <c r="D1235">
        <v>21</v>
      </c>
      <c r="E1235">
        <v>0</v>
      </c>
      <c r="F1235">
        <f t="shared" si="19"/>
        <v>651</v>
      </c>
      <c r="G1235">
        <f>YEAR(VLOOKUP(A1235,orders!A:D,4,0))</f>
        <v>2014</v>
      </c>
      <c r="H1235">
        <f>MONTH(INDEX(orders!D:D,MATCH(A1235, orders!A:A,0)))</f>
        <v>10</v>
      </c>
      <c r="I1235" t="str">
        <f>VLOOKUP(VLOOKUP(B1235,products!A:F,6,0),categories!A:B,2,0)</f>
        <v>Seafood</v>
      </c>
      <c r="J1235" t="str">
        <f>VLOOKUP(VLOOKUP(A1235,orders!A:B,2,0),customers!A:F,6,0)</f>
        <v>France</v>
      </c>
      <c r="K1235" t="str">
        <f>VLOOKUP(VLOOKUP(A1235,orders!A:C,3,0),employees!A:B,2,0)</f>
        <v>Janet Leverling</v>
      </c>
    </row>
    <row r="1236" spans="1:11" x14ac:dyDescent="0.25">
      <c r="A1236">
        <v>10715</v>
      </c>
      <c r="B1236">
        <v>71</v>
      </c>
      <c r="C1236">
        <v>21.5</v>
      </c>
      <c r="D1236">
        <v>30</v>
      </c>
      <c r="E1236">
        <v>0</v>
      </c>
      <c r="F1236">
        <f t="shared" si="19"/>
        <v>645</v>
      </c>
      <c r="G1236">
        <f>YEAR(VLOOKUP(A1236,orders!A:D,4,0))</f>
        <v>2014</v>
      </c>
      <c r="H1236">
        <f>MONTH(INDEX(orders!D:D,MATCH(A1236, orders!A:A,0)))</f>
        <v>10</v>
      </c>
      <c r="I1236" t="str">
        <f>VLOOKUP(VLOOKUP(B1236,products!A:F,6,0),categories!A:B,2,0)</f>
        <v>Dairy Products</v>
      </c>
      <c r="J1236" t="str">
        <f>VLOOKUP(VLOOKUP(A1236,orders!A:B,2,0),customers!A:F,6,0)</f>
        <v>France</v>
      </c>
      <c r="K1236" t="str">
        <f>VLOOKUP(VLOOKUP(A1236,orders!A:C,3,0),employees!A:B,2,0)</f>
        <v>Janet Leverling</v>
      </c>
    </row>
    <row r="1237" spans="1:11" x14ac:dyDescent="0.25">
      <c r="A1237">
        <v>10716</v>
      </c>
      <c r="B1237">
        <v>21</v>
      </c>
      <c r="C1237">
        <v>10</v>
      </c>
      <c r="D1237">
        <v>5</v>
      </c>
      <c r="E1237">
        <v>0</v>
      </c>
      <c r="F1237">
        <f t="shared" si="19"/>
        <v>50</v>
      </c>
      <c r="G1237">
        <f>YEAR(VLOOKUP(A1237,orders!A:D,4,0))</f>
        <v>2014</v>
      </c>
      <c r="H1237">
        <f>MONTH(INDEX(orders!D:D,MATCH(A1237, orders!A:A,0)))</f>
        <v>10</v>
      </c>
      <c r="I1237" t="str">
        <f>VLOOKUP(VLOOKUP(B1237,products!A:F,6,0),categories!A:B,2,0)</f>
        <v>Confections</v>
      </c>
      <c r="J1237" t="str">
        <f>VLOOKUP(VLOOKUP(A1237,orders!A:B,2,0),customers!A:F,6,0)</f>
        <v>Argentina</v>
      </c>
      <c r="K1237" t="str">
        <f>VLOOKUP(VLOOKUP(A1237,orders!A:C,3,0),employees!A:B,2,0)</f>
        <v>Margaret Peacock</v>
      </c>
    </row>
    <row r="1238" spans="1:11" x14ac:dyDescent="0.25">
      <c r="A1238">
        <v>10716</v>
      </c>
      <c r="B1238">
        <v>51</v>
      </c>
      <c r="C1238">
        <v>53</v>
      </c>
      <c r="D1238">
        <v>7</v>
      </c>
      <c r="E1238">
        <v>0</v>
      </c>
      <c r="F1238">
        <f t="shared" si="19"/>
        <v>371</v>
      </c>
      <c r="G1238">
        <f>YEAR(VLOOKUP(A1238,orders!A:D,4,0))</f>
        <v>2014</v>
      </c>
      <c r="H1238">
        <f>MONTH(INDEX(orders!D:D,MATCH(A1238, orders!A:A,0)))</f>
        <v>10</v>
      </c>
      <c r="I1238" t="str">
        <f>VLOOKUP(VLOOKUP(B1238,products!A:F,6,0),categories!A:B,2,0)</f>
        <v>Produce</v>
      </c>
      <c r="J1238" t="str">
        <f>VLOOKUP(VLOOKUP(A1238,orders!A:B,2,0),customers!A:F,6,0)</f>
        <v>Argentina</v>
      </c>
      <c r="K1238" t="str">
        <f>VLOOKUP(VLOOKUP(A1238,orders!A:C,3,0),employees!A:B,2,0)</f>
        <v>Margaret Peacock</v>
      </c>
    </row>
    <row r="1239" spans="1:11" x14ac:dyDescent="0.25">
      <c r="A1239">
        <v>10716</v>
      </c>
      <c r="B1239">
        <v>61</v>
      </c>
      <c r="C1239">
        <v>28.5</v>
      </c>
      <c r="D1239">
        <v>10</v>
      </c>
      <c r="E1239">
        <v>0</v>
      </c>
      <c r="F1239">
        <f t="shared" si="19"/>
        <v>285</v>
      </c>
      <c r="G1239">
        <f>YEAR(VLOOKUP(A1239,orders!A:D,4,0))</f>
        <v>2014</v>
      </c>
      <c r="H1239">
        <f>MONTH(INDEX(orders!D:D,MATCH(A1239, orders!A:A,0)))</f>
        <v>10</v>
      </c>
      <c r="I1239" t="str">
        <f>VLOOKUP(VLOOKUP(B1239,products!A:F,6,0),categories!A:B,2,0)</f>
        <v>Condiments</v>
      </c>
      <c r="J1239" t="str">
        <f>VLOOKUP(VLOOKUP(A1239,orders!A:B,2,0),customers!A:F,6,0)</f>
        <v>Argentina</v>
      </c>
      <c r="K1239" t="str">
        <f>VLOOKUP(VLOOKUP(A1239,orders!A:C,3,0),employees!A:B,2,0)</f>
        <v>Margaret Peacock</v>
      </c>
    </row>
    <row r="1240" spans="1:11" x14ac:dyDescent="0.25">
      <c r="A1240">
        <v>10717</v>
      </c>
      <c r="B1240">
        <v>21</v>
      </c>
      <c r="C1240">
        <v>10</v>
      </c>
      <c r="D1240">
        <v>32</v>
      </c>
      <c r="E1240">
        <v>0.05</v>
      </c>
      <c r="F1240">
        <f t="shared" si="19"/>
        <v>304</v>
      </c>
      <c r="G1240">
        <f>YEAR(VLOOKUP(A1240,orders!A:D,4,0))</f>
        <v>2014</v>
      </c>
      <c r="H1240">
        <f>MONTH(INDEX(orders!D:D,MATCH(A1240, orders!A:A,0)))</f>
        <v>10</v>
      </c>
      <c r="I1240" t="str">
        <f>VLOOKUP(VLOOKUP(B1240,products!A:F,6,0),categories!A:B,2,0)</f>
        <v>Confections</v>
      </c>
      <c r="J1240" t="str">
        <f>VLOOKUP(VLOOKUP(A1240,orders!A:B,2,0),customers!A:F,6,0)</f>
        <v>Germany</v>
      </c>
      <c r="K1240" t="str">
        <f>VLOOKUP(VLOOKUP(A1240,orders!A:C,3,0),employees!A:B,2,0)</f>
        <v>Nancy Davolio</v>
      </c>
    </row>
    <row r="1241" spans="1:11" x14ac:dyDescent="0.25">
      <c r="A1241">
        <v>10717</v>
      </c>
      <c r="B1241">
        <v>54</v>
      </c>
      <c r="C1241">
        <v>7.45</v>
      </c>
      <c r="D1241">
        <v>15</v>
      </c>
      <c r="E1241">
        <v>0</v>
      </c>
      <c r="F1241">
        <f t="shared" si="19"/>
        <v>111.75</v>
      </c>
      <c r="G1241">
        <f>YEAR(VLOOKUP(A1241,orders!A:D,4,0))</f>
        <v>2014</v>
      </c>
      <c r="H1241">
        <f>MONTH(INDEX(orders!D:D,MATCH(A1241, orders!A:A,0)))</f>
        <v>10</v>
      </c>
      <c r="I1241" t="str">
        <f>VLOOKUP(VLOOKUP(B1241,products!A:F,6,0),categories!A:B,2,0)</f>
        <v>Meat &amp; Poultry</v>
      </c>
      <c r="J1241" t="str">
        <f>VLOOKUP(VLOOKUP(A1241,orders!A:B,2,0),customers!A:F,6,0)</f>
        <v>Germany</v>
      </c>
      <c r="K1241" t="str">
        <f>VLOOKUP(VLOOKUP(A1241,orders!A:C,3,0),employees!A:B,2,0)</f>
        <v>Nancy Davolio</v>
      </c>
    </row>
    <row r="1242" spans="1:11" x14ac:dyDescent="0.25">
      <c r="A1242">
        <v>10717</v>
      </c>
      <c r="B1242">
        <v>69</v>
      </c>
      <c r="C1242">
        <v>36</v>
      </c>
      <c r="D1242">
        <v>25</v>
      </c>
      <c r="E1242">
        <v>0.05</v>
      </c>
      <c r="F1242">
        <f t="shared" si="19"/>
        <v>855</v>
      </c>
      <c r="G1242">
        <f>YEAR(VLOOKUP(A1242,orders!A:D,4,0))</f>
        <v>2014</v>
      </c>
      <c r="H1242">
        <f>MONTH(INDEX(orders!D:D,MATCH(A1242, orders!A:A,0)))</f>
        <v>10</v>
      </c>
      <c r="I1242" t="str">
        <f>VLOOKUP(VLOOKUP(B1242,products!A:F,6,0),categories!A:B,2,0)</f>
        <v>Dairy Products</v>
      </c>
      <c r="J1242" t="str">
        <f>VLOOKUP(VLOOKUP(A1242,orders!A:B,2,0),customers!A:F,6,0)</f>
        <v>Germany</v>
      </c>
      <c r="K1242" t="str">
        <f>VLOOKUP(VLOOKUP(A1242,orders!A:C,3,0),employees!A:B,2,0)</f>
        <v>Nancy Davolio</v>
      </c>
    </row>
    <row r="1243" spans="1:11" x14ac:dyDescent="0.25">
      <c r="A1243">
        <v>10718</v>
      </c>
      <c r="B1243">
        <v>12</v>
      </c>
      <c r="C1243">
        <v>38</v>
      </c>
      <c r="D1243">
        <v>36</v>
      </c>
      <c r="E1243">
        <v>0</v>
      </c>
      <c r="F1243">
        <f t="shared" si="19"/>
        <v>1368</v>
      </c>
      <c r="G1243">
        <f>YEAR(VLOOKUP(A1243,orders!A:D,4,0))</f>
        <v>2014</v>
      </c>
      <c r="H1243">
        <f>MONTH(INDEX(orders!D:D,MATCH(A1243, orders!A:A,0)))</f>
        <v>10</v>
      </c>
      <c r="I1243" t="str">
        <f>VLOOKUP(VLOOKUP(B1243,products!A:F,6,0),categories!A:B,2,0)</f>
        <v>Dairy Products</v>
      </c>
      <c r="J1243" t="str">
        <f>VLOOKUP(VLOOKUP(A1243,orders!A:B,2,0),customers!A:F,6,0)</f>
        <v>Germany</v>
      </c>
      <c r="K1243" t="str">
        <f>VLOOKUP(VLOOKUP(A1243,orders!A:C,3,0),employees!A:B,2,0)</f>
        <v>Nancy Davolio</v>
      </c>
    </row>
    <row r="1244" spans="1:11" x14ac:dyDescent="0.25">
      <c r="A1244">
        <v>10718</v>
      </c>
      <c r="B1244">
        <v>16</v>
      </c>
      <c r="C1244">
        <v>17.45</v>
      </c>
      <c r="D1244">
        <v>20</v>
      </c>
      <c r="E1244">
        <v>0</v>
      </c>
      <c r="F1244">
        <f t="shared" si="19"/>
        <v>349</v>
      </c>
      <c r="G1244">
        <f>YEAR(VLOOKUP(A1244,orders!A:D,4,0))</f>
        <v>2014</v>
      </c>
      <c r="H1244">
        <f>MONTH(INDEX(orders!D:D,MATCH(A1244, orders!A:A,0)))</f>
        <v>10</v>
      </c>
      <c r="I1244" t="str">
        <f>VLOOKUP(VLOOKUP(B1244,products!A:F,6,0),categories!A:B,2,0)</f>
        <v>Confections</v>
      </c>
      <c r="J1244" t="str">
        <f>VLOOKUP(VLOOKUP(A1244,orders!A:B,2,0),customers!A:F,6,0)</f>
        <v>Germany</v>
      </c>
      <c r="K1244" t="str">
        <f>VLOOKUP(VLOOKUP(A1244,orders!A:C,3,0),employees!A:B,2,0)</f>
        <v>Nancy Davolio</v>
      </c>
    </row>
    <row r="1245" spans="1:11" x14ac:dyDescent="0.25">
      <c r="A1245">
        <v>10718</v>
      </c>
      <c r="B1245">
        <v>36</v>
      </c>
      <c r="C1245">
        <v>19</v>
      </c>
      <c r="D1245">
        <v>40</v>
      </c>
      <c r="E1245">
        <v>0</v>
      </c>
      <c r="F1245">
        <f t="shared" si="19"/>
        <v>760</v>
      </c>
      <c r="G1245">
        <f>YEAR(VLOOKUP(A1245,orders!A:D,4,0))</f>
        <v>2014</v>
      </c>
      <c r="H1245">
        <f>MONTH(INDEX(orders!D:D,MATCH(A1245, orders!A:A,0)))</f>
        <v>10</v>
      </c>
      <c r="I1245" t="str">
        <f>VLOOKUP(VLOOKUP(B1245,products!A:F,6,0),categories!A:B,2,0)</f>
        <v>Seafood</v>
      </c>
      <c r="J1245" t="str">
        <f>VLOOKUP(VLOOKUP(A1245,orders!A:B,2,0),customers!A:F,6,0)</f>
        <v>Germany</v>
      </c>
      <c r="K1245" t="str">
        <f>VLOOKUP(VLOOKUP(A1245,orders!A:C,3,0),employees!A:B,2,0)</f>
        <v>Nancy Davolio</v>
      </c>
    </row>
    <row r="1246" spans="1:11" x14ac:dyDescent="0.25">
      <c r="A1246">
        <v>10718</v>
      </c>
      <c r="B1246">
        <v>62</v>
      </c>
      <c r="C1246">
        <v>49.3</v>
      </c>
      <c r="D1246">
        <v>20</v>
      </c>
      <c r="E1246">
        <v>0</v>
      </c>
      <c r="F1246">
        <f t="shared" si="19"/>
        <v>986</v>
      </c>
      <c r="G1246">
        <f>YEAR(VLOOKUP(A1246,orders!A:D,4,0))</f>
        <v>2014</v>
      </c>
      <c r="H1246">
        <f>MONTH(INDEX(orders!D:D,MATCH(A1246, orders!A:A,0)))</f>
        <v>10</v>
      </c>
      <c r="I1246" t="str">
        <f>VLOOKUP(VLOOKUP(B1246,products!A:F,6,0),categories!A:B,2,0)</f>
        <v>Confections</v>
      </c>
      <c r="J1246" t="str">
        <f>VLOOKUP(VLOOKUP(A1246,orders!A:B,2,0),customers!A:F,6,0)</f>
        <v>Germany</v>
      </c>
      <c r="K1246" t="str">
        <f>VLOOKUP(VLOOKUP(A1246,orders!A:C,3,0),employees!A:B,2,0)</f>
        <v>Nancy Davolio</v>
      </c>
    </row>
    <row r="1247" spans="1:11" x14ac:dyDescent="0.25">
      <c r="A1247">
        <v>10719</v>
      </c>
      <c r="B1247">
        <v>18</v>
      </c>
      <c r="C1247">
        <v>62.5</v>
      </c>
      <c r="D1247">
        <v>12</v>
      </c>
      <c r="E1247">
        <v>0.25</v>
      </c>
      <c r="F1247">
        <f t="shared" si="19"/>
        <v>562.5</v>
      </c>
      <c r="G1247">
        <f>YEAR(VLOOKUP(A1247,orders!A:D,4,0))</f>
        <v>2014</v>
      </c>
      <c r="H1247">
        <f>MONTH(INDEX(orders!D:D,MATCH(A1247, orders!A:A,0)))</f>
        <v>10</v>
      </c>
      <c r="I1247" t="str">
        <f>VLOOKUP(VLOOKUP(B1247,products!A:F,6,0),categories!A:B,2,0)</f>
        <v>Seafood</v>
      </c>
      <c r="J1247" t="str">
        <f>VLOOKUP(VLOOKUP(A1247,orders!A:B,2,0),customers!A:F,6,0)</f>
        <v>USA</v>
      </c>
      <c r="K1247" t="str">
        <f>VLOOKUP(VLOOKUP(A1247,orders!A:C,3,0),employees!A:B,2,0)</f>
        <v>Laura Callahan</v>
      </c>
    </row>
    <row r="1248" spans="1:11" x14ac:dyDescent="0.25">
      <c r="A1248">
        <v>10719</v>
      </c>
      <c r="B1248">
        <v>30</v>
      </c>
      <c r="C1248">
        <v>25.89</v>
      </c>
      <c r="D1248">
        <v>3</v>
      </c>
      <c r="E1248">
        <v>0.25</v>
      </c>
      <c r="F1248">
        <f t="shared" si="19"/>
        <v>58.252499999999998</v>
      </c>
      <c r="G1248">
        <f>YEAR(VLOOKUP(A1248,orders!A:D,4,0))</f>
        <v>2014</v>
      </c>
      <c r="H1248">
        <f>MONTH(INDEX(orders!D:D,MATCH(A1248, orders!A:A,0)))</f>
        <v>10</v>
      </c>
      <c r="I1248" t="str">
        <f>VLOOKUP(VLOOKUP(B1248,products!A:F,6,0),categories!A:B,2,0)</f>
        <v>Seafood</v>
      </c>
      <c r="J1248" t="str">
        <f>VLOOKUP(VLOOKUP(A1248,orders!A:B,2,0),customers!A:F,6,0)</f>
        <v>USA</v>
      </c>
      <c r="K1248" t="str">
        <f>VLOOKUP(VLOOKUP(A1248,orders!A:C,3,0),employees!A:B,2,0)</f>
        <v>Laura Callahan</v>
      </c>
    </row>
    <row r="1249" spans="1:11" x14ac:dyDescent="0.25">
      <c r="A1249">
        <v>10719</v>
      </c>
      <c r="B1249">
        <v>54</v>
      </c>
      <c r="C1249">
        <v>7.45</v>
      </c>
      <c r="D1249">
        <v>40</v>
      </c>
      <c r="E1249">
        <v>0.25</v>
      </c>
      <c r="F1249">
        <f t="shared" si="19"/>
        <v>223.5</v>
      </c>
      <c r="G1249">
        <f>YEAR(VLOOKUP(A1249,orders!A:D,4,0))</f>
        <v>2014</v>
      </c>
      <c r="H1249">
        <f>MONTH(INDEX(orders!D:D,MATCH(A1249, orders!A:A,0)))</f>
        <v>10</v>
      </c>
      <c r="I1249" t="str">
        <f>VLOOKUP(VLOOKUP(B1249,products!A:F,6,0),categories!A:B,2,0)</f>
        <v>Meat &amp; Poultry</v>
      </c>
      <c r="J1249" t="str">
        <f>VLOOKUP(VLOOKUP(A1249,orders!A:B,2,0),customers!A:F,6,0)</f>
        <v>USA</v>
      </c>
      <c r="K1249" t="str">
        <f>VLOOKUP(VLOOKUP(A1249,orders!A:C,3,0),employees!A:B,2,0)</f>
        <v>Laura Callahan</v>
      </c>
    </row>
    <row r="1250" spans="1:11" x14ac:dyDescent="0.25">
      <c r="A1250">
        <v>10720</v>
      </c>
      <c r="B1250">
        <v>35</v>
      </c>
      <c r="C1250">
        <v>18</v>
      </c>
      <c r="D1250">
        <v>21</v>
      </c>
      <c r="E1250">
        <v>0</v>
      </c>
      <c r="F1250">
        <f t="shared" si="19"/>
        <v>378</v>
      </c>
      <c r="G1250">
        <f>YEAR(VLOOKUP(A1250,orders!A:D,4,0))</f>
        <v>2014</v>
      </c>
      <c r="H1250">
        <f>MONTH(INDEX(orders!D:D,MATCH(A1250, orders!A:A,0)))</f>
        <v>10</v>
      </c>
      <c r="I1250" t="str">
        <f>VLOOKUP(VLOOKUP(B1250,products!A:F,6,0),categories!A:B,2,0)</f>
        <v>Beverages</v>
      </c>
      <c r="J1250" t="str">
        <f>VLOOKUP(VLOOKUP(A1250,orders!A:B,2,0),customers!A:F,6,0)</f>
        <v>Brazil</v>
      </c>
      <c r="K1250" t="str">
        <f>VLOOKUP(VLOOKUP(A1250,orders!A:C,3,0),employees!A:B,2,0)</f>
        <v>Laura Callahan</v>
      </c>
    </row>
    <row r="1251" spans="1:11" x14ac:dyDescent="0.25">
      <c r="A1251">
        <v>10720</v>
      </c>
      <c r="B1251">
        <v>71</v>
      </c>
      <c r="C1251">
        <v>21.5</v>
      </c>
      <c r="D1251">
        <v>8</v>
      </c>
      <c r="E1251">
        <v>0</v>
      </c>
      <c r="F1251">
        <f t="shared" si="19"/>
        <v>172</v>
      </c>
      <c r="G1251">
        <f>YEAR(VLOOKUP(A1251,orders!A:D,4,0))</f>
        <v>2014</v>
      </c>
      <c r="H1251">
        <f>MONTH(INDEX(orders!D:D,MATCH(A1251, orders!A:A,0)))</f>
        <v>10</v>
      </c>
      <c r="I1251" t="str">
        <f>VLOOKUP(VLOOKUP(B1251,products!A:F,6,0),categories!A:B,2,0)</f>
        <v>Dairy Products</v>
      </c>
      <c r="J1251" t="str">
        <f>VLOOKUP(VLOOKUP(A1251,orders!A:B,2,0),customers!A:F,6,0)</f>
        <v>Brazil</v>
      </c>
      <c r="K1251" t="str">
        <f>VLOOKUP(VLOOKUP(A1251,orders!A:C,3,0),employees!A:B,2,0)</f>
        <v>Laura Callahan</v>
      </c>
    </row>
    <row r="1252" spans="1:11" x14ac:dyDescent="0.25">
      <c r="A1252">
        <v>10721</v>
      </c>
      <c r="B1252">
        <v>44</v>
      </c>
      <c r="C1252">
        <v>19.45</v>
      </c>
      <c r="D1252">
        <v>50</v>
      </c>
      <c r="E1252">
        <v>0.05</v>
      </c>
      <c r="F1252">
        <f t="shared" si="19"/>
        <v>923.875</v>
      </c>
      <c r="G1252">
        <f>YEAR(VLOOKUP(A1252,orders!A:D,4,0))</f>
        <v>2014</v>
      </c>
      <c r="H1252">
        <f>MONTH(INDEX(orders!D:D,MATCH(A1252, orders!A:A,0)))</f>
        <v>10</v>
      </c>
      <c r="I1252" t="str">
        <f>VLOOKUP(VLOOKUP(B1252,products!A:F,6,0),categories!A:B,2,0)</f>
        <v>Condiments</v>
      </c>
      <c r="J1252" t="str">
        <f>VLOOKUP(VLOOKUP(A1252,orders!A:B,2,0),customers!A:F,6,0)</f>
        <v>Germany</v>
      </c>
      <c r="K1252" t="str">
        <f>VLOOKUP(VLOOKUP(A1252,orders!A:C,3,0),employees!A:B,2,0)</f>
        <v>Steven Buchanan</v>
      </c>
    </row>
    <row r="1253" spans="1:11" x14ac:dyDescent="0.25">
      <c r="A1253">
        <v>10722</v>
      </c>
      <c r="B1253">
        <v>2</v>
      </c>
      <c r="C1253">
        <v>19</v>
      </c>
      <c r="D1253">
        <v>3</v>
      </c>
      <c r="E1253">
        <v>0</v>
      </c>
      <c r="F1253">
        <f t="shared" si="19"/>
        <v>57</v>
      </c>
      <c r="G1253">
        <f>YEAR(VLOOKUP(A1253,orders!A:D,4,0))</f>
        <v>2014</v>
      </c>
      <c r="H1253">
        <f>MONTH(INDEX(orders!D:D,MATCH(A1253, orders!A:A,0)))</f>
        <v>10</v>
      </c>
      <c r="I1253" t="str">
        <f>VLOOKUP(VLOOKUP(B1253,products!A:F,6,0),categories!A:B,2,0)</f>
        <v>Beverages</v>
      </c>
      <c r="J1253" t="str">
        <f>VLOOKUP(VLOOKUP(A1253,orders!A:B,2,0),customers!A:F,6,0)</f>
        <v>USA</v>
      </c>
      <c r="K1253" t="str">
        <f>VLOOKUP(VLOOKUP(A1253,orders!A:C,3,0),employees!A:B,2,0)</f>
        <v>Laura Callahan</v>
      </c>
    </row>
    <row r="1254" spans="1:11" x14ac:dyDescent="0.25">
      <c r="A1254">
        <v>10722</v>
      </c>
      <c r="B1254">
        <v>31</v>
      </c>
      <c r="C1254">
        <v>12.5</v>
      </c>
      <c r="D1254">
        <v>50</v>
      </c>
      <c r="E1254">
        <v>0</v>
      </c>
      <c r="F1254">
        <f t="shared" si="19"/>
        <v>625</v>
      </c>
      <c r="G1254">
        <f>YEAR(VLOOKUP(A1254,orders!A:D,4,0))</f>
        <v>2014</v>
      </c>
      <c r="H1254">
        <f>MONTH(INDEX(orders!D:D,MATCH(A1254, orders!A:A,0)))</f>
        <v>10</v>
      </c>
      <c r="I1254" t="str">
        <f>VLOOKUP(VLOOKUP(B1254,products!A:F,6,0),categories!A:B,2,0)</f>
        <v>Dairy Products</v>
      </c>
      <c r="J1254" t="str">
        <f>VLOOKUP(VLOOKUP(A1254,orders!A:B,2,0),customers!A:F,6,0)</f>
        <v>USA</v>
      </c>
      <c r="K1254" t="str">
        <f>VLOOKUP(VLOOKUP(A1254,orders!A:C,3,0),employees!A:B,2,0)</f>
        <v>Laura Callahan</v>
      </c>
    </row>
    <row r="1255" spans="1:11" x14ac:dyDescent="0.25">
      <c r="A1255">
        <v>10722</v>
      </c>
      <c r="B1255">
        <v>68</v>
      </c>
      <c r="C1255">
        <v>12.5</v>
      </c>
      <c r="D1255">
        <v>45</v>
      </c>
      <c r="E1255">
        <v>0</v>
      </c>
      <c r="F1255">
        <f t="shared" si="19"/>
        <v>562.5</v>
      </c>
      <c r="G1255">
        <f>YEAR(VLOOKUP(A1255,orders!A:D,4,0))</f>
        <v>2014</v>
      </c>
      <c r="H1255">
        <f>MONTH(INDEX(orders!D:D,MATCH(A1255, orders!A:A,0)))</f>
        <v>10</v>
      </c>
      <c r="I1255" t="str">
        <f>VLOOKUP(VLOOKUP(B1255,products!A:F,6,0),categories!A:B,2,0)</f>
        <v>Confections</v>
      </c>
      <c r="J1255" t="str">
        <f>VLOOKUP(VLOOKUP(A1255,orders!A:B,2,0),customers!A:F,6,0)</f>
        <v>USA</v>
      </c>
      <c r="K1255" t="str">
        <f>VLOOKUP(VLOOKUP(A1255,orders!A:C,3,0),employees!A:B,2,0)</f>
        <v>Laura Callahan</v>
      </c>
    </row>
    <row r="1256" spans="1:11" x14ac:dyDescent="0.25">
      <c r="A1256">
        <v>10722</v>
      </c>
      <c r="B1256">
        <v>75</v>
      </c>
      <c r="C1256">
        <v>7.75</v>
      </c>
      <c r="D1256">
        <v>42</v>
      </c>
      <c r="E1256">
        <v>0</v>
      </c>
      <c r="F1256">
        <f t="shared" si="19"/>
        <v>325.5</v>
      </c>
      <c r="G1256">
        <f>YEAR(VLOOKUP(A1256,orders!A:D,4,0))</f>
        <v>2014</v>
      </c>
      <c r="H1256">
        <f>MONTH(INDEX(orders!D:D,MATCH(A1256, orders!A:A,0)))</f>
        <v>10</v>
      </c>
      <c r="I1256" t="str">
        <f>VLOOKUP(VLOOKUP(B1256,products!A:F,6,0),categories!A:B,2,0)</f>
        <v>Beverages</v>
      </c>
      <c r="J1256" t="str">
        <f>VLOOKUP(VLOOKUP(A1256,orders!A:B,2,0),customers!A:F,6,0)</f>
        <v>USA</v>
      </c>
      <c r="K1256" t="str">
        <f>VLOOKUP(VLOOKUP(A1256,orders!A:C,3,0),employees!A:B,2,0)</f>
        <v>Laura Callahan</v>
      </c>
    </row>
    <row r="1257" spans="1:11" x14ac:dyDescent="0.25">
      <c r="A1257">
        <v>10723</v>
      </c>
      <c r="B1257">
        <v>26</v>
      </c>
      <c r="C1257">
        <v>31.23</v>
      </c>
      <c r="D1257">
        <v>15</v>
      </c>
      <c r="E1257">
        <v>0</v>
      </c>
      <c r="F1257">
        <f t="shared" si="19"/>
        <v>468.45</v>
      </c>
      <c r="G1257">
        <f>YEAR(VLOOKUP(A1257,orders!A:D,4,0))</f>
        <v>2014</v>
      </c>
      <c r="H1257">
        <f>MONTH(INDEX(orders!D:D,MATCH(A1257, orders!A:A,0)))</f>
        <v>10</v>
      </c>
      <c r="I1257" t="str">
        <f>VLOOKUP(VLOOKUP(B1257,products!A:F,6,0),categories!A:B,2,0)</f>
        <v>Confections</v>
      </c>
      <c r="J1257" t="str">
        <f>VLOOKUP(VLOOKUP(A1257,orders!A:B,2,0),customers!A:F,6,0)</f>
        <v>USA</v>
      </c>
      <c r="K1257" t="str">
        <f>VLOOKUP(VLOOKUP(A1257,orders!A:C,3,0),employees!A:B,2,0)</f>
        <v>Janet Leverling</v>
      </c>
    </row>
    <row r="1258" spans="1:11" x14ac:dyDescent="0.25">
      <c r="A1258">
        <v>10724</v>
      </c>
      <c r="B1258">
        <v>10</v>
      </c>
      <c r="C1258">
        <v>31</v>
      </c>
      <c r="D1258">
        <v>16</v>
      </c>
      <c r="E1258">
        <v>0</v>
      </c>
      <c r="F1258">
        <f t="shared" si="19"/>
        <v>496</v>
      </c>
      <c r="G1258">
        <f>YEAR(VLOOKUP(A1258,orders!A:D,4,0))</f>
        <v>2014</v>
      </c>
      <c r="H1258">
        <f>MONTH(INDEX(orders!D:D,MATCH(A1258, orders!A:A,0)))</f>
        <v>10</v>
      </c>
      <c r="I1258" t="str">
        <f>VLOOKUP(VLOOKUP(B1258,products!A:F,6,0),categories!A:B,2,0)</f>
        <v>Seafood</v>
      </c>
      <c r="J1258" t="str">
        <f>VLOOKUP(VLOOKUP(A1258,orders!A:B,2,0),customers!A:F,6,0)</f>
        <v>Canada</v>
      </c>
      <c r="K1258" t="str">
        <f>VLOOKUP(VLOOKUP(A1258,orders!A:C,3,0),employees!A:B,2,0)</f>
        <v>Laura Callahan</v>
      </c>
    </row>
    <row r="1259" spans="1:11" x14ac:dyDescent="0.25">
      <c r="A1259">
        <v>10724</v>
      </c>
      <c r="B1259">
        <v>61</v>
      </c>
      <c r="C1259">
        <v>28.5</v>
      </c>
      <c r="D1259">
        <v>5</v>
      </c>
      <c r="E1259">
        <v>0</v>
      </c>
      <c r="F1259">
        <f t="shared" si="19"/>
        <v>142.5</v>
      </c>
      <c r="G1259">
        <f>YEAR(VLOOKUP(A1259,orders!A:D,4,0))</f>
        <v>2014</v>
      </c>
      <c r="H1259">
        <f>MONTH(INDEX(orders!D:D,MATCH(A1259, orders!A:A,0)))</f>
        <v>10</v>
      </c>
      <c r="I1259" t="str">
        <f>VLOOKUP(VLOOKUP(B1259,products!A:F,6,0),categories!A:B,2,0)</f>
        <v>Condiments</v>
      </c>
      <c r="J1259" t="str">
        <f>VLOOKUP(VLOOKUP(A1259,orders!A:B,2,0),customers!A:F,6,0)</f>
        <v>Canada</v>
      </c>
      <c r="K1259" t="str">
        <f>VLOOKUP(VLOOKUP(A1259,orders!A:C,3,0),employees!A:B,2,0)</f>
        <v>Laura Callahan</v>
      </c>
    </row>
    <row r="1260" spans="1:11" x14ac:dyDescent="0.25">
      <c r="A1260">
        <v>10725</v>
      </c>
      <c r="B1260">
        <v>41</v>
      </c>
      <c r="C1260">
        <v>9.65</v>
      </c>
      <c r="D1260">
        <v>12</v>
      </c>
      <c r="E1260">
        <v>0</v>
      </c>
      <c r="F1260">
        <f t="shared" si="19"/>
        <v>115.80000000000001</v>
      </c>
      <c r="G1260">
        <f>YEAR(VLOOKUP(A1260,orders!A:D,4,0))</f>
        <v>2014</v>
      </c>
      <c r="H1260">
        <f>MONTH(INDEX(orders!D:D,MATCH(A1260, orders!A:A,0)))</f>
        <v>10</v>
      </c>
      <c r="I1260" t="str">
        <f>VLOOKUP(VLOOKUP(B1260,products!A:F,6,0),categories!A:B,2,0)</f>
        <v>Seafood</v>
      </c>
      <c r="J1260" t="str">
        <f>VLOOKUP(VLOOKUP(A1260,orders!A:B,2,0),customers!A:F,6,0)</f>
        <v>Brazil</v>
      </c>
      <c r="K1260" t="str">
        <f>VLOOKUP(VLOOKUP(A1260,orders!A:C,3,0),employees!A:B,2,0)</f>
        <v>Margaret Peacock</v>
      </c>
    </row>
    <row r="1261" spans="1:11" x14ac:dyDescent="0.25">
      <c r="A1261">
        <v>10725</v>
      </c>
      <c r="B1261">
        <v>52</v>
      </c>
      <c r="C1261">
        <v>7</v>
      </c>
      <c r="D1261">
        <v>4</v>
      </c>
      <c r="E1261">
        <v>0</v>
      </c>
      <c r="F1261">
        <f t="shared" si="19"/>
        <v>28</v>
      </c>
      <c r="G1261">
        <f>YEAR(VLOOKUP(A1261,orders!A:D,4,0))</f>
        <v>2014</v>
      </c>
      <c r="H1261">
        <f>MONTH(INDEX(orders!D:D,MATCH(A1261, orders!A:A,0)))</f>
        <v>10</v>
      </c>
      <c r="I1261" t="str">
        <f>VLOOKUP(VLOOKUP(B1261,products!A:F,6,0),categories!A:B,2,0)</f>
        <v>Grains &amp; Cereals</v>
      </c>
      <c r="J1261" t="str">
        <f>VLOOKUP(VLOOKUP(A1261,orders!A:B,2,0),customers!A:F,6,0)</f>
        <v>Brazil</v>
      </c>
      <c r="K1261" t="str">
        <f>VLOOKUP(VLOOKUP(A1261,orders!A:C,3,0),employees!A:B,2,0)</f>
        <v>Margaret Peacock</v>
      </c>
    </row>
    <row r="1262" spans="1:11" x14ac:dyDescent="0.25">
      <c r="A1262">
        <v>10725</v>
      </c>
      <c r="B1262">
        <v>55</v>
      </c>
      <c r="C1262">
        <v>24</v>
      </c>
      <c r="D1262">
        <v>6</v>
      </c>
      <c r="E1262">
        <v>0</v>
      </c>
      <c r="F1262">
        <f t="shared" si="19"/>
        <v>144</v>
      </c>
      <c r="G1262">
        <f>YEAR(VLOOKUP(A1262,orders!A:D,4,0))</f>
        <v>2014</v>
      </c>
      <c r="H1262">
        <f>MONTH(INDEX(orders!D:D,MATCH(A1262, orders!A:A,0)))</f>
        <v>10</v>
      </c>
      <c r="I1262" t="str">
        <f>VLOOKUP(VLOOKUP(B1262,products!A:F,6,0),categories!A:B,2,0)</f>
        <v>Meat &amp; Poultry</v>
      </c>
      <c r="J1262" t="str">
        <f>VLOOKUP(VLOOKUP(A1262,orders!A:B,2,0),customers!A:F,6,0)</f>
        <v>Brazil</v>
      </c>
      <c r="K1262" t="str">
        <f>VLOOKUP(VLOOKUP(A1262,orders!A:C,3,0),employees!A:B,2,0)</f>
        <v>Margaret Peacock</v>
      </c>
    </row>
    <row r="1263" spans="1:11" x14ac:dyDescent="0.25">
      <c r="A1263">
        <v>10726</v>
      </c>
      <c r="B1263">
        <v>4</v>
      </c>
      <c r="C1263">
        <v>22</v>
      </c>
      <c r="D1263">
        <v>25</v>
      </c>
      <c r="E1263">
        <v>0</v>
      </c>
      <c r="F1263">
        <f t="shared" si="19"/>
        <v>550</v>
      </c>
      <c r="G1263">
        <f>YEAR(VLOOKUP(A1263,orders!A:D,4,0))</f>
        <v>2014</v>
      </c>
      <c r="H1263">
        <f>MONTH(INDEX(orders!D:D,MATCH(A1263, orders!A:A,0)))</f>
        <v>11</v>
      </c>
      <c r="I1263" t="str">
        <f>VLOOKUP(VLOOKUP(B1263,products!A:F,6,0),categories!A:B,2,0)</f>
        <v>Condiments</v>
      </c>
      <c r="J1263" t="str">
        <f>VLOOKUP(VLOOKUP(A1263,orders!A:B,2,0),customers!A:F,6,0)</f>
        <v>UK</v>
      </c>
      <c r="K1263" t="str">
        <f>VLOOKUP(VLOOKUP(A1263,orders!A:C,3,0),employees!A:B,2,0)</f>
        <v>Margaret Peacock</v>
      </c>
    </row>
    <row r="1264" spans="1:11" x14ac:dyDescent="0.25">
      <c r="A1264">
        <v>10726</v>
      </c>
      <c r="B1264">
        <v>11</v>
      </c>
      <c r="C1264">
        <v>21</v>
      </c>
      <c r="D1264">
        <v>5</v>
      </c>
      <c r="E1264">
        <v>0</v>
      </c>
      <c r="F1264">
        <f t="shared" si="19"/>
        <v>105</v>
      </c>
      <c r="G1264">
        <f>YEAR(VLOOKUP(A1264,orders!A:D,4,0))</f>
        <v>2014</v>
      </c>
      <c r="H1264">
        <f>MONTH(INDEX(orders!D:D,MATCH(A1264, orders!A:A,0)))</f>
        <v>11</v>
      </c>
      <c r="I1264" t="str">
        <f>VLOOKUP(VLOOKUP(B1264,products!A:F,6,0),categories!A:B,2,0)</f>
        <v>Dairy Products</v>
      </c>
      <c r="J1264" t="str">
        <f>VLOOKUP(VLOOKUP(A1264,orders!A:B,2,0),customers!A:F,6,0)</f>
        <v>UK</v>
      </c>
      <c r="K1264" t="str">
        <f>VLOOKUP(VLOOKUP(A1264,orders!A:C,3,0),employees!A:B,2,0)</f>
        <v>Margaret Peacock</v>
      </c>
    </row>
    <row r="1265" spans="1:11" x14ac:dyDescent="0.25">
      <c r="A1265">
        <v>10727</v>
      </c>
      <c r="B1265">
        <v>17</v>
      </c>
      <c r="C1265">
        <v>39</v>
      </c>
      <c r="D1265">
        <v>20</v>
      </c>
      <c r="E1265">
        <v>0.05</v>
      </c>
      <c r="F1265">
        <f t="shared" si="19"/>
        <v>741</v>
      </c>
      <c r="G1265">
        <f>YEAR(VLOOKUP(A1265,orders!A:D,4,0))</f>
        <v>2014</v>
      </c>
      <c r="H1265">
        <f>MONTH(INDEX(orders!D:D,MATCH(A1265, orders!A:A,0)))</f>
        <v>11</v>
      </c>
      <c r="I1265" t="str">
        <f>VLOOKUP(VLOOKUP(B1265,products!A:F,6,0),categories!A:B,2,0)</f>
        <v>Meat &amp; Poultry</v>
      </c>
      <c r="J1265" t="str">
        <f>VLOOKUP(VLOOKUP(A1265,orders!A:B,2,0),customers!A:F,6,0)</f>
        <v>Italy</v>
      </c>
      <c r="K1265" t="str">
        <f>VLOOKUP(VLOOKUP(A1265,orders!A:C,3,0),employees!A:B,2,0)</f>
        <v>Andrew Fuller</v>
      </c>
    </row>
    <row r="1266" spans="1:11" x14ac:dyDescent="0.25">
      <c r="A1266">
        <v>10727</v>
      </c>
      <c r="B1266">
        <v>56</v>
      </c>
      <c r="C1266">
        <v>38</v>
      </c>
      <c r="D1266">
        <v>10</v>
      </c>
      <c r="E1266">
        <v>0.05</v>
      </c>
      <c r="F1266">
        <f t="shared" si="19"/>
        <v>361</v>
      </c>
      <c r="G1266">
        <f>YEAR(VLOOKUP(A1266,orders!A:D,4,0))</f>
        <v>2014</v>
      </c>
      <c r="H1266">
        <f>MONTH(INDEX(orders!D:D,MATCH(A1266, orders!A:A,0)))</f>
        <v>11</v>
      </c>
      <c r="I1266" t="str">
        <f>VLOOKUP(VLOOKUP(B1266,products!A:F,6,0),categories!A:B,2,0)</f>
        <v>Grains &amp; Cereals</v>
      </c>
      <c r="J1266" t="str">
        <f>VLOOKUP(VLOOKUP(A1266,orders!A:B,2,0),customers!A:F,6,0)</f>
        <v>Italy</v>
      </c>
      <c r="K1266" t="str">
        <f>VLOOKUP(VLOOKUP(A1266,orders!A:C,3,0),employees!A:B,2,0)</f>
        <v>Andrew Fuller</v>
      </c>
    </row>
    <row r="1267" spans="1:11" x14ac:dyDescent="0.25">
      <c r="A1267">
        <v>10727</v>
      </c>
      <c r="B1267">
        <v>59</v>
      </c>
      <c r="C1267">
        <v>55</v>
      </c>
      <c r="D1267">
        <v>10</v>
      </c>
      <c r="E1267">
        <v>0.05</v>
      </c>
      <c r="F1267">
        <f t="shared" si="19"/>
        <v>522.5</v>
      </c>
      <c r="G1267">
        <f>YEAR(VLOOKUP(A1267,orders!A:D,4,0))</f>
        <v>2014</v>
      </c>
      <c r="H1267">
        <f>MONTH(INDEX(orders!D:D,MATCH(A1267, orders!A:A,0)))</f>
        <v>11</v>
      </c>
      <c r="I1267" t="str">
        <f>VLOOKUP(VLOOKUP(B1267,products!A:F,6,0),categories!A:B,2,0)</f>
        <v>Dairy Products</v>
      </c>
      <c r="J1267" t="str">
        <f>VLOOKUP(VLOOKUP(A1267,orders!A:B,2,0),customers!A:F,6,0)</f>
        <v>Italy</v>
      </c>
      <c r="K1267" t="str">
        <f>VLOOKUP(VLOOKUP(A1267,orders!A:C,3,0),employees!A:B,2,0)</f>
        <v>Andrew Fuller</v>
      </c>
    </row>
    <row r="1268" spans="1:11" x14ac:dyDescent="0.25">
      <c r="A1268">
        <v>10728</v>
      </c>
      <c r="B1268">
        <v>30</v>
      </c>
      <c r="C1268">
        <v>25.89</v>
      </c>
      <c r="D1268">
        <v>15</v>
      </c>
      <c r="E1268">
        <v>0</v>
      </c>
      <c r="F1268">
        <f t="shared" si="19"/>
        <v>388.35</v>
      </c>
      <c r="G1268">
        <f>YEAR(VLOOKUP(A1268,orders!A:D,4,0))</f>
        <v>2014</v>
      </c>
      <c r="H1268">
        <f>MONTH(INDEX(orders!D:D,MATCH(A1268, orders!A:A,0)))</f>
        <v>11</v>
      </c>
      <c r="I1268" t="str">
        <f>VLOOKUP(VLOOKUP(B1268,products!A:F,6,0),categories!A:B,2,0)</f>
        <v>Seafood</v>
      </c>
      <c r="J1268" t="str">
        <f>VLOOKUP(VLOOKUP(A1268,orders!A:B,2,0),customers!A:F,6,0)</f>
        <v>Brazil</v>
      </c>
      <c r="K1268" t="str">
        <f>VLOOKUP(VLOOKUP(A1268,orders!A:C,3,0),employees!A:B,2,0)</f>
        <v>Margaret Peacock</v>
      </c>
    </row>
    <row r="1269" spans="1:11" x14ac:dyDescent="0.25">
      <c r="A1269">
        <v>10728</v>
      </c>
      <c r="B1269">
        <v>40</v>
      </c>
      <c r="C1269">
        <v>18.399999999999999</v>
      </c>
      <c r="D1269">
        <v>6</v>
      </c>
      <c r="E1269">
        <v>0</v>
      </c>
      <c r="F1269">
        <f t="shared" si="19"/>
        <v>110.39999999999999</v>
      </c>
      <c r="G1269">
        <f>YEAR(VLOOKUP(A1269,orders!A:D,4,0))</f>
        <v>2014</v>
      </c>
      <c r="H1269">
        <f>MONTH(INDEX(orders!D:D,MATCH(A1269, orders!A:A,0)))</f>
        <v>11</v>
      </c>
      <c r="I1269" t="str">
        <f>VLOOKUP(VLOOKUP(B1269,products!A:F,6,0),categories!A:B,2,0)</f>
        <v>Seafood</v>
      </c>
      <c r="J1269" t="str">
        <f>VLOOKUP(VLOOKUP(A1269,orders!A:B,2,0),customers!A:F,6,0)</f>
        <v>Brazil</v>
      </c>
      <c r="K1269" t="str">
        <f>VLOOKUP(VLOOKUP(A1269,orders!A:C,3,0),employees!A:B,2,0)</f>
        <v>Margaret Peacock</v>
      </c>
    </row>
    <row r="1270" spans="1:11" x14ac:dyDescent="0.25">
      <c r="A1270">
        <v>10728</v>
      </c>
      <c r="B1270">
        <v>55</v>
      </c>
      <c r="C1270">
        <v>24</v>
      </c>
      <c r="D1270">
        <v>12</v>
      </c>
      <c r="E1270">
        <v>0</v>
      </c>
      <c r="F1270">
        <f t="shared" si="19"/>
        <v>288</v>
      </c>
      <c r="G1270">
        <f>YEAR(VLOOKUP(A1270,orders!A:D,4,0))</f>
        <v>2014</v>
      </c>
      <c r="H1270">
        <f>MONTH(INDEX(orders!D:D,MATCH(A1270, orders!A:A,0)))</f>
        <v>11</v>
      </c>
      <c r="I1270" t="str">
        <f>VLOOKUP(VLOOKUP(B1270,products!A:F,6,0),categories!A:B,2,0)</f>
        <v>Meat &amp; Poultry</v>
      </c>
      <c r="J1270" t="str">
        <f>VLOOKUP(VLOOKUP(A1270,orders!A:B,2,0),customers!A:F,6,0)</f>
        <v>Brazil</v>
      </c>
      <c r="K1270" t="str">
        <f>VLOOKUP(VLOOKUP(A1270,orders!A:C,3,0),employees!A:B,2,0)</f>
        <v>Margaret Peacock</v>
      </c>
    </row>
    <row r="1271" spans="1:11" x14ac:dyDescent="0.25">
      <c r="A1271">
        <v>10728</v>
      </c>
      <c r="B1271">
        <v>60</v>
      </c>
      <c r="C1271">
        <v>34</v>
      </c>
      <c r="D1271">
        <v>15</v>
      </c>
      <c r="E1271">
        <v>0</v>
      </c>
      <c r="F1271">
        <f t="shared" si="19"/>
        <v>510</v>
      </c>
      <c r="G1271">
        <f>YEAR(VLOOKUP(A1271,orders!A:D,4,0))</f>
        <v>2014</v>
      </c>
      <c r="H1271">
        <f>MONTH(INDEX(orders!D:D,MATCH(A1271, orders!A:A,0)))</f>
        <v>11</v>
      </c>
      <c r="I1271" t="str">
        <f>VLOOKUP(VLOOKUP(B1271,products!A:F,6,0),categories!A:B,2,0)</f>
        <v>Dairy Products</v>
      </c>
      <c r="J1271" t="str">
        <f>VLOOKUP(VLOOKUP(A1271,orders!A:B,2,0),customers!A:F,6,0)</f>
        <v>Brazil</v>
      </c>
      <c r="K1271" t="str">
        <f>VLOOKUP(VLOOKUP(A1271,orders!A:C,3,0),employees!A:B,2,0)</f>
        <v>Margaret Peacock</v>
      </c>
    </row>
    <row r="1272" spans="1:11" x14ac:dyDescent="0.25">
      <c r="A1272">
        <v>10729</v>
      </c>
      <c r="B1272">
        <v>1</v>
      </c>
      <c r="C1272">
        <v>18</v>
      </c>
      <c r="D1272">
        <v>50</v>
      </c>
      <c r="E1272">
        <v>0</v>
      </c>
      <c r="F1272">
        <f t="shared" si="19"/>
        <v>900</v>
      </c>
      <c r="G1272">
        <f>YEAR(VLOOKUP(A1272,orders!A:D,4,0))</f>
        <v>2014</v>
      </c>
      <c r="H1272">
        <f>MONTH(INDEX(orders!D:D,MATCH(A1272, orders!A:A,0)))</f>
        <v>11</v>
      </c>
      <c r="I1272" t="str">
        <f>VLOOKUP(VLOOKUP(B1272,products!A:F,6,0),categories!A:B,2,0)</f>
        <v>Beverages</v>
      </c>
      <c r="J1272" t="str">
        <f>VLOOKUP(VLOOKUP(A1272,orders!A:B,2,0),customers!A:F,6,0)</f>
        <v>Venezuela</v>
      </c>
      <c r="K1272" t="str">
        <f>VLOOKUP(VLOOKUP(A1272,orders!A:C,3,0),employees!A:B,2,0)</f>
        <v>Laura Callahan</v>
      </c>
    </row>
    <row r="1273" spans="1:11" x14ac:dyDescent="0.25">
      <c r="A1273">
        <v>10729</v>
      </c>
      <c r="B1273">
        <v>21</v>
      </c>
      <c r="C1273">
        <v>10</v>
      </c>
      <c r="D1273">
        <v>30</v>
      </c>
      <c r="E1273">
        <v>0</v>
      </c>
      <c r="F1273">
        <f t="shared" si="19"/>
        <v>300</v>
      </c>
      <c r="G1273">
        <f>YEAR(VLOOKUP(A1273,orders!A:D,4,0))</f>
        <v>2014</v>
      </c>
      <c r="H1273">
        <f>MONTH(INDEX(orders!D:D,MATCH(A1273, orders!A:A,0)))</f>
        <v>11</v>
      </c>
      <c r="I1273" t="str">
        <f>VLOOKUP(VLOOKUP(B1273,products!A:F,6,0),categories!A:B,2,0)</f>
        <v>Confections</v>
      </c>
      <c r="J1273" t="str">
        <f>VLOOKUP(VLOOKUP(A1273,orders!A:B,2,0),customers!A:F,6,0)</f>
        <v>Venezuela</v>
      </c>
      <c r="K1273" t="str">
        <f>VLOOKUP(VLOOKUP(A1273,orders!A:C,3,0),employees!A:B,2,0)</f>
        <v>Laura Callahan</v>
      </c>
    </row>
    <row r="1274" spans="1:11" x14ac:dyDescent="0.25">
      <c r="A1274">
        <v>10729</v>
      </c>
      <c r="B1274">
        <v>50</v>
      </c>
      <c r="C1274">
        <v>16.25</v>
      </c>
      <c r="D1274">
        <v>40</v>
      </c>
      <c r="E1274">
        <v>0</v>
      </c>
      <c r="F1274">
        <f t="shared" si="19"/>
        <v>650</v>
      </c>
      <c r="G1274">
        <f>YEAR(VLOOKUP(A1274,orders!A:D,4,0))</f>
        <v>2014</v>
      </c>
      <c r="H1274">
        <f>MONTH(INDEX(orders!D:D,MATCH(A1274, orders!A:A,0)))</f>
        <v>11</v>
      </c>
      <c r="I1274" t="str">
        <f>VLOOKUP(VLOOKUP(B1274,products!A:F,6,0),categories!A:B,2,0)</f>
        <v>Confections</v>
      </c>
      <c r="J1274" t="str">
        <f>VLOOKUP(VLOOKUP(A1274,orders!A:B,2,0),customers!A:F,6,0)</f>
        <v>Venezuela</v>
      </c>
      <c r="K1274" t="str">
        <f>VLOOKUP(VLOOKUP(A1274,orders!A:C,3,0),employees!A:B,2,0)</f>
        <v>Laura Callahan</v>
      </c>
    </row>
    <row r="1275" spans="1:11" x14ac:dyDescent="0.25">
      <c r="A1275">
        <v>10730</v>
      </c>
      <c r="B1275">
        <v>16</v>
      </c>
      <c r="C1275">
        <v>17.45</v>
      </c>
      <c r="D1275">
        <v>15</v>
      </c>
      <c r="E1275">
        <v>0.05</v>
      </c>
      <c r="F1275">
        <f t="shared" si="19"/>
        <v>248.66249999999999</v>
      </c>
      <c r="G1275">
        <f>YEAR(VLOOKUP(A1275,orders!A:D,4,0))</f>
        <v>2014</v>
      </c>
      <c r="H1275">
        <f>MONTH(INDEX(orders!D:D,MATCH(A1275, orders!A:A,0)))</f>
        <v>11</v>
      </c>
      <c r="I1275" t="str">
        <f>VLOOKUP(VLOOKUP(B1275,products!A:F,6,0),categories!A:B,2,0)</f>
        <v>Confections</v>
      </c>
      <c r="J1275" t="str">
        <f>VLOOKUP(VLOOKUP(A1275,orders!A:B,2,0),customers!A:F,6,0)</f>
        <v>France</v>
      </c>
      <c r="K1275" t="str">
        <f>VLOOKUP(VLOOKUP(A1275,orders!A:C,3,0),employees!A:B,2,0)</f>
        <v>Steven Buchanan</v>
      </c>
    </row>
    <row r="1276" spans="1:11" x14ac:dyDescent="0.25">
      <c r="A1276">
        <v>10730</v>
      </c>
      <c r="B1276">
        <v>31</v>
      </c>
      <c r="C1276">
        <v>12.5</v>
      </c>
      <c r="D1276">
        <v>3</v>
      </c>
      <c r="E1276">
        <v>0.05</v>
      </c>
      <c r="F1276">
        <f t="shared" si="19"/>
        <v>35.625</v>
      </c>
      <c r="G1276">
        <f>YEAR(VLOOKUP(A1276,orders!A:D,4,0))</f>
        <v>2014</v>
      </c>
      <c r="H1276">
        <f>MONTH(INDEX(orders!D:D,MATCH(A1276, orders!A:A,0)))</f>
        <v>11</v>
      </c>
      <c r="I1276" t="str">
        <f>VLOOKUP(VLOOKUP(B1276,products!A:F,6,0),categories!A:B,2,0)</f>
        <v>Dairy Products</v>
      </c>
      <c r="J1276" t="str">
        <f>VLOOKUP(VLOOKUP(A1276,orders!A:B,2,0),customers!A:F,6,0)</f>
        <v>France</v>
      </c>
      <c r="K1276" t="str">
        <f>VLOOKUP(VLOOKUP(A1276,orders!A:C,3,0),employees!A:B,2,0)</f>
        <v>Steven Buchanan</v>
      </c>
    </row>
    <row r="1277" spans="1:11" x14ac:dyDescent="0.25">
      <c r="A1277">
        <v>10730</v>
      </c>
      <c r="B1277">
        <v>65</v>
      </c>
      <c r="C1277">
        <v>21.05</v>
      </c>
      <c r="D1277">
        <v>10</v>
      </c>
      <c r="E1277">
        <v>0.05</v>
      </c>
      <c r="F1277">
        <f t="shared" si="19"/>
        <v>199.97499999999999</v>
      </c>
      <c r="G1277">
        <f>YEAR(VLOOKUP(A1277,orders!A:D,4,0))</f>
        <v>2014</v>
      </c>
      <c r="H1277">
        <f>MONTH(INDEX(orders!D:D,MATCH(A1277, orders!A:A,0)))</f>
        <v>11</v>
      </c>
      <c r="I1277" t="str">
        <f>VLOOKUP(VLOOKUP(B1277,products!A:F,6,0),categories!A:B,2,0)</f>
        <v>Condiments</v>
      </c>
      <c r="J1277" t="str">
        <f>VLOOKUP(VLOOKUP(A1277,orders!A:B,2,0),customers!A:F,6,0)</f>
        <v>France</v>
      </c>
      <c r="K1277" t="str">
        <f>VLOOKUP(VLOOKUP(A1277,orders!A:C,3,0),employees!A:B,2,0)</f>
        <v>Steven Buchanan</v>
      </c>
    </row>
    <row r="1278" spans="1:11" x14ac:dyDescent="0.25">
      <c r="A1278">
        <v>10731</v>
      </c>
      <c r="B1278">
        <v>21</v>
      </c>
      <c r="C1278">
        <v>10</v>
      </c>
      <c r="D1278">
        <v>40</v>
      </c>
      <c r="E1278">
        <v>0.05</v>
      </c>
      <c r="F1278">
        <f t="shared" si="19"/>
        <v>380</v>
      </c>
      <c r="G1278">
        <f>YEAR(VLOOKUP(A1278,orders!A:D,4,0))</f>
        <v>2014</v>
      </c>
      <c r="H1278">
        <f>MONTH(INDEX(orders!D:D,MATCH(A1278, orders!A:A,0)))</f>
        <v>11</v>
      </c>
      <c r="I1278" t="str">
        <f>VLOOKUP(VLOOKUP(B1278,products!A:F,6,0),categories!A:B,2,0)</f>
        <v>Confections</v>
      </c>
      <c r="J1278" t="str">
        <f>VLOOKUP(VLOOKUP(A1278,orders!A:B,2,0),customers!A:F,6,0)</f>
        <v>Switzerland</v>
      </c>
      <c r="K1278" t="str">
        <f>VLOOKUP(VLOOKUP(A1278,orders!A:C,3,0),employees!A:B,2,0)</f>
        <v>Robert King</v>
      </c>
    </row>
    <row r="1279" spans="1:11" x14ac:dyDescent="0.25">
      <c r="A1279">
        <v>10731</v>
      </c>
      <c r="B1279">
        <v>51</v>
      </c>
      <c r="C1279">
        <v>53</v>
      </c>
      <c r="D1279">
        <v>30</v>
      </c>
      <c r="E1279">
        <v>0.05</v>
      </c>
      <c r="F1279">
        <f t="shared" si="19"/>
        <v>1510.5</v>
      </c>
      <c r="G1279">
        <f>YEAR(VLOOKUP(A1279,orders!A:D,4,0))</f>
        <v>2014</v>
      </c>
      <c r="H1279">
        <f>MONTH(INDEX(orders!D:D,MATCH(A1279, orders!A:A,0)))</f>
        <v>11</v>
      </c>
      <c r="I1279" t="str">
        <f>VLOOKUP(VLOOKUP(B1279,products!A:F,6,0),categories!A:B,2,0)</f>
        <v>Produce</v>
      </c>
      <c r="J1279" t="str">
        <f>VLOOKUP(VLOOKUP(A1279,orders!A:B,2,0),customers!A:F,6,0)</f>
        <v>Switzerland</v>
      </c>
      <c r="K1279" t="str">
        <f>VLOOKUP(VLOOKUP(A1279,orders!A:C,3,0),employees!A:B,2,0)</f>
        <v>Robert King</v>
      </c>
    </row>
    <row r="1280" spans="1:11" x14ac:dyDescent="0.25">
      <c r="A1280">
        <v>10732</v>
      </c>
      <c r="B1280">
        <v>76</v>
      </c>
      <c r="C1280">
        <v>18</v>
      </c>
      <c r="D1280">
        <v>20</v>
      </c>
      <c r="E1280">
        <v>0</v>
      </c>
      <c r="F1280">
        <f t="shared" si="19"/>
        <v>360</v>
      </c>
      <c r="G1280">
        <f>YEAR(VLOOKUP(A1280,orders!A:D,4,0))</f>
        <v>2014</v>
      </c>
      <c r="H1280">
        <f>MONTH(INDEX(orders!D:D,MATCH(A1280, orders!A:A,0)))</f>
        <v>11</v>
      </c>
      <c r="I1280" t="str">
        <f>VLOOKUP(VLOOKUP(B1280,products!A:F,6,0),categories!A:B,2,0)</f>
        <v>Beverages</v>
      </c>
      <c r="J1280" t="str">
        <f>VLOOKUP(VLOOKUP(A1280,orders!A:B,2,0),customers!A:F,6,0)</f>
        <v>France</v>
      </c>
      <c r="K1280" t="str">
        <f>VLOOKUP(VLOOKUP(A1280,orders!A:C,3,0),employees!A:B,2,0)</f>
        <v>Janet Leverling</v>
      </c>
    </row>
    <row r="1281" spans="1:11" x14ac:dyDescent="0.25">
      <c r="A1281">
        <v>10733</v>
      </c>
      <c r="B1281">
        <v>14</v>
      </c>
      <c r="C1281">
        <v>23.25</v>
      </c>
      <c r="D1281">
        <v>16</v>
      </c>
      <c r="E1281">
        <v>0</v>
      </c>
      <c r="F1281">
        <f t="shared" si="19"/>
        <v>372</v>
      </c>
      <c r="G1281">
        <f>YEAR(VLOOKUP(A1281,orders!A:D,4,0))</f>
        <v>2014</v>
      </c>
      <c r="H1281">
        <f>MONTH(INDEX(orders!D:D,MATCH(A1281, orders!A:A,0)))</f>
        <v>11</v>
      </c>
      <c r="I1281" t="str">
        <f>VLOOKUP(VLOOKUP(B1281,products!A:F,6,0),categories!A:B,2,0)</f>
        <v>Produce</v>
      </c>
      <c r="J1281" t="str">
        <f>VLOOKUP(VLOOKUP(A1281,orders!A:B,2,0),customers!A:F,6,0)</f>
        <v>Sweden</v>
      </c>
      <c r="K1281" t="str">
        <f>VLOOKUP(VLOOKUP(A1281,orders!A:C,3,0),employees!A:B,2,0)</f>
        <v>Nancy Davolio</v>
      </c>
    </row>
    <row r="1282" spans="1:11" x14ac:dyDescent="0.25">
      <c r="A1282">
        <v>10733</v>
      </c>
      <c r="B1282">
        <v>28</v>
      </c>
      <c r="C1282">
        <v>45.6</v>
      </c>
      <c r="D1282">
        <v>20</v>
      </c>
      <c r="E1282">
        <v>0</v>
      </c>
      <c r="F1282">
        <f t="shared" si="19"/>
        <v>912</v>
      </c>
      <c r="G1282">
        <f>YEAR(VLOOKUP(A1282,orders!A:D,4,0))</f>
        <v>2014</v>
      </c>
      <c r="H1282">
        <f>MONTH(INDEX(orders!D:D,MATCH(A1282, orders!A:A,0)))</f>
        <v>11</v>
      </c>
      <c r="I1282" t="str">
        <f>VLOOKUP(VLOOKUP(B1282,products!A:F,6,0),categories!A:B,2,0)</f>
        <v>Produce</v>
      </c>
      <c r="J1282" t="str">
        <f>VLOOKUP(VLOOKUP(A1282,orders!A:B,2,0),customers!A:F,6,0)</f>
        <v>Sweden</v>
      </c>
      <c r="K1282" t="str">
        <f>VLOOKUP(VLOOKUP(A1282,orders!A:C,3,0),employees!A:B,2,0)</f>
        <v>Nancy Davolio</v>
      </c>
    </row>
    <row r="1283" spans="1:11" x14ac:dyDescent="0.25">
      <c r="A1283">
        <v>10733</v>
      </c>
      <c r="B1283">
        <v>52</v>
      </c>
      <c r="C1283">
        <v>7</v>
      </c>
      <c r="D1283">
        <v>25</v>
      </c>
      <c r="E1283">
        <v>0</v>
      </c>
      <c r="F1283">
        <f t="shared" ref="F1283:F1346" si="20">C1283*D1283*(1-E1283)</f>
        <v>175</v>
      </c>
      <c r="G1283">
        <f>YEAR(VLOOKUP(A1283,orders!A:D,4,0))</f>
        <v>2014</v>
      </c>
      <c r="H1283">
        <f>MONTH(INDEX(orders!D:D,MATCH(A1283, orders!A:A,0)))</f>
        <v>11</v>
      </c>
      <c r="I1283" t="str">
        <f>VLOOKUP(VLOOKUP(B1283,products!A:F,6,0),categories!A:B,2,0)</f>
        <v>Grains &amp; Cereals</v>
      </c>
      <c r="J1283" t="str">
        <f>VLOOKUP(VLOOKUP(A1283,orders!A:B,2,0),customers!A:F,6,0)</f>
        <v>Sweden</v>
      </c>
      <c r="K1283" t="str">
        <f>VLOOKUP(VLOOKUP(A1283,orders!A:C,3,0),employees!A:B,2,0)</f>
        <v>Nancy Davolio</v>
      </c>
    </row>
    <row r="1284" spans="1:11" x14ac:dyDescent="0.25">
      <c r="A1284">
        <v>10734</v>
      </c>
      <c r="B1284">
        <v>6</v>
      </c>
      <c r="C1284">
        <v>25</v>
      </c>
      <c r="D1284">
        <v>30</v>
      </c>
      <c r="E1284">
        <v>0</v>
      </c>
      <c r="F1284">
        <f t="shared" si="20"/>
        <v>750</v>
      </c>
      <c r="G1284">
        <f>YEAR(VLOOKUP(A1284,orders!A:D,4,0))</f>
        <v>2014</v>
      </c>
      <c r="H1284">
        <f>MONTH(INDEX(orders!D:D,MATCH(A1284, orders!A:A,0)))</f>
        <v>11</v>
      </c>
      <c r="I1284" t="str">
        <f>VLOOKUP(VLOOKUP(B1284,products!A:F,6,0),categories!A:B,2,0)</f>
        <v>Condiments</v>
      </c>
      <c r="J1284" t="str">
        <f>VLOOKUP(VLOOKUP(A1284,orders!A:B,2,0),customers!A:F,6,0)</f>
        <v>Brazil</v>
      </c>
      <c r="K1284" t="str">
        <f>VLOOKUP(VLOOKUP(A1284,orders!A:C,3,0),employees!A:B,2,0)</f>
        <v>Andrew Fuller</v>
      </c>
    </row>
    <row r="1285" spans="1:11" x14ac:dyDescent="0.25">
      <c r="A1285">
        <v>10734</v>
      </c>
      <c r="B1285">
        <v>30</v>
      </c>
      <c r="C1285">
        <v>25.89</v>
      </c>
      <c r="D1285">
        <v>15</v>
      </c>
      <c r="E1285">
        <v>0</v>
      </c>
      <c r="F1285">
        <f t="shared" si="20"/>
        <v>388.35</v>
      </c>
      <c r="G1285">
        <f>YEAR(VLOOKUP(A1285,orders!A:D,4,0))</f>
        <v>2014</v>
      </c>
      <c r="H1285">
        <f>MONTH(INDEX(orders!D:D,MATCH(A1285, orders!A:A,0)))</f>
        <v>11</v>
      </c>
      <c r="I1285" t="str">
        <f>VLOOKUP(VLOOKUP(B1285,products!A:F,6,0),categories!A:B,2,0)</f>
        <v>Seafood</v>
      </c>
      <c r="J1285" t="str">
        <f>VLOOKUP(VLOOKUP(A1285,orders!A:B,2,0),customers!A:F,6,0)</f>
        <v>Brazil</v>
      </c>
      <c r="K1285" t="str">
        <f>VLOOKUP(VLOOKUP(A1285,orders!A:C,3,0),employees!A:B,2,0)</f>
        <v>Andrew Fuller</v>
      </c>
    </row>
    <row r="1286" spans="1:11" x14ac:dyDescent="0.25">
      <c r="A1286">
        <v>10734</v>
      </c>
      <c r="B1286">
        <v>76</v>
      </c>
      <c r="C1286">
        <v>18</v>
      </c>
      <c r="D1286">
        <v>20</v>
      </c>
      <c r="E1286">
        <v>0</v>
      </c>
      <c r="F1286">
        <f t="shared" si="20"/>
        <v>360</v>
      </c>
      <c r="G1286">
        <f>YEAR(VLOOKUP(A1286,orders!A:D,4,0))</f>
        <v>2014</v>
      </c>
      <c r="H1286">
        <f>MONTH(INDEX(orders!D:D,MATCH(A1286, orders!A:A,0)))</f>
        <v>11</v>
      </c>
      <c r="I1286" t="str">
        <f>VLOOKUP(VLOOKUP(B1286,products!A:F,6,0),categories!A:B,2,0)</f>
        <v>Beverages</v>
      </c>
      <c r="J1286" t="str">
        <f>VLOOKUP(VLOOKUP(A1286,orders!A:B,2,0),customers!A:F,6,0)</f>
        <v>Brazil</v>
      </c>
      <c r="K1286" t="str">
        <f>VLOOKUP(VLOOKUP(A1286,orders!A:C,3,0),employees!A:B,2,0)</f>
        <v>Andrew Fuller</v>
      </c>
    </row>
    <row r="1287" spans="1:11" x14ac:dyDescent="0.25">
      <c r="A1287">
        <v>10735</v>
      </c>
      <c r="B1287">
        <v>61</v>
      </c>
      <c r="C1287">
        <v>28.5</v>
      </c>
      <c r="D1287">
        <v>20</v>
      </c>
      <c r="E1287">
        <v>0.1</v>
      </c>
      <c r="F1287">
        <f t="shared" si="20"/>
        <v>513</v>
      </c>
      <c r="G1287">
        <f>YEAR(VLOOKUP(A1287,orders!A:D,4,0))</f>
        <v>2014</v>
      </c>
      <c r="H1287">
        <f>MONTH(INDEX(orders!D:D,MATCH(A1287, orders!A:A,0)))</f>
        <v>11</v>
      </c>
      <c r="I1287" t="str">
        <f>VLOOKUP(VLOOKUP(B1287,products!A:F,6,0),categories!A:B,2,0)</f>
        <v>Condiments</v>
      </c>
      <c r="J1287" t="str">
        <f>VLOOKUP(VLOOKUP(A1287,orders!A:B,2,0),customers!A:F,6,0)</f>
        <v>USA</v>
      </c>
      <c r="K1287" t="str">
        <f>VLOOKUP(VLOOKUP(A1287,orders!A:C,3,0),employees!A:B,2,0)</f>
        <v>Michael Suyama</v>
      </c>
    </row>
    <row r="1288" spans="1:11" x14ac:dyDescent="0.25">
      <c r="A1288">
        <v>10735</v>
      </c>
      <c r="B1288">
        <v>77</v>
      </c>
      <c r="C1288">
        <v>13</v>
      </c>
      <c r="D1288">
        <v>2</v>
      </c>
      <c r="E1288">
        <v>0.1</v>
      </c>
      <c r="F1288">
        <f t="shared" si="20"/>
        <v>23.400000000000002</v>
      </c>
      <c r="G1288">
        <f>YEAR(VLOOKUP(A1288,orders!A:D,4,0))</f>
        <v>2014</v>
      </c>
      <c r="H1288">
        <f>MONTH(INDEX(orders!D:D,MATCH(A1288, orders!A:A,0)))</f>
        <v>11</v>
      </c>
      <c r="I1288" t="str">
        <f>VLOOKUP(VLOOKUP(B1288,products!A:F,6,0),categories!A:B,2,0)</f>
        <v>Condiments</v>
      </c>
      <c r="J1288" t="str">
        <f>VLOOKUP(VLOOKUP(A1288,orders!A:B,2,0),customers!A:F,6,0)</f>
        <v>USA</v>
      </c>
      <c r="K1288" t="str">
        <f>VLOOKUP(VLOOKUP(A1288,orders!A:C,3,0),employees!A:B,2,0)</f>
        <v>Michael Suyama</v>
      </c>
    </row>
    <row r="1289" spans="1:11" x14ac:dyDescent="0.25">
      <c r="A1289">
        <v>10736</v>
      </c>
      <c r="B1289">
        <v>65</v>
      </c>
      <c r="C1289">
        <v>21.05</v>
      </c>
      <c r="D1289">
        <v>40</v>
      </c>
      <c r="E1289">
        <v>0</v>
      </c>
      <c r="F1289">
        <f t="shared" si="20"/>
        <v>842</v>
      </c>
      <c r="G1289">
        <f>YEAR(VLOOKUP(A1289,orders!A:D,4,0))</f>
        <v>2014</v>
      </c>
      <c r="H1289">
        <f>MONTH(INDEX(orders!D:D,MATCH(A1289, orders!A:A,0)))</f>
        <v>11</v>
      </c>
      <c r="I1289" t="str">
        <f>VLOOKUP(VLOOKUP(B1289,products!A:F,6,0),categories!A:B,2,0)</f>
        <v>Condiments</v>
      </c>
      <c r="J1289" t="str">
        <f>VLOOKUP(VLOOKUP(A1289,orders!A:B,2,0),customers!A:F,6,0)</f>
        <v>Ireland</v>
      </c>
      <c r="K1289" t="str">
        <f>VLOOKUP(VLOOKUP(A1289,orders!A:C,3,0),employees!A:B,2,0)</f>
        <v>Anne Dodsworth</v>
      </c>
    </row>
    <row r="1290" spans="1:11" x14ac:dyDescent="0.25">
      <c r="A1290">
        <v>10736</v>
      </c>
      <c r="B1290">
        <v>75</v>
      </c>
      <c r="C1290">
        <v>7.75</v>
      </c>
      <c r="D1290">
        <v>20</v>
      </c>
      <c r="E1290">
        <v>0</v>
      </c>
      <c r="F1290">
        <f t="shared" si="20"/>
        <v>155</v>
      </c>
      <c r="G1290">
        <f>YEAR(VLOOKUP(A1290,orders!A:D,4,0))</f>
        <v>2014</v>
      </c>
      <c r="H1290">
        <f>MONTH(INDEX(orders!D:D,MATCH(A1290, orders!A:A,0)))</f>
        <v>11</v>
      </c>
      <c r="I1290" t="str">
        <f>VLOOKUP(VLOOKUP(B1290,products!A:F,6,0),categories!A:B,2,0)</f>
        <v>Beverages</v>
      </c>
      <c r="J1290" t="str">
        <f>VLOOKUP(VLOOKUP(A1290,orders!A:B,2,0),customers!A:F,6,0)</f>
        <v>Ireland</v>
      </c>
      <c r="K1290" t="str">
        <f>VLOOKUP(VLOOKUP(A1290,orders!A:C,3,0),employees!A:B,2,0)</f>
        <v>Anne Dodsworth</v>
      </c>
    </row>
    <row r="1291" spans="1:11" x14ac:dyDescent="0.25">
      <c r="A1291">
        <v>10737</v>
      </c>
      <c r="B1291">
        <v>13</v>
      </c>
      <c r="C1291">
        <v>6</v>
      </c>
      <c r="D1291">
        <v>4</v>
      </c>
      <c r="E1291">
        <v>0</v>
      </c>
      <c r="F1291">
        <f t="shared" si="20"/>
        <v>24</v>
      </c>
      <c r="G1291">
        <f>YEAR(VLOOKUP(A1291,orders!A:D,4,0))</f>
        <v>2014</v>
      </c>
      <c r="H1291">
        <f>MONTH(INDEX(orders!D:D,MATCH(A1291, orders!A:A,0)))</f>
        <v>11</v>
      </c>
      <c r="I1291" t="str">
        <f>VLOOKUP(VLOOKUP(B1291,products!A:F,6,0),categories!A:B,2,0)</f>
        <v>Seafood</v>
      </c>
      <c r="J1291" t="str">
        <f>VLOOKUP(VLOOKUP(A1291,orders!A:B,2,0),customers!A:F,6,0)</f>
        <v>France</v>
      </c>
      <c r="K1291" t="str">
        <f>VLOOKUP(VLOOKUP(A1291,orders!A:C,3,0),employees!A:B,2,0)</f>
        <v>Andrew Fuller</v>
      </c>
    </row>
    <row r="1292" spans="1:11" x14ac:dyDescent="0.25">
      <c r="A1292">
        <v>10737</v>
      </c>
      <c r="B1292">
        <v>41</v>
      </c>
      <c r="C1292">
        <v>9.65</v>
      </c>
      <c r="D1292">
        <v>12</v>
      </c>
      <c r="E1292">
        <v>0</v>
      </c>
      <c r="F1292">
        <f t="shared" si="20"/>
        <v>115.80000000000001</v>
      </c>
      <c r="G1292">
        <f>YEAR(VLOOKUP(A1292,orders!A:D,4,0))</f>
        <v>2014</v>
      </c>
      <c r="H1292">
        <f>MONTH(INDEX(orders!D:D,MATCH(A1292, orders!A:A,0)))</f>
        <v>11</v>
      </c>
      <c r="I1292" t="str">
        <f>VLOOKUP(VLOOKUP(B1292,products!A:F,6,0),categories!A:B,2,0)</f>
        <v>Seafood</v>
      </c>
      <c r="J1292" t="str">
        <f>VLOOKUP(VLOOKUP(A1292,orders!A:B,2,0),customers!A:F,6,0)</f>
        <v>France</v>
      </c>
      <c r="K1292" t="str">
        <f>VLOOKUP(VLOOKUP(A1292,orders!A:C,3,0),employees!A:B,2,0)</f>
        <v>Andrew Fuller</v>
      </c>
    </row>
    <row r="1293" spans="1:11" x14ac:dyDescent="0.25">
      <c r="A1293">
        <v>10738</v>
      </c>
      <c r="B1293">
        <v>16</v>
      </c>
      <c r="C1293">
        <v>17.45</v>
      </c>
      <c r="D1293">
        <v>3</v>
      </c>
      <c r="E1293">
        <v>0</v>
      </c>
      <c r="F1293">
        <f t="shared" si="20"/>
        <v>52.349999999999994</v>
      </c>
      <c r="G1293">
        <f>YEAR(VLOOKUP(A1293,orders!A:D,4,0))</f>
        <v>2014</v>
      </c>
      <c r="H1293">
        <f>MONTH(INDEX(orders!D:D,MATCH(A1293, orders!A:A,0)))</f>
        <v>11</v>
      </c>
      <c r="I1293" t="str">
        <f>VLOOKUP(VLOOKUP(B1293,products!A:F,6,0),categories!A:B,2,0)</f>
        <v>Confections</v>
      </c>
      <c r="J1293" t="str">
        <f>VLOOKUP(VLOOKUP(A1293,orders!A:B,2,0),customers!A:F,6,0)</f>
        <v>France</v>
      </c>
      <c r="K1293" t="str">
        <f>VLOOKUP(VLOOKUP(A1293,orders!A:C,3,0),employees!A:B,2,0)</f>
        <v>Andrew Fuller</v>
      </c>
    </row>
    <row r="1294" spans="1:11" x14ac:dyDescent="0.25">
      <c r="A1294">
        <v>10739</v>
      </c>
      <c r="B1294">
        <v>36</v>
      </c>
      <c r="C1294">
        <v>19</v>
      </c>
      <c r="D1294">
        <v>6</v>
      </c>
      <c r="E1294">
        <v>0</v>
      </c>
      <c r="F1294">
        <f t="shared" si="20"/>
        <v>114</v>
      </c>
      <c r="G1294">
        <f>YEAR(VLOOKUP(A1294,orders!A:D,4,0))</f>
        <v>2014</v>
      </c>
      <c r="H1294">
        <f>MONTH(INDEX(orders!D:D,MATCH(A1294, orders!A:A,0)))</f>
        <v>11</v>
      </c>
      <c r="I1294" t="str">
        <f>VLOOKUP(VLOOKUP(B1294,products!A:F,6,0),categories!A:B,2,0)</f>
        <v>Seafood</v>
      </c>
      <c r="J1294" t="str">
        <f>VLOOKUP(VLOOKUP(A1294,orders!A:B,2,0),customers!A:F,6,0)</f>
        <v>France</v>
      </c>
      <c r="K1294" t="str">
        <f>VLOOKUP(VLOOKUP(A1294,orders!A:C,3,0),employees!A:B,2,0)</f>
        <v>Janet Leverling</v>
      </c>
    </row>
    <row r="1295" spans="1:11" x14ac:dyDescent="0.25">
      <c r="A1295">
        <v>10739</v>
      </c>
      <c r="B1295">
        <v>52</v>
      </c>
      <c r="C1295">
        <v>7</v>
      </c>
      <c r="D1295">
        <v>18</v>
      </c>
      <c r="E1295">
        <v>0</v>
      </c>
      <c r="F1295">
        <f t="shared" si="20"/>
        <v>126</v>
      </c>
      <c r="G1295">
        <f>YEAR(VLOOKUP(A1295,orders!A:D,4,0))</f>
        <v>2014</v>
      </c>
      <c r="H1295">
        <f>MONTH(INDEX(orders!D:D,MATCH(A1295, orders!A:A,0)))</f>
        <v>11</v>
      </c>
      <c r="I1295" t="str">
        <f>VLOOKUP(VLOOKUP(B1295,products!A:F,6,0),categories!A:B,2,0)</f>
        <v>Grains &amp; Cereals</v>
      </c>
      <c r="J1295" t="str">
        <f>VLOOKUP(VLOOKUP(A1295,orders!A:B,2,0),customers!A:F,6,0)</f>
        <v>France</v>
      </c>
      <c r="K1295" t="str">
        <f>VLOOKUP(VLOOKUP(A1295,orders!A:C,3,0),employees!A:B,2,0)</f>
        <v>Janet Leverling</v>
      </c>
    </row>
    <row r="1296" spans="1:11" x14ac:dyDescent="0.25">
      <c r="A1296">
        <v>10740</v>
      </c>
      <c r="B1296">
        <v>28</v>
      </c>
      <c r="C1296">
        <v>45.6</v>
      </c>
      <c r="D1296">
        <v>5</v>
      </c>
      <c r="E1296">
        <v>0.2</v>
      </c>
      <c r="F1296">
        <f t="shared" si="20"/>
        <v>182.4</v>
      </c>
      <c r="G1296">
        <f>YEAR(VLOOKUP(A1296,orders!A:D,4,0))</f>
        <v>2014</v>
      </c>
      <c r="H1296">
        <f>MONTH(INDEX(orders!D:D,MATCH(A1296, orders!A:A,0)))</f>
        <v>11</v>
      </c>
      <c r="I1296" t="str">
        <f>VLOOKUP(VLOOKUP(B1296,products!A:F,6,0),categories!A:B,2,0)</f>
        <v>Produce</v>
      </c>
      <c r="J1296" t="str">
        <f>VLOOKUP(VLOOKUP(A1296,orders!A:B,2,0),customers!A:F,6,0)</f>
        <v>USA</v>
      </c>
      <c r="K1296" t="str">
        <f>VLOOKUP(VLOOKUP(A1296,orders!A:C,3,0),employees!A:B,2,0)</f>
        <v>Margaret Peacock</v>
      </c>
    </row>
    <row r="1297" spans="1:11" x14ac:dyDescent="0.25">
      <c r="A1297">
        <v>10740</v>
      </c>
      <c r="B1297">
        <v>35</v>
      </c>
      <c r="C1297">
        <v>18</v>
      </c>
      <c r="D1297">
        <v>35</v>
      </c>
      <c r="E1297">
        <v>0.2</v>
      </c>
      <c r="F1297">
        <f t="shared" si="20"/>
        <v>504</v>
      </c>
      <c r="G1297">
        <f>YEAR(VLOOKUP(A1297,orders!A:D,4,0))</f>
        <v>2014</v>
      </c>
      <c r="H1297">
        <f>MONTH(INDEX(orders!D:D,MATCH(A1297, orders!A:A,0)))</f>
        <v>11</v>
      </c>
      <c r="I1297" t="str">
        <f>VLOOKUP(VLOOKUP(B1297,products!A:F,6,0),categories!A:B,2,0)</f>
        <v>Beverages</v>
      </c>
      <c r="J1297" t="str">
        <f>VLOOKUP(VLOOKUP(A1297,orders!A:B,2,0),customers!A:F,6,0)</f>
        <v>USA</v>
      </c>
      <c r="K1297" t="str">
        <f>VLOOKUP(VLOOKUP(A1297,orders!A:C,3,0),employees!A:B,2,0)</f>
        <v>Margaret Peacock</v>
      </c>
    </row>
    <row r="1298" spans="1:11" x14ac:dyDescent="0.25">
      <c r="A1298">
        <v>10740</v>
      </c>
      <c r="B1298">
        <v>45</v>
      </c>
      <c r="C1298">
        <v>9.5</v>
      </c>
      <c r="D1298">
        <v>40</v>
      </c>
      <c r="E1298">
        <v>0.2</v>
      </c>
      <c r="F1298">
        <f t="shared" si="20"/>
        <v>304</v>
      </c>
      <c r="G1298">
        <f>YEAR(VLOOKUP(A1298,orders!A:D,4,0))</f>
        <v>2014</v>
      </c>
      <c r="H1298">
        <f>MONTH(INDEX(orders!D:D,MATCH(A1298, orders!A:A,0)))</f>
        <v>11</v>
      </c>
      <c r="I1298" t="str">
        <f>VLOOKUP(VLOOKUP(B1298,products!A:F,6,0),categories!A:B,2,0)</f>
        <v>Seafood</v>
      </c>
      <c r="J1298" t="str">
        <f>VLOOKUP(VLOOKUP(A1298,orders!A:B,2,0),customers!A:F,6,0)</f>
        <v>USA</v>
      </c>
      <c r="K1298" t="str">
        <f>VLOOKUP(VLOOKUP(A1298,orders!A:C,3,0),employees!A:B,2,0)</f>
        <v>Margaret Peacock</v>
      </c>
    </row>
    <row r="1299" spans="1:11" x14ac:dyDescent="0.25">
      <c r="A1299">
        <v>10740</v>
      </c>
      <c r="B1299">
        <v>56</v>
      </c>
      <c r="C1299">
        <v>38</v>
      </c>
      <c r="D1299">
        <v>14</v>
      </c>
      <c r="E1299">
        <v>0.2</v>
      </c>
      <c r="F1299">
        <f t="shared" si="20"/>
        <v>425.6</v>
      </c>
      <c r="G1299">
        <f>YEAR(VLOOKUP(A1299,orders!A:D,4,0))</f>
        <v>2014</v>
      </c>
      <c r="H1299">
        <f>MONTH(INDEX(orders!D:D,MATCH(A1299, orders!A:A,0)))</f>
        <v>11</v>
      </c>
      <c r="I1299" t="str">
        <f>VLOOKUP(VLOOKUP(B1299,products!A:F,6,0),categories!A:B,2,0)</f>
        <v>Grains &amp; Cereals</v>
      </c>
      <c r="J1299" t="str">
        <f>VLOOKUP(VLOOKUP(A1299,orders!A:B,2,0),customers!A:F,6,0)</f>
        <v>USA</v>
      </c>
      <c r="K1299" t="str">
        <f>VLOOKUP(VLOOKUP(A1299,orders!A:C,3,0),employees!A:B,2,0)</f>
        <v>Margaret Peacock</v>
      </c>
    </row>
    <row r="1300" spans="1:11" x14ac:dyDescent="0.25">
      <c r="A1300">
        <v>10741</v>
      </c>
      <c r="B1300">
        <v>2</v>
      </c>
      <c r="C1300">
        <v>19</v>
      </c>
      <c r="D1300">
        <v>15</v>
      </c>
      <c r="E1300">
        <v>0.2</v>
      </c>
      <c r="F1300">
        <f t="shared" si="20"/>
        <v>228</v>
      </c>
      <c r="G1300">
        <f>YEAR(VLOOKUP(A1300,orders!A:D,4,0))</f>
        <v>2014</v>
      </c>
      <c r="H1300">
        <f>MONTH(INDEX(orders!D:D,MATCH(A1300, orders!A:A,0)))</f>
        <v>11</v>
      </c>
      <c r="I1300" t="str">
        <f>VLOOKUP(VLOOKUP(B1300,products!A:F,6,0),categories!A:B,2,0)</f>
        <v>Beverages</v>
      </c>
      <c r="J1300" t="str">
        <f>VLOOKUP(VLOOKUP(A1300,orders!A:B,2,0),customers!A:F,6,0)</f>
        <v>UK</v>
      </c>
      <c r="K1300" t="str">
        <f>VLOOKUP(VLOOKUP(A1300,orders!A:C,3,0),employees!A:B,2,0)</f>
        <v>Margaret Peacock</v>
      </c>
    </row>
    <row r="1301" spans="1:11" x14ac:dyDescent="0.25">
      <c r="A1301">
        <v>10742</v>
      </c>
      <c r="B1301">
        <v>3</v>
      </c>
      <c r="C1301">
        <v>10</v>
      </c>
      <c r="D1301">
        <v>20</v>
      </c>
      <c r="E1301">
        <v>0</v>
      </c>
      <c r="F1301">
        <f t="shared" si="20"/>
        <v>200</v>
      </c>
      <c r="G1301">
        <f>YEAR(VLOOKUP(A1301,orders!A:D,4,0))</f>
        <v>2014</v>
      </c>
      <c r="H1301">
        <f>MONTH(INDEX(orders!D:D,MATCH(A1301, orders!A:A,0)))</f>
        <v>11</v>
      </c>
      <c r="I1301" t="str">
        <f>VLOOKUP(VLOOKUP(B1301,products!A:F,6,0),categories!A:B,2,0)</f>
        <v>Condiments</v>
      </c>
      <c r="J1301" t="str">
        <f>VLOOKUP(VLOOKUP(A1301,orders!A:B,2,0),customers!A:F,6,0)</f>
        <v>Canada</v>
      </c>
      <c r="K1301" t="str">
        <f>VLOOKUP(VLOOKUP(A1301,orders!A:C,3,0),employees!A:B,2,0)</f>
        <v>Janet Leverling</v>
      </c>
    </row>
    <row r="1302" spans="1:11" x14ac:dyDescent="0.25">
      <c r="A1302">
        <v>10742</v>
      </c>
      <c r="B1302">
        <v>60</v>
      </c>
      <c r="C1302">
        <v>34</v>
      </c>
      <c r="D1302">
        <v>50</v>
      </c>
      <c r="E1302">
        <v>0</v>
      </c>
      <c r="F1302">
        <f t="shared" si="20"/>
        <v>1700</v>
      </c>
      <c r="G1302">
        <f>YEAR(VLOOKUP(A1302,orders!A:D,4,0))</f>
        <v>2014</v>
      </c>
      <c r="H1302">
        <f>MONTH(INDEX(orders!D:D,MATCH(A1302, orders!A:A,0)))</f>
        <v>11</v>
      </c>
      <c r="I1302" t="str">
        <f>VLOOKUP(VLOOKUP(B1302,products!A:F,6,0),categories!A:B,2,0)</f>
        <v>Dairy Products</v>
      </c>
      <c r="J1302" t="str">
        <f>VLOOKUP(VLOOKUP(A1302,orders!A:B,2,0),customers!A:F,6,0)</f>
        <v>Canada</v>
      </c>
      <c r="K1302" t="str">
        <f>VLOOKUP(VLOOKUP(A1302,orders!A:C,3,0),employees!A:B,2,0)</f>
        <v>Janet Leverling</v>
      </c>
    </row>
    <row r="1303" spans="1:11" x14ac:dyDescent="0.25">
      <c r="A1303">
        <v>10742</v>
      </c>
      <c r="B1303">
        <v>72</v>
      </c>
      <c r="C1303">
        <v>34.799999999999997</v>
      </c>
      <c r="D1303">
        <v>35</v>
      </c>
      <c r="E1303">
        <v>0</v>
      </c>
      <c r="F1303">
        <f t="shared" si="20"/>
        <v>1218</v>
      </c>
      <c r="G1303">
        <f>YEAR(VLOOKUP(A1303,orders!A:D,4,0))</f>
        <v>2014</v>
      </c>
      <c r="H1303">
        <f>MONTH(INDEX(orders!D:D,MATCH(A1303, orders!A:A,0)))</f>
        <v>11</v>
      </c>
      <c r="I1303" t="str">
        <f>VLOOKUP(VLOOKUP(B1303,products!A:F,6,0),categories!A:B,2,0)</f>
        <v>Dairy Products</v>
      </c>
      <c r="J1303" t="str">
        <f>VLOOKUP(VLOOKUP(A1303,orders!A:B,2,0),customers!A:F,6,0)</f>
        <v>Canada</v>
      </c>
      <c r="K1303" t="str">
        <f>VLOOKUP(VLOOKUP(A1303,orders!A:C,3,0),employees!A:B,2,0)</f>
        <v>Janet Leverling</v>
      </c>
    </row>
    <row r="1304" spans="1:11" x14ac:dyDescent="0.25">
      <c r="A1304">
        <v>10743</v>
      </c>
      <c r="B1304">
        <v>46</v>
      </c>
      <c r="C1304">
        <v>12</v>
      </c>
      <c r="D1304">
        <v>28</v>
      </c>
      <c r="E1304">
        <v>0.05</v>
      </c>
      <c r="F1304">
        <f t="shared" si="20"/>
        <v>319.2</v>
      </c>
      <c r="G1304">
        <f>YEAR(VLOOKUP(A1304,orders!A:D,4,0))</f>
        <v>2014</v>
      </c>
      <c r="H1304">
        <f>MONTH(INDEX(orders!D:D,MATCH(A1304, orders!A:A,0)))</f>
        <v>11</v>
      </c>
      <c r="I1304" t="str">
        <f>VLOOKUP(VLOOKUP(B1304,products!A:F,6,0),categories!A:B,2,0)</f>
        <v>Seafood</v>
      </c>
      <c r="J1304" t="str">
        <f>VLOOKUP(VLOOKUP(A1304,orders!A:B,2,0),customers!A:F,6,0)</f>
        <v>UK</v>
      </c>
      <c r="K1304" t="str">
        <f>VLOOKUP(VLOOKUP(A1304,orders!A:C,3,0),employees!A:B,2,0)</f>
        <v>Nancy Davolio</v>
      </c>
    </row>
    <row r="1305" spans="1:11" x14ac:dyDescent="0.25">
      <c r="A1305">
        <v>10744</v>
      </c>
      <c r="B1305">
        <v>40</v>
      </c>
      <c r="C1305">
        <v>18.399999999999999</v>
      </c>
      <c r="D1305">
        <v>50</v>
      </c>
      <c r="E1305">
        <v>0.2</v>
      </c>
      <c r="F1305">
        <f t="shared" si="20"/>
        <v>736</v>
      </c>
      <c r="G1305">
        <f>YEAR(VLOOKUP(A1305,orders!A:D,4,0))</f>
        <v>2014</v>
      </c>
      <c r="H1305">
        <f>MONTH(INDEX(orders!D:D,MATCH(A1305, orders!A:A,0)))</f>
        <v>11</v>
      </c>
      <c r="I1305" t="str">
        <f>VLOOKUP(VLOOKUP(B1305,products!A:F,6,0),categories!A:B,2,0)</f>
        <v>Seafood</v>
      </c>
      <c r="J1305" t="str">
        <f>VLOOKUP(VLOOKUP(A1305,orders!A:B,2,0),customers!A:F,6,0)</f>
        <v>Denmark</v>
      </c>
      <c r="K1305" t="str">
        <f>VLOOKUP(VLOOKUP(A1305,orders!A:C,3,0),employees!A:B,2,0)</f>
        <v>Michael Suyama</v>
      </c>
    </row>
    <row r="1306" spans="1:11" x14ac:dyDescent="0.25">
      <c r="A1306">
        <v>10745</v>
      </c>
      <c r="B1306">
        <v>18</v>
      </c>
      <c r="C1306">
        <v>62.5</v>
      </c>
      <c r="D1306">
        <v>24</v>
      </c>
      <c r="E1306">
        <v>0</v>
      </c>
      <c r="F1306">
        <f t="shared" si="20"/>
        <v>1500</v>
      </c>
      <c r="G1306">
        <f>YEAR(VLOOKUP(A1306,orders!A:D,4,0))</f>
        <v>2014</v>
      </c>
      <c r="H1306">
        <f>MONTH(INDEX(orders!D:D,MATCH(A1306, orders!A:A,0)))</f>
        <v>11</v>
      </c>
      <c r="I1306" t="str">
        <f>VLOOKUP(VLOOKUP(B1306,products!A:F,6,0),categories!A:B,2,0)</f>
        <v>Seafood</v>
      </c>
      <c r="J1306" t="str">
        <f>VLOOKUP(VLOOKUP(A1306,orders!A:B,2,0),customers!A:F,6,0)</f>
        <v>Germany</v>
      </c>
      <c r="K1306" t="str">
        <f>VLOOKUP(VLOOKUP(A1306,orders!A:C,3,0),employees!A:B,2,0)</f>
        <v>Anne Dodsworth</v>
      </c>
    </row>
    <row r="1307" spans="1:11" x14ac:dyDescent="0.25">
      <c r="A1307">
        <v>10745</v>
      </c>
      <c r="B1307">
        <v>44</v>
      </c>
      <c r="C1307">
        <v>19.45</v>
      </c>
      <c r="D1307">
        <v>16</v>
      </c>
      <c r="E1307">
        <v>0</v>
      </c>
      <c r="F1307">
        <f t="shared" si="20"/>
        <v>311.2</v>
      </c>
      <c r="G1307">
        <f>YEAR(VLOOKUP(A1307,orders!A:D,4,0))</f>
        <v>2014</v>
      </c>
      <c r="H1307">
        <f>MONTH(INDEX(orders!D:D,MATCH(A1307, orders!A:A,0)))</f>
        <v>11</v>
      </c>
      <c r="I1307" t="str">
        <f>VLOOKUP(VLOOKUP(B1307,products!A:F,6,0),categories!A:B,2,0)</f>
        <v>Condiments</v>
      </c>
      <c r="J1307" t="str">
        <f>VLOOKUP(VLOOKUP(A1307,orders!A:B,2,0),customers!A:F,6,0)</f>
        <v>Germany</v>
      </c>
      <c r="K1307" t="str">
        <f>VLOOKUP(VLOOKUP(A1307,orders!A:C,3,0),employees!A:B,2,0)</f>
        <v>Anne Dodsworth</v>
      </c>
    </row>
    <row r="1308" spans="1:11" x14ac:dyDescent="0.25">
      <c r="A1308">
        <v>10745</v>
      </c>
      <c r="B1308">
        <v>59</v>
      </c>
      <c r="C1308">
        <v>55</v>
      </c>
      <c r="D1308">
        <v>45</v>
      </c>
      <c r="E1308">
        <v>0</v>
      </c>
      <c r="F1308">
        <f t="shared" si="20"/>
        <v>2475</v>
      </c>
      <c r="G1308">
        <f>YEAR(VLOOKUP(A1308,orders!A:D,4,0))</f>
        <v>2014</v>
      </c>
      <c r="H1308">
        <f>MONTH(INDEX(orders!D:D,MATCH(A1308, orders!A:A,0)))</f>
        <v>11</v>
      </c>
      <c r="I1308" t="str">
        <f>VLOOKUP(VLOOKUP(B1308,products!A:F,6,0),categories!A:B,2,0)</f>
        <v>Dairy Products</v>
      </c>
      <c r="J1308" t="str">
        <f>VLOOKUP(VLOOKUP(A1308,orders!A:B,2,0),customers!A:F,6,0)</f>
        <v>Germany</v>
      </c>
      <c r="K1308" t="str">
        <f>VLOOKUP(VLOOKUP(A1308,orders!A:C,3,0),employees!A:B,2,0)</f>
        <v>Anne Dodsworth</v>
      </c>
    </row>
    <row r="1309" spans="1:11" x14ac:dyDescent="0.25">
      <c r="A1309">
        <v>10745</v>
      </c>
      <c r="B1309">
        <v>72</v>
      </c>
      <c r="C1309">
        <v>34.799999999999997</v>
      </c>
      <c r="D1309">
        <v>7</v>
      </c>
      <c r="E1309">
        <v>0</v>
      </c>
      <c r="F1309">
        <f t="shared" si="20"/>
        <v>243.59999999999997</v>
      </c>
      <c r="G1309">
        <f>YEAR(VLOOKUP(A1309,orders!A:D,4,0))</f>
        <v>2014</v>
      </c>
      <c r="H1309">
        <f>MONTH(INDEX(orders!D:D,MATCH(A1309, orders!A:A,0)))</f>
        <v>11</v>
      </c>
      <c r="I1309" t="str">
        <f>VLOOKUP(VLOOKUP(B1309,products!A:F,6,0),categories!A:B,2,0)</f>
        <v>Dairy Products</v>
      </c>
      <c r="J1309" t="str">
        <f>VLOOKUP(VLOOKUP(A1309,orders!A:B,2,0),customers!A:F,6,0)</f>
        <v>Germany</v>
      </c>
      <c r="K1309" t="str">
        <f>VLOOKUP(VLOOKUP(A1309,orders!A:C,3,0),employees!A:B,2,0)</f>
        <v>Anne Dodsworth</v>
      </c>
    </row>
    <row r="1310" spans="1:11" x14ac:dyDescent="0.25">
      <c r="A1310">
        <v>10746</v>
      </c>
      <c r="B1310">
        <v>13</v>
      </c>
      <c r="C1310">
        <v>6</v>
      </c>
      <c r="D1310">
        <v>6</v>
      </c>
      <c r="E1310">
        <v>0</v>
      </c>
      <c r="F1310">
        <f t="shared" si="20"/>
        <v>36</v>
      </c>
      <c r="G1310">
        <f>YEAR(VLOOKUP(A1310,orders!A:D,4,0))</f>
        <v>2014</v>
      </c>
      <c r="H1310">
        <f>MONTH(INDEX(orders!D:D,MATCH(A1310, orders!A:A,0)))</f>
        <v>11</v>
      </c>
      <c r="I1310" t="str">
        <f>VLOOKUP(VLOOKUP(B1310,products!A:F,6,0),categories!A:B,2,0)</f>
        <v>Seafood</v>
      </c>
      <c r="J1310" t="str">
        <f>VLOOKUP(VLOOKUP(A1310,orders!A:B,2,0),customers!A:F,6,0)</f>
        <v>Switzerland</v>
      </c>
      <c r="K1310" t="str">
        <f>VLOOKUP(VLOOKUP(A1310,orders!A:C,3,0),employees!A:B,2,0)</f>
        <v>Nancy Davolio</v>
      </c>
    </row>
    <row r="1311" spans="1:11" x14ac:dyDescent="0.25">
      <c r="A1311">
        <v>10746</v>
      </c>
      <c r="B1311">
        <v>42</v>
      </c>
      <c r="C1311">
        <v>14</v>
      </c>
      <c r="D1311">
        <v>28</v>
      </c>
      <c r="E1311">
        <v>0</v>
      </c>
      <c r="F1311">
        <f t="shared" si="20"/>
        <v>392</v>
      </c>
      <c r="G1311">
        <f>YEAR(VLOOKUP(A1311,orders!A:D,4,0))</f>
        <v>2014</v>
      </c>
      <c r="H1311">
        <f>MONTH(INDEX(orders!D:D,MATCH(A1311, orders!A:A,0)))</f>
        <v>11</v>
      </c>
      <c r="I1311" t="str">
        <f>VLOOKUP(VLOOKUP(B1311,products!A:F,6,0),categories!A:B,2,0)</f>
        <v>Grains &amp; Cereals</v>
      </c>
      <c r="J1311" t="str">
        <f>VLOOKUP(VLOOKUP(A1311,orders!A:B,2,0),customers!A:F,6,0)</f>
        <v>Switzerland</v>
      </c>
      <c r="K1311" t="str">
        <f>VLOOKUP(VLOOKUP(A1311,orders!A:C,3,0),employees!A:B,2,0)</f>
        <v>Nancy Davolio</v>
      </c>
    </row>
    <row r="1312" spans="1:11" x14ac:dyDescent="0.25">
      <c r="A1312">
        <v>10746</v>
      </c>
      <c r="B1312">
        <v>62</v>
      </c>
      <c r="C1312">
        <v>49.3</v>
      </c>
      <c r="D1312">
        <v>9</v>
      </c>
      <c r="E1312">
        <v>0</v>
      </c>
      <c r="F1312">
        <f t="shared" si="20"/>
        <v>443.7</v>
      </c>
      <c r="G1312">
        <f>YEAR(VLOOKUP(A1312,orders!A:D,4,0))</f>
        <v>2014</v>
      </c>
      <c r="H1312">
        <f>MONTH(INDEX(orders!D:D,MATCH(A1312, orders!A:A,0)))</f>
        <v>11</v>
      </c>
      <c r="I1312" t="str">
        <f>VLOOKUP(VLOOKUP(B1312,products!A:F,6,0),categories!A:B,2,0)</f>
        <v>Confections</v>
      </c>
      <c r="J1312" t="str">
        <f>VLOOKUP(VLOOKUP(A1312,orders!A:B,2,0),customers!A:F,6,0)</f>
        <v>Switzerland</v>
      </c>
      <c r="K1312" t="str">
        <f>VLOOKUP(VLOOKUP(A1312,orders!A:C,3,0),employees!A:B,2,0)</f>
        <v>Nancy Davolio</v>
      </c>
    </row>
    <row r="1313" spans="1:11" x14ac:dyDescent="0.25">
      <c r="A1313">
        <v>10746</v>
      </c>
      <c r="B1313">
        <v>69</v>
      </c>
      <c r="C1313">
        <v>36</v>
      </c>
      <c r="D1313">
        <v>40</v>
      </c>
      <c r="E1313">
        <v>0</v>
      </c>
      <c r="F1313">
        <f t="shared" si="20"/>
        <v>1440</v>
      </c>
      <c r="G1313">
        <f>YEAR(VLOOKUP(A1313,orders!A:D,4,0))</f>
        <v>2014</v>
      </c>
      <c r="H1313">
        <f>MONTH(INDEX(orders!D:D,MATCH(A1313, orders!A:A,0)))</f>
        <v>11</v>
      </c>
      <c r="I1313" t="str">
        <f>VLOOKUP(VLOOKUP(B1313,products!A:F,6,0),categories!A:B,2,0)</f>
        <v>Dairy Products</v>
      </c>
      <c r="J1313" t="str">
        <f>VLOOKUP(VLOOKUP(A1313,orders!A:B,2,0),customers!A:F,6,0)</f>
        <v>Switzerland</v>
      </c>
      <c r="K1313" t="str">
        <f>VLOOKUP(VLOOKUP(A1313,orders!A:C,3,0),employees!A:B,2,0)</f>
        <v>Nancy Davolio</v>
      </c>
    </row>
    <row r="1314" spans="1:11" x14ac:dyDescent="0.25">
      <c r="A1314">
        <v>10747</v>
      </c>
      <c r="B1314">
        <v>31</v>
      </c>
      <c r="C1314">
        <v>12.5</v>
      </c>
      <c r="D1314">
        <v>8</v>
      </c>
      <c r="E1314">
        <v>0</v>
      </c>
      <c r="F1314">
        <f t="shared" si="20"/>
        <v>100</v>
      </c>
      <c r="G1314">
        <f>YEAR(VLOOKUP(A1314,orders!A:D,4,0))</f>
        <v>2014</v>
      </c>
      <c r="H1314">
        <f>MONTH(INDEX(orders!D:D,MATCH(A1314, orders!A:A,0)))</f>
        <v>11</v>
      </c>
      <c r="I1314" t="str">
        <f>VLOOKUP(VLOOKUP(B1314,products!A:F,6,0),categories!A:B,2,0)</f>
        <v>Dairy Products</v>
      </c>
      <c r="J1314" t="str">
        <f>VLOOKUP(VLOOKUP(A1314,orders!A:B,2,0),customers!A:F,6,0)</f>
        <v>Austria</v>
      </c>
      <c r="K1314" t="str">
        <f>VLOOKUP(VLOOKUP(A1314,orders!A:C,3,0),employees!A:B,2,0)</f>
        <v>Michael Suyama</v>
      </c>
    </row>
    <row r="1315" spans="1:11" x14ac:dyDescent="0.25">
      <c r="A1315">
        <v>10747</v>
      </c>
      <c r="B1315">
        <v>41</v>
      </c>
      <c r="C1315">
        <v>9.65</v>
      </c>
      <c r="D1315">
        <v>35</v>
      </c>
      <c r="E1315">
        <v>0</v>
      </c>
      <c r="F1315">
        <f t="shared" si="20"/>
        <v>337.75</v>
      </c>
      <c r="G1315">
        <f>YEAR(VLOOKUP(A1315,orders!A:D,4,0))</f>
        <v>2014</v>
      </c>
      <c r="H1315">
        <f>MONTH(INDEX(orders!D:D,MATCH(A1315, orders!A:A,0)))</f>
        <v>11</v>
      </c>
      <c r="I1315" t="str">
        <f>VLOOKUP(VLOOKUP(B1315,products!A:F,6,0),categories!A:B,2,0)</f>
        <v>Seafood</v>
      </c>
      <c r="J1315" t="str">
        <f>VLOOKUP(VLOOKUP(A1315,orders!A:B,2,0),customers!A:F,6,0)</f>
        <v>Austria</v>
      </c>
      <c r="K1315" t="str">
        <f>VLOOKUP(VLOOKUP(A1315,orders!A:C,3,0),employees!A:B,2,0)</f>
        <v>Michael Suyama</v>
      </c>
    </row>
    <row r="1316" spans="1:11" x14ac:dyDescent="0.25">
      <c r="A1316">
        <v>10747</v>
      </c>
      <c r="B1316">
        <v>63</v>
      </c>
      <c r="C1316">
        <v>43.9</v>
      </c>
      <c r="D1316">
        <v>9</v>
      </c>
      <c r="E1316">
        <v>0</v>
      </c>
      <c r="F1316">
        <f t="shared" si="20"/>
        <v>395.09999999999997</v>
      </c>
      <c r="G1316">
        <f>YEAR(VLOOKUP(A1316,orders!A:D,4,0))</f>
        <v>2014</v>
      </c>
      <c r="H1316">
        <f>MONTH(INDEX(orders!D:D,MATCH(A1316, orders!A:A,0)))</f>
        <v>11</v>
      </c>
      <c r="I1316" t="str">
        <f>VLOOKUP(VLOOKUP(B1316,products!A:F,6,0),categories!A:B,2,0)</f>
        <v>Condiments</v>
      </c>
      <c r="J1316" t="str">
        <f>VLOOKUP(VLOOKUP(A1316,orders!A:B,2,0),customers!A:F,6,0)</f>
        <v>Austria</v>
      </c>
      <c r="K1316" t="str">
        <f>VLOOKUP(VLOOKUP(A1316,orders!A:C,3,0),employees!A:B,2,0)</f>
        <v>Michael Suyama</v>
      </c>
    </row>
    <row r="1317" spans="1:11" x14ac:dyDescent="0.25">
      <c r="A1317">
        <v>10747</v>
      </c>
      <c r="B1317">
        <v>69</v>
      </c>
      <c r="C1317">
        <v>36</v>
      </c>
      <c r="D1317">
        <v>30</v>
      </c>
      <c r="E1317">
        <v>0</v>
      </c>
      <c r="F1317">
        <f t="shared" si="20"/>
        <v>1080</v>
      </c>
      <c r="G1317">
        <f>YEAR(VLOOKUP(A1317,orders!A:D,4,0))</f>
        <v>2014</v>
      </c>
      <c r="H1317">
        <f>MONTH(INDEX(orders!D:D,MATCH(A1317, orders!A:A,0)))</f>
        <v>11</v>
      </c>
      <c r="I1317" t="str">
        <f>VLOOKUP(VLOOKUP(B1317,products!A:F,6,0),categories!A:B,2,0)</f>
        <v>Dairy Products</v>
      </c>
      <c r="J1317" t="str">
        <f>VLOOKUP(VLOOKUP(A1317,orders!A:B,2,0),customers!A:F,6,0)</f>
        <v>Austria</v>
      </c>
      <c r="K1317" t="str">
        <f>VLOOKUP(VLOOKUP(A1317,orders!A:C,3,0),employees!A:B,2,0)</f>
        <v>Michael Suyama</v>
      </c>
    </row>
    <row r="1318" spans="1:11" x14ac:dyDescent="0.25">
      <c r="A1318">
        <v>10748</v>
      </c>
      <c r="B1318">
        <v>23</v>
      </c>
      <c r="C1318">
        <v>9</v>
      </c>
      <c r="D1318">
        <v>44</v>
      </c>
      <c r="E1318">
        <v>0</v>
      </c>
      <c r="F1318">
        <f t="shared" si="20"/>
        <v>396</v>
      </c>
      <c r="G1318">
        <f>YEAR(VLOOKUP(A1318,orders!A:D,4,0))</f>
        <v>2014</v>
      </c>
      <c r="H1318">
        <f>MONTH(INDEX(orders!D:D,MATCH(A1318, orders!A:A,0)))</f>
        <v>11</v>
      </c>
      <c r="I1318" t="str">
        <f>VLOOKUP(VLOOKUP(B1318,products!A:F,6,0),categories!A:B,2,0)</f>
        <v>Grains &amp; Cereals</v>
      </c>
      <c r="J1318" t="str">
        <f>VLOOKUP(VLOOKUP(A1318,orders!A:B,2,0),customers!A:F,6,0)</f>
        <v>USA</v>
      </c>
      <c r="K1318" t="str">
        <f>VLOOKUP(VLOOKUP(A1318,orders!A:C,3,0),employees!A:B,2,0)</f>
        <v>Janet Leverling</v>
      </c>
    </row>
    <row r="1319" spans="1:11" x14ac:dyDescent="0.25">
      <c r="A1319">
        <v>10748</v>
      </c>
      <c r="B1319">
        <v>40</v>
      </c>
      <c r="C1319">
        <v>18.399999999999999</v>
      </c>
      <c r="D1319">
        <v>40</v>
      </c>
      <c r="E1319">
        <v>0</v>
      </c>
      <c r="F1319">
        <f t="shared" si="20"/>
        <v>736</v>
      </c>
      <c r="G1319">
        <f>YEAR(VLOOKUP(A1319,orders!A:D,4,0))</f>
        <v>2014</v>
      </c>
      <c r="H1319">
        <f>MONTH(INDEX(orders!D:D,MATCH(A1319, orders!A:A,0)))</f>
        <v>11</v>
      </c>
      <c r="I1319" t="str">
        <f>VLOOKUP(VLOOKUP(B1319,products!A:F,6,0),categories!A:B,2,0)</f>
        <v>Seafood</v>
      </c>
      <c r="J1319" t="str">
        <f>VLOOKUP(VLOOKUP(A1319,orders!A:B,2,0),customers!A:F,6,0)</f>
        <v>USA</v>
      </c>
      <c r="K1319" t="str">
        <f>VLOOKUP(VLOOKUP(A1319,orders!A:C,3,0),employees!A:B,2,0)</f>
        <v>Janet Leverling</v>
      </c>
    </row>
    <row r="1320" spans="1:11" x14ac:dyDescent="0.25">
      <c r="A1320">
        <v>10748</v>
      </c>
      <c r="B1320">
        <v>56</v>
      </c>
      <c r="C1320">
        <v>38</v>
      </c>
      <c r="D1320">
        <v>28</v>
      </c>
      <c r="E1320">
        <v>0</v>
      </c>
      <c r="F1320">
        <f t="shared" si="20"/>
        <v>1064</v>
      </c>
      <c r="G1320">
        <f>YEAR(VLOOKUP(A1320,orders!A:D,4,0))</f>
        <v>2014</v>
      </c>
      <c r="H1320">
        <f>MONTH(INDEX(orders!D:D,MATCH(A1320, orders!A:A,0)))</f>
        <v>11</v>
      </c>
      <c r="I1320" t="str">
        <f>VLOOKUP(VLOOKUP(B1320,products!A:F,6,0),categories!A:B,2,0)</f>
        <v>Grains &amp; Cereals</v>
      </c>
      <c r="J1320" t="str">
        <f>VLOOKUP(VLOOKUP(A1320,orders!A:B,2,0),customers!A:F,6,0)</f>
        <v>USA</v>
      </c>
      <c r="K1320" t="str">
        <f>VLOOKUP(VLOOKUP(A1320,orders!A:C,3,0),employees!A:B,2,0)</f>
        <v>Janet Leverling</v>
      </c>
    </row>
    <row r="1321" spans="1:11" x14ac:dyDescent="0.25">
      <c r="A1321">
        <v>10749</v>
      </c>
      <c r="B1321">
        <v>56</v>
      </c>
      <c r="C1321">
        <v>38</v>
      </c>
      <c r="D1321">
        <v>15</v>
      </c>
      <c r="E1321">
        <v>0</v>
      </c>
      <c r="F1321">
        <f t="shared" si="20"/>
        <v>570</v>
      </c>
      <c r="G1321">
        <f>YEAR(VLOOKUP(A1321,orders!A:D,4,0))</f>
        <v>2014</v>
      </c>
      <c r="H1321">
        <f>MONTH(INDEX(orders!D:D,MATCH(A1321, orders!A:A,0)))</f>
        <v>11</v>
      </c>
      <c r="I1321" t="str">
        <f>VLOOKUP(VLOOKUP(B1321,products!A:F,6,0),categories!A:B,2,0)</f>
        <v>Grains &amp; Cereals</v>
      </c>
      <c r="J1321" t="str">
        <f>VLOOKUP(VLOOKUP(A1321,orders!A:B,2,0),customers!A:F,6,0)</f>
        <v>UK</v>
      </c>
      <c r="K1321" t="str">
        <f>VLOOKUP(VLOOKUP(A1321,orders!A:C,3,0),employees!A:B,2,0)</f>
        <v>Margaret Peacock</v>
      </c>
    </row>
    <row r="1322" spans="1:11" x14ac:dyDescent="0.25">
      <c r="A1322">
        <v>10749</v>
      </c>
      <c r="B1322">
        <v>59</v>
      </c>
      <c r="C1322">
        <v>55</v>
      </c>
      <c r="D1322">
        <v>6</v>
      </c>
      <c r="E1322">
        <v>0</v>
      </c>
      <c r="F1322">
        <f t="shared" si="20"/>
        <v>330</v>
      </c>
      <c r="G1322">
        <f>YEAR(VLOOKUP(A1322,orders!A:D,4,0))</f>
        <v>2014</v>
      </c>
      <c r="H1322">
        <f>MONTH(INDEX(orders!D:D,MATCH(A1322, orders!A:A,0)))</f>
        <v>11</v>
      </c>
      <c r="I1322" t="str">
        <f>VLOOKUP(VLOOKUP(B1322,products!A:F,6,0),categories!A:B,2,0)</f>
        <v>Dairy Products</v>
      </c>
      <c r="J1322" t="str">
        <f>VLOOKUP(VLOOKUP(A1322,orders!A:B,2,0),customers!A:F,6,0)</f>
        <v>UK</v>
      </c>
      <c r="K1322" t="str">
        <f>VLOOKUP(VLOOKUP(A1322,orders!A:C,3,0),employees!A:B,2,0)</f>
        <v>Margaret Peacock</v>
      </c>
    </row>
    <row r="1323" spans="1:11" x14ac:dyDescent="0.25">
      <c r="A1323">
        <v>10749</v>
      </c>
      <c r="B1323">
        <v>76</v>
      </c>
      <c r="C1323">
        <v>18</v>
      </c>
      <c r="D1323">
        <v>10</v>
      </c>
      <c r="E1323">
        <v>0</v>
      </c>
      <c r="F1323">
        <f t="shared" si="20"/>
        <v>180</v>
      </c>
      <c r="G1323">
        <f>YEAR(VLOOKUP(A1323,orders!A:D,4,0))</f>
        <v>2014</v>
      </c>
      <c r="H1323">
        <f>MONTH(INDEX(orders!D:D,MATCH(A1323, orders!A:A,0)))</f>
        <v>11</v>
      </c>
      <c r="I1323" t="str">
        <f>VLOOKUP(VLOOKUP(B1323,products!A:F,6,0),categories!A:B,2,0)</f>
        <v>Beverages</v>
      </c>
      <c r="J1323" t="str">
        <f>VLOOKUP(VLOOKUP(A1323,orders!A:B,2,0),customers!A:F,6,0)</f>
        <v>UK</v>
      </c>
      <c r="K1323" t="str">
        <f>VLOOKUP(VLOOKUP(A1323,orders!A:C,3,0),employees!A:B,2,0)</f>
        <v>Margaret Peacock</v>
      </c>
    </row>
    <row r="1324" spans="1:11" x14ac:dyDescent="0.25">
      <c r="A1324">
        <v>10750</v>
      </c>
      <c r="B1324">
        <v>14</v>
      </c>
      <c r="C1324">
        <v>23.25</v>
      </c>
      <c r="D1324">
        <v>5</v>
      </c>
      <c r="E1324">
        <v>0.15</v>
      </c>
      <c r="F1324">
        <f t="shared" si="20"/>
        <v>98.8125</v>
      </c>
      <c r="G1324">
        <f>YEAR(VLOOKUP(A1324,orders!A:D,4,0))</f>
        <v>2014</v>
      </c>
      <c r="H1324">
        <f>MONTH(INDEX(orders!D:D,MATCH(A1324, orders!A:A,0)))</f>
        <v>11</v>
      </c>
      <c r="I1324" t="str">
        <f>VLOOKUP(VLOOKUP(B1324,products!A:F,6,0),categories!A:B,2,0)</f>
        <v>Produce</v>
      </c>
      <c r="J1324" t="str">
        <f>VLOOKUP(VLOOKUP(A1324,orders!A:B,2,0),customers!A:F,6,0)</f>
        <v>Finland</v>
      </c>
      <c r="K1324" t="str">
        <f>VLOOKUP(VLOOKUP(A1324,orders!A:C,3,0),employees!A:B,2,0)</f>
        <v>Anne Dodsworth</v>
      </c>
    </row>
    <row r="1325" spans="1:11" x14ac:dyDescent="0.25">
      <c r="A1325">
        <v>10750</v>
      </c>
      <c r="B1325">
        <v>45</v>
      </c>
      <c r="C1325">
        <v>9.5</v>
      </c>
      <c r="D1325">
        <v>40</v>
      </c>
      <c r="E1325">
        <v>0.15</v>
      </c>
      <c r="F1325">
        <f t="shared" si="20"/>
        <v>323</v>
      </c>
      <c r="G1325">
        <f>YEAR(VLOOKUP(A1325,orders!A:D,4,0))</f>
        <v>2014</v>
      </c>
      <c r="H1325">
        <f>MONTH(INDEX(orders!D:D,MATCH(A1325, orders!A:A,0)))</f>
        <v>11</v>
      </c>
      <c r="I1325" t="str">
        <f>VLOOKUP(VLOOKUP(B1325,products!A:F,6,0),categories!A:B,2,0)</f>
        <v>Seafood</v>
      </c>
      <c r="J1325" t="str">
        <f>VLOOKUP(VLOOKUP(A1325,orders!A:B,2,0),customers!A:F,6,0)</f>
        <v>Finland</v>
      </c>
      <c r="K1325" t="str">
        <f>VLOOKUP(VLOOKUP(A1325,orders!A:C,3,0),employees!A:B,2,0)</f>
        <v>Anne Dodsworth</v>
      </c>
    </row>
    <row r="1326" spans="1:11" x14ac:dyDescent="0.25">
      <c r="A1326">
        <v>10750</v>
      </c>
      <c r="B1326">
        <v>59</v>
      </c>
      <c r="C1326">
        <v>55</v>
      </c>
      <c r="D1326">
        <v>25</v>
      </c>
      <c r="E1326">
        <v>0.15</v>
      </c>
      <c r="F1326">
        <f t="shared" si="20"/>
        <v>1168.75</v>
      </c>
      <c r="G1326">
        <f>YEAR(VLOOKUP(A1326,orders!A:D,4,0))</f>
        <v>2014</v>
      </c>
      <c r="H1326">
        <f>MONTH(INDEX(orders!D:D,MATCH(A1326, orders!A:A,0)))</f>
        <v>11</v>
      </c>
      <c r="I1326" t="str">
        <f>VLOOKUP(VLOOKUP(B1326,products!A:F,6,0),categories!A:B,2,0)</f>
        <v>Dairy Products</v>
      </c>
      <c r="J1326" t="str">
        <f>VLOOKUP(VLOOKUP(A1326,orders!A:B,2,0),customers!A:F,6,0)</f>
        <v>Finland</v>
      </c>
      <c r="K1326" t="str">
        <f>VLOOKUP(VLOOKUP(A1326,orders!A:C,3,0),employees!A:B,2,0)</f>
        <v>Anne Dodsworth</v>
      </c>
    </row>
    <row r="1327" spans="1:11" x14ac:dyDescent="0.25">
      <c r="A1327">
        <v>10751</v>
      </c>
      <c r="B1327">
        <v>26</v>
      </c>
      <c r="C1327">
        <v>31.23</v>
      </c>
      <c r="D1327">
        <v>12</v>
      </c>
      <c r="E1327">
        <v>0.1</v>
      </c>
      <c r="F1327">
        <f t="shared" si="20"/>
        <v>337.28399999999999</v>
      </c>
      <c r="G1327">
        <f>YEAR(VLOOKUP(A1327,orders!A:D,4,0))</f>
        <v>2014</v>
      </c>
      <c r="H1327">
        <f>MONTH(INDEX(orders!D:D,MATCH(A1327, orders!A:A,0)))</f>
        <v>11</v>
      </c>
      <c r="I1327" t="str">
        <f>VLOOKUP(VLOOKUP(B1327,products!A:F,6,0),categories!A:B,2,0)</f>
        <v>Confections</v>
      </c>
      <c r="J1327" t="str">
        <f>VLOOKUP(VLOOKUP(A1327,orders!A:B,2,0),customers!A:F,6,0)</f>
        <v>Switzerland</v>
      </c>
      <c r="K1327" t="str">
        <f>VLOOKUP(VLOOKUP(A1327,orders!A:C,3,0),employees!A:B,2,0)</f>
        <v>Janet Leverling</v>
      </c>
    </row>
    <row r="1328" spans="1:11" x14ac:dyDescent="0.25">
      <c r="A1328">
        <v>10751</v>
      </c>
      <c r="B1328">
        <v>30</v>
      </c>
      <c r="C1328">
        <v>25.89</v>
      </c>
      <c r="D1328">
        <v>30</v>
      </c>
      <c r="E1328">
        <v>0</v>
      </c>
      <c r="F1328">
        <f t="shared" si="20"/>
        <v>776.7</v>
      </c>
      <c r="G1328">
        <f>YEAR(VLOOKUP(A1328,orders!A:D,4,0))</f>
        <v>2014</v>
      </c>
      <c r="H1328">
        <f>MONTH(INDEX(orders!D:D,MATCH(A1328, orders!A:A,0)))</f>
        <v>11</v>
      </c>
      <c r="I1328" t="str">
        <f>VLOOKUP(VLOOKUP(B1328,products!A:F,6,0),categories!A:B,2,0)</f>
        <v>Seafood</v>
      </c>
      <c r="J1328" t="str">
        <f>VLOOKUP(VLOOKUP(A1328,orders!A:B,2,0),customers!A:F,6,0)</f>
        <v>Switzerland</v>
      </c>
      <c r="K1328" t="str">
        <f>VLOOKUP(VLOOKUP(A1328,orders!A:C,3,0),employees!A:B,2,0)</f>
        <v>Janet Leverling</v>
      </c>
    </row>
    <row r="1329" spans="1:11" x14ac:dyDescent="0.25">
      <c r="A1329">
        <v>10751</v>
      </c>
      <c r="B1329">
        <v>50</v>
      </c>
      <c r="C1329">
        <v>16.25</v>
      </c>
      <c r="D1329">
        <v>20</v>
      </c>
      <c r="E1329">
        <v>0.1</v>
      </c>
      <c r="F1329">
        <f t="shared" si="20"/>
        <v>292.5</v>
      </c>
      <c r="G1329">
        <f>YEAR(VLOOKUP(A1329,orders!A:D,4,0))</f>
        <v>2014</v>
      </c>
      <c r="H1329">
        <f>MONTH(INDEX(orders!D:D,MATCH(A1329, orders!A:A,0)))</f>
        <v>11</v>
      </c>
      <c r="I1329" t="str">
        <f>VLOOKUP(VLOOKUP(B1329,products!A:F,6,0),categories!A:B,2,0)</f>
        <v>Confections</v>
      </c>
      <c r="J1329" t="str">
        <f>VLOOKUP(VLOOKUP(A1329,orders!A:B,2,0),customers!A:F,6,0)</f>
        <v>Switzerland</v>
      </c>
      <c r="K1329" t="str">
        <f>VLOOKUP(VLOOKUP(A1329,orders!A:C,3,0),employees!A:B,2,0)</f>
        <v>Janet Leverling</v>
      </c>
    </row>
    <row r="1330" spans="1:11" x14ac:dyDescent="0.25">
      <c r="A1330">
        <v>10751</v>
      </c>
      <c r="B1330">
        <v>73</v>
      </c>
      <c r="C1330">
        <v>15</v>
      </c>
      <c r="D1330">
        <v>15</v>
      </c>
      <c r="E1330">
        <v>0</v>
      </c>
      <c r="F1330">
        <f t="shared" si="20"/>
        <v>225</v>
      </c>
      <c r="G1330">
        <f>YEAR(VLOOKUP(A1330,orders!A:D,4,0))</f>
        <v>2014</v>
      </c>
      <c r="H1330">
        <f>MONTH(INDEX(orders!D:D,MATCH(A1330, orders!A:A,0)))</f>
        <v>11</v>
      </c>
      <c r="I1330" t="str">
        <f>VLOOKUP(VLOOKUP(B1330,products!A:F,6,0),categories!A:B,2,0)</f>
        <v>Seafood</v>
      </c>
      <c r="J1330" t="str">
        <f>VLOOKUP(VLOOKUP(A1330,orders!A:B,2,0),customers!A:F,6,0)</f>
        <v>Switzerland</v>
      </c>
      <c r="K1330" t="str">
        <f>VLOOKUP(VLOOKUP(A1330,orders!A:C,3,0),employees!A:B,2,0)</f>
        <v>Janet Leverling</v>
      </c>
    </row>
    <row r="1331" spans="1:11" x14ac:dyDescent="0.25">
      <c r="A1331">
        <v>10752</v>
      </c>
      <c r="B1331">
        <v>1</v>
      </c>
      <c r="C1331">
        <v>18</v>
      </c>
      <c r="D1331">
        <v>8</v>
      </c>
      <c r="E1331">
        <v>0</v>
      </c>
      <c r="F1331">
        <f t="shared" si="20"/>
        <v>144</v>
      </c>
      <c r="G1331">
        <f>YEAR(VLOOKUP(A1331,orders!A:D,4,0))</f>
        <v>2014</v>
      </c>
      <c r="H1331">
        <f>MONTH(INDEX(orders!D:D,MATCH(A1331, orders!A:A,0)))</f>
        <v>11</v>
      </c>
      <c r="I1331" t="str">
        <f>VLOOKUP(VLOOKUP(B1331,products!A:F,6,0),categories!A:B,2,0)</f>
        <v>Beverages</v>
      </c>
      <c r="J1331" t="str">
        <f>VLOOKUP(VLOOKUP(A1331,orders!A:B,2,0),customers!A:F,6,0)</f>
        <v>UK</v>
      </c>
      <c r="K1331" t="str">
        <f>VLOOKUP(VLOOKUP(A1331,orders!A:C,3,0),employees!A:B,2,0)</f>
        <v>Andrew Fuller</v>
      </c>
    </row>
    <row r="1332" spans="1:11" x14ac:dyDescent="0.25">
      <c r="A1332">
        <v>10752</v>
      </c>
      <c r="B1332">
        <v>69</v>
      </c>
      <c r="C1332">
        <v>36</v>
      </c>
      <c r="D1332">
        <v>3</v>
      </c>
      <c r="E1332">
        <v>0</v>
      </c>
      <c r="F1332">
        <f t="shared" si="20"/>
        <v>108</v>
      </c>
      <c r="G1332">
        <f>YEAR(VLOOKUP(A1332,orders!A:D,4,0))</f>
        <v>2014</v>
      </c>
      <c r="H1332">
        <f>MONTH(INDEX(orders!D:D,MATCH(A1332, orders!A:A,0)))</f>
        <v>11</v>
      </c>
      <c r="I1332" t="str">
        <f>VLOOKUP(VLOOKUP(B1332,products!A:F,6,0),categories!A:B,2,0)</f>
        <v>Dairy Products</v>
      </c>
      <c r="J1332" t="str">
        <f>VLOOKUP(VLOOKUP(A1332,orders!A:B,2,0),customers!A:F,6,0)</f>
        <v>UK</v>
      </c>
      <c r="K1332" t="str">
        <f>VLOOKUP(VLOOKUP(A1332,orders!A:C,3,0),employees!A:B,2,0)</f>
        <v>Andrew Fuller</v>
      </c>
    </row>
    <row r="1333" spans="1:11" x14ac:dyDescent="0.25">
      <c r="A1333">
        <v>10753</v>
      </c>
      <c r="B1333">
        <v>45</v>
      </c>
      <c r="C1333">
        <v>9.5</v>
      </c>
      <c r="D1333">
        <v>4</v>
      </c>
      <c r="E1333">
        <v>0</v>
      </c>
      <c r="F1333">
        <f t="shared" si="20"/>
        <v>38</v>
      </c>
      <c r="G1333">
        <f>YEAR(VLOOKUP(A1333,orders!A:D,4,0))</f>
        <v>2014</v>
      </c>
      <c r="H1333">
        <f>MONTH(INDEX(orders!D:D,MATCH(A1333, orders!A:A,0)))</f>
        <v>11</v>
      </c>
      <c r="I1333" t="str">
        <f>VLOOKUP(VLOOKUP(B1333,products!A:F,6,0),categories!A:B,2,0)</f>
        <v>Seafood</v>
      </c>
      <c r="J1333" t="str">
        <f>VLOOKUP(VLOOKUP(A1333,orders!A:B,2,0),customers!A:F,6,0)</f>
        <v>Italy</v>
      </c>
      <c r="K1333" t="str">
        <f>VLOOKUP(VLOOKUP(A1333,orders!A:C,3,0),employees!A:B,2,0)</f>
        <v>Janet Leverling</v>
      </c>
    </row>
    <row r="1334" spans="1:11" x14ac:dyDescent="0.25">
      <c r="A1334">
        <v>10753</v>
      </c>
      <c r="B1334">
        <v>74</v>
      </c>
      <c r="C1334">
        <v>10</v>
      </c>
      <c r="D1334">
        <v>5</v>
      </c>
      <c r="E1334">
        <v>0</v>
      </c>
      <c r="F1334">
        <f t="shared" si="20"/>
        <v>50</v>
      </c>
      <c r="G1334">
        <f>YEAR(VLOOKUP(A1334,orders!A:D,4,0))</f>
        <v>2014</v>
      </c>
      <c r="H1334">
        <f>MONTH(INDEX(orders!D:D,MATCH(A1334, orders!A:A,0)))</f>
        <v>11</v>
      </c>
      <c r="I1334" t="str">
        <f>VLOOKUP(VLOOKUP(B1334,products!A:F,6,0),categories!A:B,2,0)</f>
        <v>Produce</v>
      </c>
      <c r="J1334" t="str">
        <f>VLOOKUP(VLOOKUP(A1334,orders!A:B,2,0),customers!A:F,6,0)</f>
        <v>Italy</v>
      </c>
      <c r="K1334" t="str">
        <f>VLOOKUP(VLOOKUP(A1334,orders!A:C,3,0),employees!A:B,2,0)</f>
        <v>Janet Leverling</v>
      </c>
    </row>
    <row r="1335" spans="1:11" x14ac:dyDescent="0.25">
      <c r="A1335">
        <v>10754</v>
      </c>
      <c r="B1335">
        <v>40</v>
      </c>
      <c r="C1335">
        <v>18.399999999999999</v>
      </c>
      <c r="D1335">
        <v>3</v>
      </c>
      <c r="E1335">
        <v>0</v>
      </c>
      <c r="F1335">
        <f t="shared" si="20"/>
        <v>55.199999999999996</v>
      </c>
      <c r="G1335">
        <f>YEAR(VLOOKUP(A1335,orders!A:D,4,0))</f>
        <v>2014</v>
      </c>
      <c r="H1335">
        <f>MONTH(INDEX(orders!D:D,MATCH(A1335, orders!A:A,0)))</f>
        <v>11</v>
      </c>
      <c r="I1335" t="str">
        <f>VLOOKUP(VLOOKUP(B1335,products!A:F,6,0),categories!A:B,2,0)</f>
        <v>Seafood</v>
      </c>
      <c r="J1335" t="str">
        <f>VLOOKUP(VLOOKUP(A1335,orders!A:B,2,0),customers!A:F,6,0)</f>
        <v>Italy</v>
      </c>
      <c r="K1335" t="str">
        <f>VLOOKUP(VLOOKUP(A1335,orders!A:C,3,0),employees!A:B,2,0)</f>
        <v>Michael Suyama</v>
      </c>
    </row>
    <row r="1336" spans="1:11" x14ac:dyDescent="0.25">
      <c r="A1336">
        <v>10755</v>
      </c>
      <c r="B1336">
        <v>47</v>
      </c>
      <c r="C1336">
        <v>9.5</v>
      </c>
      <c r="D1336">
        <v>30</v>
      </c>
      <c r="E1336">
        <v>0.25</v>
      </c>
      <c r="F1336">
        <f t="shared" si="20"/>
        <v>213.75</v>
      </c>
      <c r="G1336">
        <f>YEAR(VLOOKUP(A1336,orders!A:D,4,0))</f>
        <v>2014</v>
      </c>
      <c r="H1336">
        <f>MONTH(INDEX(orders!D:D,MATCH(A1336, orders!A:A,0)))</f>
        <v>11</v>
      </c>
      <c r="I1336" t="str">
        <f>VLOOKUP(VLOOKUP(B1336,products!A:F,6,0),categories!A:B,2,0)</f>
        <v>Confections</v>
      </c>
      <c r="J1336" t="str">
        <f>VLOOKUP(VLOOKUP(A1336,orders!A:B,2,0),customers!A:F,6,0)</f>
        <v>France</v>
      </c>
      <c r="K1336" t="str">
        <f>VLOOKUP(VLOOKUP(A1336,orders!A:C,3,0),employees!A:B,2,0)</f>
        <v>Margaret Peacock</v>
      </c>
    </row>
    <row r="1337" spans="1:11" x14ac:dyDescent="0.25">
      <c r="A1337">
        <v>10755</v>
      </c>
      <c r="B1337">
        <v>56</v>
      </c>
      <c r="C1337">
        <v>38</v>
      </c>
      <c r="D1337">
        <v>30</v>
      </c>
      <c r="E1337">
        <v>0.25</v>
      </c>
      <c r="F1337">
        <f t="shared" si="20"/>
        <v>855</v>
      </c>
      <c r="G1337">
        <f>YEAR(VLOOKUP(A1337,orders!A:D,4,0))</f>
        <v>2014</v>
      </c>
      <c r="H1337">
        <f>MONTH(INDEX(orders!D:D,MATCH(A1337, orders!A:A,0)))</f>
        <v>11</v>
      </c>
      <c r="I1337" t="str">
        <f>VLOOKUP(VLOOKUP(B1337,products!A:F,6,0),categories!A:B,2,0)</f>
        <v>Grains &amp; Cereals</v>
      </c>
      <c r="J1337" t="str">
        <f>VLOOKUP(VLOOKUP(A1337,orders!A:B,2,0),customers!A:F,6,0)</f>
        <v>France</v>
      </c>
      <c r="K1337" t="str">
        <f>VLOOKUP(VLOOKUP(A1337,orders!A:C,3,0),employees!A:B,2,0)</f>
        <v>Margaret Peacock</v>
      </c>
    </row>
    <row r="1338" spans="1:11" x14ac:dyDescent="0.25">
      <c r="A1338">
        <v>10755</v>
      </c>
      <c r="B1338">
        <v>57</v>
      </c>
      <c r="C1338">
        <v>19.5</v>
      </c>
      <c r="D1338">
        <v>14</v>
      </c>
      <c r="E1338">
        <v>0.25</v>
      </c>
      <c r="F1338">
        <f t="shared" si="20"/>
        <v>204.75</v>
      </c>
      <c r="G1338">
        <f>YEAR(VLOOKUP(A1338,orders!A:D,4,0))</f>
        <v>2014</v>
      </c>
      <c r="H1338">
        <f>MONTH(INDEX(orders!D:D,MATCH(A1338, orders!A:A,0)))</f>
        <v>11</v>
      </c>
      <c r="I1338" t="str">
        <f>VLOOKUP(VLOOKUP(B1338,products!A:F,6,0),categories!A:B,2,0)</f>
        <v>Grains &amp; Cereals</v>
      </c>
      <c r="J1338" t="str">
        <f>VLOOKUP(VLOOKUP(A1338,orders!A:B,2,0),customers!A:F,6,0)</f>
        <v>France</v>
      </c>
      <c r="K1338" t="str">
        <f>VLOOKUP(VLOOKUP(A1338,orders!A:C,3,0),employees!A:B,2,0)</f>
        <v>Margaret Peacock</v>
      </c>
    </row>
    <row r="1339" spans="1:11" x14ac:dyDescent="0.25">
      <c r="A1339">
        <v>10755</v>
      </c>
      <c r="B1339">
        <v>69</v>
      </c>
      <c r="C1339">
        <v>36</v>
      </c>
      <c r="D1339">
        <v>25</v>
      </c>
      <c r="E1339">
        <v>0.25</v>
      </c>
      <c r="F1339">
        <f t="shared" si="20"/>
        <v>675</v>
      </c>
      <c r="G1339">
        <f>YEAR(VLOOKUP(A1339,orders!A:D,4,0))</f>
        <v>2014</v>
      </c>
      <c r="H1339">
        <f>MONTH(INDEX(orders!D:D,MATCH(A1339, orders!A:A,0)))</f>
        <v>11</v>
      </c>
      <c r="I1339" t="str">
        <f>VLOOKUP(VLOOKUP(B1339,products!A:F,6,0),categories!A:B,2,0)</f>
        <v>Dairy Products</v>
      </c>
      <c r="J1339" t="str">
        <f>VLOOKUP(VLOOKUP(A1339,orders!A:B,2,0),customers!A:F,6,0)</f>
        <v>France</v>
      </c>
      <c r="K1339" t="str">
        <f>VLOOKUP(VLOOKUP(A1339,orders!A:C,3,0),employees!A:B,2,0)</f>
        <v>Margaret Peacock</v>
      </c>
    </row>
    <row r="1340" spans="1:11" x14ac:dyDescent="0.25">
      <c r="A1340">
        <v>10756</v>
      </c>
      <c r="B1340">
        <v>18</v>
      </c>
      <c r="C1340">
        <v>62.5</v>
      </c>
      <c r="D1340">
        <v>21</v>
      </c>
      <c r="E1340">
        <v>0.2</v>
      </c>
      <c r="F1340">
        <f t="shared" si="20"/>
        <v>1050</v>
      </c>
      <c r="G1340">
        <f>YEAR(VLOOKUP(A1340,orders!A:D,4,0))</f>
        <v>2014</v>
      </c>
      <c r="H1340">
        <f>MONTH(INDEX(orders!D:D,MATCH(A1340, orders!A:A,0)))</f>
        <v>11</v>
      </c>
      <c r="I1340" t="str">
        <f>VLOOKUP(VLOOKUP(B1340,products!A:F,6,0),categories!A:B,2,0)</f>
        <v>Seafood</v>
      </c>
      <c r="J1340" t="str">
        <f>VLOOKUP(VLOOKUP(A1340,orders!A:B,2,0),customers!A:F,6,0)</f>
        <v>USA</v>
      </c>
      <c r="K1340" t="str">
        <f>VLOOKUP(VLOOKUP(A1340,orders!A:C,3,0),employees!A:B,2,0)</f>
        <v>Laura Callahan</v>
      </c>
    </row>
    <row r="1341" spans="1:11" x14ac:dyDescent="0.25">
      <c r="A1341">
        <v>10756</v>
      </c>
      <c r="B1341">
        <v>36</v>
      </c>
      <c r="C1341">
        <v>19</v>
      </c>
      <c r="D1341">
        <v>20</v>
      </c>
      <c r="E1341">
        <v>0.2</v>
      </c>
      <c r="F1341">
        <f t="shared" si="20"/>
        <v>304</v>
      </c>
      <c r="G1341">
        <f>YEAR(VLOOKUP(A1341,orders!A:D,4,0))</f>
        <v>2014</v>
      </c>
      <c r="H1341">
        <f>MONTH(INDEX(orders!D:D,MATCH(A1341, orders!A:A,0)))</f>
        <v>11</v>
      </c>
      <c r="I1341" t="str">
        <f>VLOOKUP(VLOOKUP(B1341,products!A:F,6,0),categories!A:B,2,0)</f>
        <v>Seafood</v>
      </c>
      <c r="J1341" t="str">
        <f>VLOOKUP(VLOOKUP(A1341,orders!A:B,2,0),customers!A:F,6,0)</f>
        <v>USA</v>
      </c>
      <c r="K1341" t="str">
        <f>VLOOKUP(VLOOKUP(A1341,orders!A:C,3,0),employees!A:B,2,0)</f>
        <v>Laura Callahan</v>
      </c>
    </row>
    <row r="1342" spans="1:11" x14ac:dyDescent="0.25">
      <c r="A1342">
        <v>10756</v>
      </c>
      <c r="B1342">
        <v>68</v>
      </c>
      <c r="C1342">
        <v>12.5</v>
      </c>
      <c r="D1342">
        <v>6</v>
      </c>
      <c r="E1342">
        <v>0.2</v>
      </c>
      <c r="F1342">
        <f t="shared" si="20"/>
        <v>60</v>
      </c>
      <c r="G1342">
        <f>YEAR(VLOOKUP(A1342,orders!A:D,4,0))</f>
        <v>2014</v>
      </c>
      <c r="H1342">
        <f>MONTH(INDEX(orders!D:D,MATCH(A1342, orders!A:A,0)))</f>
        <v>11</v>
      </c>
      <c r="I1342" t="str">
        <f>VLOOKUP(VLOOKUP(B1342,products!A:F,6,0),categories!A:B,2,0)</f>
        <v>Confections</v>
      </c>
      <c r="J1342" t="str">
        <f>VLOOKUP(VLOOKUP(A1342,orders!A:B,2,0),customers!A:F,6,0)</f>
        <v>USA</v>
      </c>
      <c r="K1342" t="str">
        <f>VLOOKUP(VLOOKUP(A1342,orders!A:C,3,0),employees!A:B,2,0)</f>
        <v>Laura Callahan</v>
      </c>
    </row>
    <row r="1343" spans="1:11" x14ac:dyDescent="0.25">
      <c r="A1343">
        <v>10756</v>
      </c>
      <c r="B1343">
        <v>69</v>
      </c>
      <c r="C1343">
        <v>36</v>
      </c>
      <c r="D1343">
        <v>20</v>
      </c>
      <c r="E1343">
        <v>0.2</v>
      </c>
      <c r="F1343">
        <f t="shared" si="20"/>
        <v>576</v>
      </c>
      <c r="G1343">
        <f>YEAR(VLOOKUP(A1343,orders!A:D,4,0))</f>
        <v>2014</v>
      </c>
      <c r="H1343">
        <f>MONTH(INDEX(orders!D:D,MATCH(A1343, orders!A:A,0)))</f>
        <v>11</v>
      </c>
      <c r="I1343" t="str">
        <f>VLOOKUP(VLOOKUP(B1343,products!A:F,6,0),categories!A:B,2,0)</f>
        <v>Dairy Products</v>
      </c>
      <c r="J1343" t="str">
        <f>VLOOKUP(VLOOKUP(A1343,orders!A:B,2,0),customers!A:F,6,0)</f>
        <v>USA</v>
      </c>
      <c r="K1343" t="str">
        <f>VLOOKUP(VLOOKUP(A1343,orders!A:C,3,0),employees!A:B,2,0)</f>
        <v>Laura Callahan</v>
      </c>
    </row>
    <row r="1344" spans="1:11" x14ac:dyDescent="0.25">
      <c r="A1344">
        <v>10757</v>
      </c>
      <c r="B1344">
        <v>34</v>
      </c>
      <c r="C1344">
        <v>14</v>
      </c>
      <c r="D1344">
        <v>30</v>
      </c>
      <c r="E1344">
        <v>0</v>
      </c>
      <c r="F1344">
        <f t="shared" si="20"/>
        <v>420</v>
      </c>
      <c r="G1344">
        <f>YEAR(VLOOKUP(A1344,orders!A:D,4,0))</f>
        <v>2014</v>
      </c>
      <c r="H1344">
        <f>MONTH(INDEX(orders!D:D,MATCH(A1344, orders!A:A,0)))</f>
        <v>11</v>
      </c>
      <c r="I1344" t="str">
        <f>VLOOKUP(VLOOKUP(B1344,products!A:F,6,0),categories!A:B,2,0)</f>
        <v>Beverages</v>
      </c>
      <c r="J1344" t="str">
        <f>VLOOKUP(VLOOKUP(A1344,orders!A:B,2,0),customers!A:F,6,0)</f>
        <v>USA</v>
      </c>
      <c r="K1344" t="str">
        <f>VLOOKUP(VLOOKUP(A1344,orders!A:C,3,0),employees!A:B,2,0)</f>
        <v>Michael Suyama</v>
      </c>
    </row>
    <row r="1345" spans="1:11" x14ac:dyDescent="0.25">
      <c r="A1345">
        <v>10757</v>
      </c>
      <c r="B1345">
        <v>59</v>
      </c>
      <c r="C1345">
        <v>55</v>
      </c>
      <c r="D1345">
        <v>7</v>
      </c>
      <c r="E1345">
        <v>0</v>
      </c>
      <c r="F1345">
        <f t="shared" si="20"/>
        <v>385</v>
      </c>
      <c r="G1345">
        <f>YEAR(VLOOKUP(A1345,orders!A:D,4,0))</f>
        <v>2014</v>
      </c>
      <c r="H1345">
        <f>MONTH(INDEX(orders!D:D,MATCH(A1345, orders!A:A,0)))</f>
        <v>11</v>
      </c>
      <c r="I1345" t="str">
        <f>VLOOKUP(VLOOKUP(B1345,products!A:F,6,0),categories!A:B,2,0)</f>
        <v>Dairy Products</v>
      </c>
      <c r="J1345" t="str">
        <f>VLOOKUP(VLOOKUP(A1345,orders!A:B,2,0),customers!A:F,6,0)</f>
        <v>USA</v>
      </c>
      <c r="K1345" t="str">
        <f>VLOOKUP(VLOOKUP(A1345,orders!A:C,3,0),employees!A:B,2,0)</f>
        <v>Michael Suyama</v>
      </c>
    </row>
    <row r="1346" spans="1:11" x14ac:dyDescent="0.25">
      <c r="A1346">
        <v>10757</v>
      </c>
      <c r="B1346">
        <v>62</v>
      </c>
      <c r="C1346">
        <v>49.3</v>
      </c>
      <c r="D1346">
        <v>30</v>
      </c>
      <c r="E1346">
        <v>0</v>
      </c>
      <c r="F1346">
        <f t="shared" si="20"/>
        <v>1479</v>
      </c>
      <c r="G1346">
        <f>YEAR(VLOOKUP(A1346,orders!A:D,4,0))</f>
        <v>2014</v>
      </c>
      <c r="H1346">
        <f>MONTH(INDEX(orders!D:D,MATCH(A1346, orders!A:A,0)))</f>
        <v>11</v>
      </c>
      <c r="I1346" t="str">
        <f>VLOOKUP(VLOOKUP(B1346,products!A:F,6,0),categories!A:B,2,0)</f>
        <v>Confections</v>
      </c>
      <c r="J1346" t="str">
        <f>VLOOKUP(VLOOKUP(A1346,orders!A:B,2,0),customers!A:F,6,0)</f>
        <v>USA</v>
      </c>
      <c r="K1346" t="str">
        <f>VLOOKUP(VLOOKUP(A1346,orders!A:C,3,0),employees!A:B,2,0)</f>
        <v>Michael Suyama</v>
      </c>
    </row>
    <row r="1347" spans="1:11" x14ac:dyDescent="0.25">
      <c r="A1347">
        <v>10757</v>
      </c>
      <c r="B1347">
        <v>64</v>
      </c>
      <c r="C1347">
        <v>33.25</v>
      </c>
      <c r="D1347">
        <v>24</v>
      </c>
      <c r="E1347">
        <v>0</v>
      </c>
      <c r="F1347">
        <f t="shared" ref="F1347:F1410" si="21">C1347*D1347*(1-E1347)</f>
        <v>798</v>
      </c>
      <c r="G1347">
        <f>YEAR(VLOOKUP(A1347,orders!A:D,4,0))</f>
        <v>2014</v>
      </c>
      <c r="H1347">
        <f>MONTH(INDEX(orders!D:D,MATCH(A1347, orders!A:A,0)))</f>
        <v>11</v>
      </c>
      <c r="I1347" t="str">
        <f>VLOOKUP(VLOOKUP(B1347,products!A:F,6,0),categories!A:B,2,0)</f>
        <v>Grains &amp; Cereals</v>
      </c>
      <c r="J1347" t="str">
        <f>VLOOKUP(VLOOKUP(A1347,orders!A:B,2,0),customers!A:F,6,0)</f>
        <v>USA</v>
      </c>
      <c r="K1347" t="str">
        <f>VLOOKUP(VLOOKUP(A1347,orders!A:C,3,0),employees!A:B,2,0)</f>
        <v>Michael Suyama</v>
      </c>
    </row>
    <row r="1348" spans="1:11" x14ac:dyDescent="0.25">
      <c r="A1348">
        <v>10758</v>
      </c>
      <c r="B1348">
        <v>26</v>
      </c>
      <c r="C1348">
        <v>31.23</v>
      </c>
      <c r="D1348">
        <v>20</v>
      </c>
      <c r="E1348">
        <v>0</v>
      </c>
      <c r="F1348">
        <f t="shared" si="21"/>
        <v>624.6</v>
      </c>
      <c r="G1348">
        <f>YEAR(VLOOKUP(A1348,orders!A:D,4,0))</f>
        <v>2014</v>
      </c>
      <c r="H1348">
        <f>MONTH(INDEX(orders!D:D,MATCH(A1348, orders!A:A,0)))</f>
        <v>11</v>
      </c>
      <c r="I1348" t="str">
        <f>VLOOKUP(VLOOKUP(B1348,products!A:F,6,0),categories!A:B,2,0)</f>
        <v>Confections</v>
      </c>
      <c r="J1348" t="str">
        <f>VLOOKUP(VLOOKUP(A1348,orders!A:B,2,0),customers!A:F,6,0)</f>
        <v>Switzerland</v>
      </c>
      <c r="K1348" t="str">
        <f>VLOOKUP(VLOOKUP(A1348,orders!A:C,3,0),employees!A:B,2,0)</f>
        <v>Janet Leverling</v>
      </c>
    </row>
    <row r="1349" spans="1:11" x14ac:dyDescent="0.25">
      <c r="A1349">
        <v>10758</v>
      </c>
      <c r="B1349">
        <v>52</v>
      </c>
      <c r="C1349">
        <v>7</v>
      </c>
      <c r="D1349">
        <v>60</v>
      </c>
      <c r="E1349">
        <v>0</v>
      </c>
      <c r="F1349">
        <f t="shared" si="21"/>
        <v>420</v>
      </c>
      <c r="G1349">
        <f>YEAR(VLOOKUP(A1349,orders!A:D,4,0))</f>
        <v>2014</v>
      </c>
      <c r="H1349">
        <f>MONTH(INDEX(orders!D:D,MATCH(A1349, orders!A:A,0)))</f>
        <v>11</v>
      </c>
      <c r="I1349" t="str">
        <f>VLOOKUP(VLOOKUP(B1349,products!A:F,6,0),categories!A:B,2,0)</f>
        <v>Grains &amp; Cereals</v>
      </c>
      <c r="J1349" t="str">
        <f>VLOOKUP(VLOOKUP(A1349,orders!A:B,2,0),customers!A:F,6,0)</f>
        <v>Switzerland</v>
      </c>
      <c r="K1349" t="str">
        <f>VLOOKUP(VLOOKUP(A1349,orders!A:C,3,0),employees!A:B,2,0)</f>
        <v>Janet Leverling</v>
      </c>
    </row>
    <row r="1350" spans="1:11" x14ac:dyDescent="0.25">
      <c r="A1350">
        <v>10758</v>
      </c>
      <c r="B1350">
        <v>70</v>
      </c>
      <c r="C1350">
        <v>15</v>
      </c>
      <c r="D1350">
        <v>40</v>
      </c>
      <c r="E1350">
        <v>0</v>
      </c>
      <c r="F1350">
        <f t="shared" si="21"/>
        <v>600</v>
      </c>
      <c r="G1350">
        <f>YEAR(VLOOKUP(A1350,orders!A:D,4,0))</f>
        <v>2014</v>
      </c>
      <c r="H1350">
        <f>MONTH(INDEX(orders!D:D,MATCH(A1350, orders!A:A,0)))</f>
        <v>11</v>
      </c>
      <c r="I1350" t="str">
        <f>VLOOKUP(VLOOKUP(B1350,products!A:F,6,0),categories!A:B,2,0)</f>
        <v>Beverages</v>
      </c>
      <c r="J1350" t="str">
        <f>VLOOKUP(VLOOKUP(A1350,orders!A:B,2,0),customers!A:F,6,0)</f>
        <v>Switzerland</v>
      </c>
      <c r="K1350" t="str">
        <f>VLOOKUP(VLOOKUP(A1350,orders!A:C,3,0),employees!A:B,2,0)</f>
        <v>Janet Leverling</v>
      </c>
    </row>
    <row r="1351" spans="1:11" x14ac:dyDescent="0.25">
      <c r="A1351">
        <v>10759</v>
      </c>
      <c r="B1351">
        <v>32</v>
      </c>
      <c r="C1351">
        <v>32</v>
      </c>
      <c r="D1351">
        <v>10</v>
      </c>
      <c r="E1351">
        <v>0</v>
      </c>
      <c r="F1351">
        <f t="shared" si="21"/>
        <v>320</v>
      </c>
      <c r="G1351">
        <f>YEAR(VLOOKUP(A1351,orders!A:D,4,0))</f>
        <v>2014</v>
      </c>
      <c r="H1351">
        <f>MONTH(INDEX(orders!D:D,MATCH(A1351, orders!A:A,0)))</f>
        <v>11</v>
      </c>
      <c r="I1351" t="str">
        <f>VLOOKUP(VLOOKUP(B1351,products!A:F,6,0),categories!A:B,2,0)</f>
        <v>Dairy Products</v>
      </c>
      <c r="J1351" t="str">
        <f>VLOOKUP(VLOOKUP(A1351,orders!A:B,2,0),customers!A:F,6,0)</f>
        <v>Mexico</v>
      </c>
      <c r="K1351" t="str">
        <f>VLOOKUP(VLOOKUP(A1351,orders!A:C,3,0),employees!A:B,2,0)</f>
        <v>Janet Leverling</v>
      </c>
    </row>
    <row r="1352" spans="1:11" x14ac:dyDescent="0.25">
      <c r="A1352">
        <v>10760</v>
      </c>
      <c r="B1352">
        <v>25</v>
      </c>
      <c r="C1352">
        <v>14</v>
      </c>
      <c r="D1352">
        <v>12</v>
      </c>
      <c r="E1352">
        <v>0.25</v>
      </c>
      <c r="F1352">
        <f t="shared" si="21"/>
        <v>126</v>
      </c>
      <c r="G1352">
        <f>YEAR(VLOOKUP(A1352,orders!A:D,4,0))</f>
        <v>2014</v>
      </c>
      <c r="H1352">
        <f>MONTH(INDEX(orders!D:D,MATCH(A1352, orders!A:A,0)))</f>
        <v>12</v>
      </c>
      <c r="I1352" t="str">
        <f>VLOOKUP(VLOOKUP(B1352,products!A:F,6,0),categories!A:B,2,0)</f>
        <v>Confections</v>
      </c>
      <c r="J1352" t="str">
        <f>VLOOKUP(VLOOKUP(A1352,orders!A:B,2,0),customers!A:F,6,0)</f>
        <v>Belgium</v>
      </c>
      <c r="K1352" t="str">
        <f>VLOOKUP(VLOOKUP(A1352,orders!A:C,3,0),employees!A:B,2,0)</f>
        <v>Margaret Peacock</v>
      </c>
    </row>
    <row r="1353" spans="1:11" x14ac:dyDescent="0.25">
      <c r="A1353">
        <v>10760</v>
      </c>
      <c r="B1353">
        <v>27</v>
      </c>
      <c r="C1353">
        <v>43.9</v>
      </c>
      <c r="D1353">
        <v>40</v>
      </c>
      <c r="E1353">
        <v>0</v>
      </c>
      <c r="F1353">
        <f t="shared" si="21"/>
        <v>1756</v>
      </c>
      <c r="G1353">
        <f>YEAR(VLOOKUP(A1353,orders!A:D,4,0))</f>
        <v>2014</v>
      </c>
      <c r="H1353">
        <f>MONTH(INDEX(orders!D:D,MATCH(A1353, orders!A:A,0)))</f>
        <v>12</v>
      </c>
      <c r="I1353" t="str">
        <f>VLOOKUP(VLOOKUP(B1353,products!A:F,6,0),categories!A:B,2,0)</f>
        <v>Confections</v>
      </c>
      <c r="J1353" t="str">
        <f>VLOOKUP(VLOOKUP(A1353,orders!A:B,2,0),customers!A:F,6,0)</f>
        <v>Belgium</v>
      </c>
      <c r="K1353" t="str">
        <f>VLOOKUP(VLOOKUP(A1353,orders!A:C,3,0),employees!A:B,2,0)</f>
        <v>Margaret Peacock</v>
      </c>
    </row>
    <row r="1354" spans="1:11" x14ac:dyDescent="0.25">
      <c r="A1354">
        <v>10760</v>
      </c>
      <c r="B1354">
        <v>43</v>
      </c>
      <c r="C1354">
        <v>46</v>
      </c>
      <c r="D1354">
        <v>30</v>
      </c>
      <c r="E1354">
        <v>0.25</v>
      </c>
      <c r="F1354">
        <f t="shared" si="21"/>
        <v>1035</v>
      </c>
      <c r="G1354">
        <f>YEAR(VLOOKUP(A1354,orders!A:D,4,0))</f>
        <v>2014</v>
      </c>
      <c r="H1354">
        <f>MONTH(INDEX(orders!D:D,MATCH(A1354, orders!A:A,0)))</f>
        <v>12</v>
      </c>
      <c r="I1354" t="str">
        <f>VLOOKUP(VLOOKUP(B1354,products!A:F,6,0),categories!A:B,2,0)</f>
        <v>Beverages</v>
      </c>
      <c r="J1354" t="str">
        <f>VLOOKUP(VLOOKUP(A1354,orders!A:B,2,0),customers!A:F,6,0)</f>
        <v>Belgium</v>
      </c>
      <c r="K1354" t="str">
        <f>VLOOKUP(VLOOKUP(A1354,orders!A:C,3,0),employees!A:B,2,0)</f>
        <v>Margaret Peacock</v>
      </c>
    </row>
    <row r="1355" spans="1:11" x14ac:dyDescent="0.25">
      <c r="A1355">
        <v>10761</v>
      </c>
      <c r="B1355">
        <v>25</v>
      </c>
      <c r="C1355">
        <v>14</v>
      </c>
      <c r="D1355">
        <v>35</v>
      </c>
      <c r="E1355">
        <v>0.25</v>
      </c>
      <c r="F1355">
        <f t="shared" si="21"/>
        <v>367.5</v>
      </c>
      <c r="G1355">
        <f>YEAR(VLOOKUP(A1355,orders!A:D,4,0))</f>
        <v>2014</v>
      </c>
      <c r="H1355">
        <f>MONTH(INDEX(orders!D:D,MATCH(A1355, orders!A:A,0)))</f>
        <v>12</v>
      </c>
      <c r="I1355" t="str">
        <f>VLOOKUP(VLOOKUP(B1355,products!A:F,6,0),categories!A:B,2,0)</f>
        <v>Confections</v>
      </c>
      <c r="J1355" t="str">
        <f>VLOOKUP(VLOOKUP(A1355,orders!A:B,2,0),customers!A:F,6,0)</f>
        <v>USA</v>
      </c>
      <c r="K1355" t="str">
        <f>VLOOKUP(VLOOKUP(A1355,orders!A:C,3,0),employees!A:B,2,0)</f>
        <v>Steven Buchanan</v>
      </c>
    </row>
    <row r="1356" spans="1:11" x14ac:dyDescent="0.25">
      <c r="A1356">
        <v>10761</v>
      </c>
      <c r="B1356">
        <v>75</v>
      </c>
      <c r="C1356">
        <v>7.75</v>
      </c>
      <c r="D1356">
        <v>18</v>
      </c>
      <c r="E1356">
        <v>0</v>
      </c>
      <c r="F1356">
        <f t="shared" si="21"/>
        <v>139.5</v>
      </c>
      <c r="G1356">
        <f>YEAR(VLOOKUP(A1356,orders!A:D,4,0))</f>
        <v>2014</v>
      </c>
      <c r="H1356">
        <f>MONTH(INDEX(orders!D:D,MATCH(A1356, orders!A:A,0)))</f>
        <v>12</v>
      </c>
      <c r="I1356" t="str">
        <f>VLOOKUP(VLOOKUP(B1356,products!A:F,6,0),categories!A:B,2,0)</f>
        <v>Beverages</v>
      </c>
      <c r="J1356" t="str">
        <f>VLOOKUP(VLOOKUP(A1356,orders!A:B,2,0),customers!A:F,6,0)</f>
        <v>USA</v>
      </c>
      <c r="K1356" t="str">
        <f>VLOOKUP(VLOOKUP(A1356,orders!A:C,3,0),employees!A:B,2,0)</f>
        <v>Steven Buchanan</v>
      </c>
    </row>
    <row r="1357" spans="1:11" x14ac:dyDescent="0.25">
      <c r="A1357">
        <v>10762</v>
      </c>
      <c r="B1357">
        <v>39</v>
      </c>
      <c r="C1357">
        <v>18</v>
      </c>
      <c r="D1357">
        <v>16</v>
      </c>
      <c r="E1357">
        <v>0</v>
      </c>
      <c r="F1357">
        <f t="shared" si="21"/>
        <v>288</v>
      </c>
      <c r="G1357">
        <f>YEAR(VLOOKUP(A1357,orders!A:D,4,0))</f>
        <v>2014</v>
      </c>
      <c r="H1357">
        <f>MONTH(INDEX(orders!D:D,MATCH(A1357, orders!A:A,0)))</f>
        <v>12</v>
      </c>
      <c r="I1357" t="str">
        <f>VLOOKUP(VLOOKUP(B1357,products!A:F,6,0),categories!A:B,2,0)</f>
        <v>Beverages</v>
      </c>
      <c r="J1357" t="str">
        <f>VLOOKUP(VLOOKUP(A1357,orders!A:B,2,0),customers!A:F,6,0)</f>
        <v>Sweden</v>
      </c>
      <c r="K1357" t="str">
        <f>VLOOKUP(VLOOKUP(A1357,orders!A:C,3,0),employees!A:B,2,0)</f>
        <v>Janet Leverling</v>
      </c>
    </row>
    <row r="1358" spans="1:11" x14ac:dyDescent="0.25">
      <c r="A1358">
        <v>10762</v>
      </c>
      <c r="B1358">
        <v>47</v>
      </c>
      <c r="C1358">
        <v>9.5</v>
      </c>
      <c r="D1358">
        <v>30</v>
      </c>
      <c r="E1358">
        <v>0</v>
      </c>
      <c r="F1358">
        <f t="shared" si="21"/>
        <v>285</v>
      </c>
      <c r="G1358">
        <f>YEAR(VLOOKUP(A1358,orders!A:D,4,0))</f>
        <v>2014</v>
      </c>
      <c r="H1358">
        <f>MONTH(INDEX(orders!D:D,MATCH(A1358, orders!A:A,0)))</f>
        <v>12</v>
      </c>
      <c r="I1358" t="str">
        <f>VLOOKUP(VLOOKUP(B1358,products!A:F,6,0),categories!A:B,2,0)</f>
        <v>Confections</v>
      </c>
      <c r="J1358" t="str">
        <f>VLOOKUP(VLOOKUP(A1358,orders!A:B,2,0),customers!A:F,6,0)</f>
        <v>Sweden</v>
      </c>
      <c r="K1358" t="str">
        <f>VLOOKUP(VLOOKUP(A1358,orders!A:C,3,0),employees!A:B,2,0)</f>
        <v>Janet Leverling</v>
      </c>
    </row>
    <row r="1359" spans="1:11" x14ac:dyDescent="0.25">
      <c r="A1359">
        <v>10762</v>
      </c>
      <c r="B1359">
        <v>51</v>
      </c>
      <c r="C1359">
        <v>53</v>
      </c>
      <c r="D1359">
        <v>28</v>
      </c>
      <c r="E1359">
        <v>0</v>
      </c>
      <c r="F1359">
        <f t="shared" si="21"/>
        <v>1484</v>
      </c>
      <c r="G1359">
        <f>YEAR(VLOOKUP(A1359,orders!A:D,4,0))</f>
        <v>2014</v>
      </c>
      <c r="H1359">
        <f>MONTH(INDEX(orders!D:D,MATCH(A1359, orders!A:A,0)))</f>
        <v>12</v>
      </c>
      <c r="I1359" t="str">
        <f>VLOOKUP(VLOOKUP(B1359,products!A:F,6,0),categories!A:B,2,0)</f>
        <v>Produce</v>
      </c>
      <c r="J1359" t="str">
        <f>VLOOKUP(VLOOKUP(A1359,orders!A:B,2,0),customers!A:F,6,0)</f>
        <v>Sweden</v>
      </c>
      <c r="K1359" t="str">
        <f>VLOOKUP(VLOOKUP(A1359,orders!A:C,3,0),employees!A:B,2,0)</f>
        <v>Janet Leverling</v>
      </c>
    </row>
    <row r="1360" spans="1:11" x14ac:dyDescent="0.25">
      <c r="A1360">
        <v>10762</v>
      </c>
      <c r="B1360">
        <v>56</v>
      </c>
      <c r="C1360">
        <v>38</v>
      </c>
      <c r="D1360">
        <v>60</v>
      </c>
      <c r="E1360">
        <v>0</v>
      </c>
      <c r="F1360">
        <f t="shared" si="21"/>
        <v>2280</v>
      </c>
      <c r="G1360">
        <f>YEAR(VLOOKUP(A1360,orders!A:D,4,0))</f>
        <v>2014</v>
      </c>
      <c r="H1360">
        <f>MONTH(INDEX(orders!D:D,MATCH(A1360, orders!A:A,0)))</f>
        <v>12</v>
      </c>
      <c r="I1360" t="str">
        <f>VLOOKUP(VLOOKUP(B1360,products!A:F,6,0),categories!A:B,2,0)</f>
        <v>Grains &amp; Cereals</v>
      </c>
      <c r="J1360" t="str">
        <f>VLOOKUP(VLOOKUP(A1360,orders!A:B,2,0),customers!A:F,6,0)</f>
        <v>Sweden</v>
      </c>
      <c r="K1360" t="str">
        <f>VLOOKUP(VLOOKUP(A1360,orders!A:C,3,0),employees!A:B,2,0)</f>
        <v>Janet Leverling</v>
      </c>
    </row>
    <row r="1361" spans="1:11" x14ac:dyDescent="0.25">
      <c r="A1361">
        <v>10763</v>
      </c>
      <c r="B1361">
        <v>21</v>
      </c>
      <c r="C1361">
        <v>10</v>
      </c>
      <c r="D1361">
        <v>40</v>
      </c>
      <c r="E1361">
        <v>0</v>
      </c>
      <c r="F1361">
        <f t="shared" si="21"/>
        <v>400</v>
      </c>
      <c r="G1361">
        <f>YEAR(VLOOKUP(A1361,orders!A:D,4,0))</f>
        <v>2014</v>
      </c>
      <c r="H1361">
        <f>MONTH(INDEX(orders!D:D,MATCH(A1361, orders!A:A,0)))</f>
        <v>12</v>
      </c>
      <c r="I1361" t="str">
        <f>VLOOKUP(VLOOKUP(B1361,products!A:F,6,0),categories!A:B,2,0)</f>
        <v>Confections</v>
      </c>
      <c r="J1361" t="str">
        <f>VLOOKUP(VLOOKUP(A1361,orders!A:B,2,0),customers!A:F,6,0)</f>
        <v>France</v>
      </c>
      <c r="K1361" t="str">
        <f>VLOOKUP(VLOOKUP(A1361,orders!A:C,3,0),employees!A:B,2,0)</f>
        <v>Janet Leverling</v>
      </c>
    </row>
    <row r="1362" spans="1:11" x14ac:dyDescent="0.25">
      <c r="A1362">
        <v>10763</v>
      </c>
      <c r="B1362">
        <v>22</v>
      </c>
      <c r="C1362">
        <v>21</v>
      </c>
      <c r="D1362">
        <v>6</v>
      </c>
      <c r="E1362">
        <v>0</v>
      </c>
      <c r="F1362">
        <f t="shared" si="21"/>
        <v>126</v>
      </c>
      <c r="G1362">
        <f>YEAR(VLOOKUP(A1362,orders!A:D,4,0))</f>
        <v>2014</v>
      </c>
      <c r="H1362">
        <f>MONTH(INDEX(orders!D:D,MATCH(A1362, orders!A:A,0)))</f>
        <v>12</v>
      </c>
      <c r="I1362" t="str">
        <f>VLOOKUP(VLOOKUP(B1362,products!A:F,6,0),categories!A:B,2,0)</f>
        <v>Grains &amp; Cereals</v>
      </c>
      <c r="J1362" t="str">
        <f>VLOOKUP(VLOOKUP(A1362,orders!A:B,2,0),customers!A:F,6,0)</f>
        <v>France</v>
      </c>
      <c r="K1362" t="str">
        <f>VLOOKUP(VLOOKUP(A1362,orders!A:C,3,0),employees!A:B,2,0)</f>
        <v>Janet Leverling</v>
      </c>
    </row>
    <row r="1363" spans="1:11" x14ac:dyDescent="0.25">
      <c r="A1363">
        <v>10763</v>
      </c>
      <c r="B1363">
        <v>24</v>
      </c>
      <c r="C1363">
        <v>4.5</v>
      </c>
      <c r="D1363">
        <v>20</v>
      </c>
      <c r="E1363">
        <v>0</v>
      </c>
      <c r="F1363">
        <f t="shared" si="21"/>
        <v>90</v>
      </c>
      <c r="G1363">
        <f>YEAR(VLOOKUP(A1363,orders!A:D,4,0))</f>
        <v>2014</v>
      </c>
      <c r="H1363">
        <f>MONTH(INDEX(orders!D:D,MATCH(A1363, orders!A:A,0)))</f>
        <v>12</v>
      </c>
      <c r="I1363" t="str">
        <f>VLOOKUP(VLOOKUP(B1363,products!A:F,6,0),categories!A:B,2,0)</f>
        <v>Beverages</v>
      </c>
      <c r="J1363" t="str">
        <f>VLOOKUP(VLOOKUP(A1363,orders!A:B,2,0),customers!A:F,6,0)</f>
        <v>France</v>
      </c>
      <c r="K1363" t="str">
        <f>VLOOKUP(VLOOKUP(A1363,orders!A:C,3,0),employees!A:B,2,0)</f>
        <v>Janet Leverling</v>
      </c>
    </row>
    <row r="1364" spans="1:11" x14ac:dyDescent="0.25">
      <c r="A1364">
        <v>10764</v>
      </c>
      <c r="B1364">
        <v>3</v>
      </c>
      <c r="C1364">
        <v>10</v>
      </c>
      <c r="D1364">
        <v>20</v>
      </c>
      <c r="E1364">
        <v>0.1</v>
      </c>
      <c r="F1364">
        <f t="shared" si="21"/>
        <v>180</v>
      </c>
      <c r="G1364">
        <f>YEAR(VLOOKUP(A1364,orders!A:D,4,0))</f>
        <v>2014</v>
      </c>
      <c r="H1364">
        <f>MONTH(INDEX(orders!D:D,MATCH(A1364, orders!A:A,0)))</f>
        <v>12</v>
      </c>
      <c r="I1364" t="str">
        <f>VLOOKUP(VLOOKUP(B1364,products!A:F,6,0),categories!A:B,2,0)</f>
        <v>Condiments</v>
      </c>
      <c r="J1364" t="str">
        <f>VLOOKUP(VLOOKUP(A1364,orders!A:B,2,0),customers!A:F,6,0)</f>
        <v>Austria</v>
      </c>
      <c r="K1364" t="str">
        <f>VLOOKUP(VLOOKUP(A1364,orders!A:C,3,0),employees!A:B,2,0)</f>
        <v>Michael Suyama</v>
      </c>
    </row>
    <row r="1365" spans="1:11" x14ac:dyDescent="0.25">
      <c r="A1365">
        <v>10764</v>
      </c>
      <c r="B1365">
        <v>39</v>
      </c>
      <c r="C1365">
        <v>18</v>
      </c>
      <c r="D1365">
        <v>130</v>
      </c>
      <c r="E1365">
        <v>0.1</v>
      </c>
      <c r="F1365">
        <f t="shared" si="21"/>
        <v>2106</v>
      </c>
      <c r="G1365">
        <f>YEAR(VLOOKUP(A1365,orders!A:D,4,0))</f>
        <v>2014</v>
      </c>
      <c r="H1365">
        <f>MONTH(INDEX(orders!D:D,MATCH(A1365, orders!A:A,0)))</f>
        <v>12</v>
      </c>
      <c r="I1365" t="str">
        <f>VLOOKUP(VLOOKUP(B1365,products!A:F,6,0),categories!A:B,2,0)</f>
        <v>Beverages</v>
      </c>
      <c r="J1365" t="str">
        <f>VLOOKUP(VLOOKUP(A1365,orders!A:B,2,0),customers!A:F,6,0)</f>
        <v>Austria</v>
      </c>
      <c r="K1365" t="str">
        <f>VLOOKUP(VLOOKUP(A1365,orders!A:C,3,0),employees!A:B,2,0)</f>
        <v>Michael Suyama</v>
      </c>
    </row>
    <row r="1366" spans="1:11" x14ac:dyDescent="0.25">
      <c r="A1366">
        <v>10765</v>
      </c>
      <c r="B1366">
        <v>65</v>
      </c>
      <c r="C1366">
        <v>21.05</v>
      </c>
      <c r="D1366">
        <v>80</v>
      </c>
      <c r="E1366">
        <v>0.1</v>
      </c>
      <c r="F1366">
        <f t="shared" si="21"/>
        <v>1515.6000000000001</v>
      </c>
      <c r="G1366">
        <f>YEAR(VLOOKUP(A1366,orders!A:D,4,0))</f>
        <v>2014</v>
      </c>
      <c r="H1366">
        <f>MONTH(INDEX(orders!D:D,MATCH(A1366, orders!A:A,0)))</f>
        <v>12</v>
      </c>
      <c r="I1366" t="str">
        <f>VLOOKUP(VLOOKUP(B1366,products!A:F,6,0),categories!A:B,2,0)</f>
        <v>Condiments</v>
      </c>
      <c r="J1366" t="str">
        <f>VLOOKUP(VLOOKUP(A1366,orders!A:B,2,0),customers!A:F,6,0)</f>
        <v>Germany</v>
      </c>
      <c r="K1366" t="str">
        <f>VLOOKUP(VLOOKUP(A1366,orders!A:C,3,0),employees!A:B,2,0)</f>
        <v>Janet Leverling</v>
      </c>
    </row>
    <row r="1367" spans="1:11" x14ac:dyDescent="0.25">
      <c r="A1367">
        <v>10766</v>
      </c>
      <c r="B1367">
        <v>2</v>
      </c>
      <c r="C1367">
        <v>19</v>
      </c>
      <c r="D1367">
        <v>40</v>
      </c>
      <c r="E1367">
        <v>0</v>
      </c>
      <c r="F1367">
        <f t="shared" si="21"/>
        <v>760</v>
      </c>
      <c r="G1367">
        <f>YEAR(VLOOKUP(A1367,orders!A:D,4,0))</f>
        <v>2014</v>
      </c>
      <c r="H1367">
        <f>MONTH(INDEX(orders!D:D,MATCH(A1367, orders!A:A,0)))</f>
        <v>12</v>
      </c>
      <c r="I1367" t="str">
        <f>VLOOKUP(VLOOKUP(B1367,products!A:F,6,0),categories!A:B,2,0)</f>
        <v>Beverages</v>
      </c>
      <c r="J1367" t="str">
        <f>VLOOKUP(VLOOKUP(A1367,orders!A:B,2,0),customers!A:F,6,0)</f>
        <v>Germany</v>
      </c>
      <c r="K1367" t="str">
        <f>VLOOKUP(VLOOKUP(A1367,orders!A:C,3,0),employees!A:B,2,0)</f>
        <v>Margaret Peacock</v>
      </c>
    </row>
    <row r="1368" spans="1:11" x14ac:dyDescent="0.25">
      <c r="A1368">
        <v>10766</v>
      </c>
      <c r="B1368">
        <v>7</v>
      </c>
      <c r="C1368">
        <v>30</v>
      </c>
      <c r="D1368">
        <v>35</v>
      </c>
      <c r="E1368">
        <v>0</v>
      </c>
      <c r="F1368">
        <f t="shared" si="21"/>
        <v>1050</v>
      </c>
      <c r="G1368">
        <f>YEAR(VLOOKUP(A1368,orders!A:D,4,0))</f>
        <v>2014</v>
      </c>
      <c r="H1368">
        <f>MONTH(INDEX(orders!D:D,MATCH(A1368, orders!A:A,0)))</f>
        <v>12</v>
      </c>
      <c r="I1368" t="str">
        <f>VLOOKUP(VLOOKUP(B1368,products!A:F,6,0),categories!A:B,2,0)</f>
        <v>Produce</v>
      </c>
      <c r="J1368" t="str">
        <f>VLOOKUP(VLOOKUP(A1368,orders!A:B,2,0),customers!A:F,6,0)</f>
        <v>Germany</v>
      </c>
      <c r="K1368" t="str">
        <f>VLOOKUP(VLOOKUP(A1368,orders!A:C,3,0),employees!A:B,2,0)</f>
        <v>Margaret Peacock</v>
      </c>
    </row>
    <row r="1369" spans="1:11" x14ac:dyDescent="0.25">
      <c r="A1369">
        <v>10766</v>
      </c>
      <c r="B1369">
        <v>68</v>
      </c>
      <c r="C1369">
        <v>12.5</v>
      </c>
      <c r="D1369">
        <v>40</v>
      </c>
      <c r="E1369">
        <v>0</v>
      </c>
      <c r="F1369">
        <f t="shared" si="21"/>
        <v>500</v>
      </c>
      <c r="G1369">
        <f>YEAR(VLOOKUP(A1369,orders!A:D,4,0))</f>
        <v>2014</v>
      </c>
      <c r="H1369">
        <f>MONTH(INDEX(orders!D:D,MATCH(A1369, orders!A:A,0)))</f>
        <v>12</v>
      </c>
      <c r="I1369" t="str">
        <f>VLOOKUP(VLOOKUP(B1369,products!A:F,6,0),categories!A:B,2,0)</f>
        <v>Confections</v>
      </c>
      <c r="J1369" t="str">
        <f>VLOOKUP(VLOOKUP(A1369,orders!A:B,2,0),customers!A:F,6,0)</f>
        <v>Germany</v>
      </c>
      <c r="K1369" t="str">
        <f>VLOOKUP(VLOOKUP(A1369,orders!A:C,3,0),employees!A:B,2,0)</f>
        <v>Margaret Peacock</v>
      </c>
    </row>
    <row r="1370" spans="1:11" x14ac:dyDescent="0.25">
      <c r="A1370">
        <v>10767</v>
      </c>
      <c r="B1370">
        <v>42</v>
      </c>
      <c r="C1370">
        <v>14</v>
      </c>
      <c r="D1370">
        <v>2</v>
      </c>
      <c r="E1370">
        <v>0</v>
      </c>
      <c r="F1370">
        <f t="shared" si="21"/>
        <v>28</v>
      </c>
      <c r="G1370">
        <f>YEAR(VLOOKUP(A1370,orders!A:D,4,0))</f>
        <v>2014</v>
      </c>
      <c r="H1370">
        <f>MONTH(INDEX(orders!D:D,MATCH(A1370, orders!A:A,0)))</f>
        <v>12</v>
      </c>
      <c r="I1370" t="str">
        <f>VLOOKUP(VLOOKUP(B1370,products!A:F,6,0),categories!A:B,2,0)</f>
        <v>Grains &amp; Cereals</v>
      </c>
      <c r="J1370" t="str">
        <f>VLOOKUP(VLOOKUP(A1370,orders!A:B,2,0),customers!A:F,6,0)</f>
        <v>Belgium</v>
      </c>
      <c r="K1370" t="str">
        <f>VLOOKUP(VLOOKUP(A1370,orders!A:C,3,0),employees!A:B,2,0)</f>
        <v>Margaret Peacock</v>
      </c>
    </row>
    <row r="1371" spans="1:11" x14ac:dyDescent="0.25">
      <c r="A1371">
        <v>10768</v>
      </c>
      <c r="B1371">
        <v>22</v>
      </c>
      <c r="C1371">
        <v>21</v>
      </c>
      <c r="D1371">
        <v>4</v>
      </c>
      <c r="E1371">
        <v>0</v>
      </c>
      <c r="F1371">
        <f t="shared" si="21"/>
        <v>84</v>
      </c>
      <c r="G1371">
        <f>YEAR(VLOOKUP(A1371,orders!A:D,4,0))</f>
        <v>2014</v>
      </c>
      <c r="H1371">
        <f>MONTH(INDEX(orders!D:D,MATCH(A1371, orders!A:A,0)))</f>
        <v>12</v>
      </c>
      <c r="I1371" t="str">
        <f>VLOOKUP(VLOOKUP(B1371,products!A:F,6,0),categories!A:B,2,0)</f>
        <v>Grains &amp; Cereals</v>
      </c>
      <c r="J1371" t="str">
        <f>VLOOKUP(VLOOKUP(A1371,orders!A:B,2,0),customers!A:F,6,0)</f>
        <v>UK</v>
      </c>
      <c r="K1371" t="str">
        <f>VLOOKUP(VLOOKUP(A1371,orders!A:C,3,0),employees!A:B,2,0)</f>
        <v>Janet Leverling</v>
      </c>
    </row>
    <row r="1372" spans="1:11" x14ac:dyDescent="0.25">
      <c r="A1372">
        <v>10768</v>
      </c>
      <c r="B1372">
        <v>31</v>
      </c>
      <c r="C1372">
        <v>12.5</v>
      </c>
      <c r="D1372">
        <v>50</v>
      </c>
      <c r="E1372">
        <v>0</v>
      </c>
      <c r="F1372">
        <f t="shared" si="21"/>
        <v>625</v>
      </c>
      <c r="G1372">
        <f>YEAR(VLOOKUP(A1372,orders!A:D,4,0))</f>
        <v>2014</v>
      </c>
      <c r="H1372">
        <f>MONTH(INDEX(orders!D:D,MATCH(A1372, orders!A:A,0)))</f>
        <v>12</v>
      </c>
      <c r="I1372" t="str">
        <f>VLOOKUP(VLOOKUP(B1372,products!A:F,6,0),categories!A:B,2,0)</f>
        <v>Dairy Products</v>
      </c>
      <c r="J1372" t="str">
        <f>VLOOKUP(VLOOKUP(A1372,orders!A:B,2,0),customers!A:F,6,0)</f>
        <v>UK</v>
      </c>
      <c r="K1372" t="str">
        <f>VLOOKUP(VLOOKUP(A1372,orders!A:C,3,0),employees!A:B,2,0)</f>
        <v>Janet Leverling</v>
      </c>
    </row>
    <row r="1373" spans="1:11" x14ac:dyDescent="0.25">
      <c r="A1373">
        <v>10768</v>
      </c>
      <c r="B1373">
        <v>60</v>
      </c>
      <c r="C1373">
        <v>34</v>
      </c>
      <c r="D1373">
        <v>15</v>
      </c>
      <c r="E1373">
        <v>0</v>
      </c>
      <c r="F1373">
        <f t="shared" si="21"/>
        <v>510</v>
      </c>
      <c r="G1373">
        <f>YEAR(VLOOKUP(A1373,orders!A:D,4,0))</f>
        <v>2014</v>
      </c>
      <c r="H1373">
        <f>MONTH(INDEX(orders!D:D,MATCH(A1373, orders!A:A,0)))</f>
        <v>12</v>
      </c>
      <c r="I1373" t="str">
        <f>VLOOKUP(VLOOKUP(B1373,products!A:F,6,0),categories!A:B,2,0)</f>
        <v>Dairy Products</v>
      </c>
      <c r="J1373" t="str">
        <f>VLOOKUP(VLOOKUP(A1373,orders!A:B,2,0),customers!A:F,6,0)</f>
        <v>UK</v>
      </c>
      <c r="K1373" t="str">
        <f>VLOOKUP(VLOOKUP(A1373,orders!A:C,3,0),employees!A:B,2,0)</f>
        <v>Janet Leverling</v>
      </c>
    </row>
    <row r="1374" spans="1:11" x14ac:dyDescent="0.25">
      <c r="A1374">
        <v>10768</v>
      </c>
      <c r="B1374">
        <v>71</v>
      </c>
      <c r="C1374">
        <v>21.5</v>
      </c>
      <c r="D1374">
        <v>12</v>
      </c>
      <c r="E1374">
        <v>0</v>
      </c>
      <c r="F1374">
        <f t="shared" si="21"/>
        <v>258</v>
      </c>
      <c r="G1374">
        <f>YEAR(VLOOKUP(A1374,orders!A:D,4,0))</f>
        <v>2014</v>
      </c>
      <c r="H1374">
        <f>MONTH(INDEX(orders!D:D,MATCH(A1374, orders!A:A,0)))</f>
        <v>12</v>
      </c>
      <c r="I1374" t="str">
        <f>VLOOKUP(VLOOKUP(B1374,products!A:F,6,0),categories!A:B,2,0)</f>
        <v>Dairy Products</v>
      </c>
      <c r="J1374" t="str">
        <f>VLOOKUP(VLOOKUP(A1374,orders!A:B,2,0),customers!A:F,6,0)</f>
        <v>UK</v>
      </c>
      <c r="K1374" t="str">
        <f>VLOOKUP(VLOOKUP(A1374,orders!A:C,3,0),employees!A:B,2,0)</f>
        <v>Janet Leverling</v>
      </c>
    </row>
    <row r="1375" spans="1:11" x14ac:dyDescent="0.25">
      <c r="A1375">
        <v>10769</v>
      </c>
      <c r="B1375">
        <v>41</v>
      </c>
      <c r="C1375">
        <v>9.65</v>
      </c>
      <c r="D1375">
        <v>30</v>
      </c>
      <c r="E1375">
        <v>0.05</v>
      </c>
      <c r="F1375">
        <f t="shared" si="21"/>
        <v>275.02499999999998</v>
      </c>
      <c r="G1375">
        <f>YEAR(VLOOKUP(A1375,orders!A:D,4,0))</f>
        <v>2014</v>
      </c>
      <c r="H1375">
        <f>MONTH(INDEX(orders!D:D,MATCH(A1375, orders!A:A,0)))</f>
        <v>12</v>
      </c>
      <c r="I1375" t="str">
        <f>VLOOKUP(VLOOKUP(B1375,products!A:F,6,0),categories!A:B,2,0)</f>
        <v>Seafood</v>
      </c>
      <c r="J1375" t="str">
        <f>VLOOKUP(VLOOKUP(A1375,orders!A:B,2,0),customers!A:F,6,0)</f>
        <v>Denmark</v>
      </c>
      <c r="K1375" t="str">
        <f>VLOOKUP(VLOOKUP(A1375,orders!A:C,3,0),employees!A:B,2,0)</f>
        <v>Janet Leverling</v>
      </c>
    </row>
    <row r="1376" spans="1:11" x14ac:dyDescent="0.25">
      <c r="A1376">
        <v>10769</v>
      </c>
      <c r="B1376">
        <v>52</v>
      </c>
      <c r="C1376">
        <v>7</v>
      </c>
      <c r="D1376">
        <v>15</v>
      </c>
      <c r="E1376">
        <v>0.05</v>
      </c>
      <c r="F1376">
        <f t="shared" si="21"/>
        <v>99.75</v>
      </c>
      <c r="G1376">
        <f>YEAR(VLOOKUP(A1376,orders!A:D,4,0))</f>
        <v>2014</v>
      </c>
      <c r="H1376">
        <f>MONTH(INDEX(orders!D:D,MATCH(A1376, orders!A:A,0)))</f>
        <v>12</v>
      </c>
      <c r="I1376" t="str">
        <f>VLOOKUP(VLOOKUP(B1376,products!A:F,6,0),categories!A:B,2,0)</f>
        <v>Grains &amp; Cereals</v>
      </c>
      <c r="J1376" t="str">
        <f>VLOOKUP(VLOOKUP(A1376,orders!A:B,2,0),customers!A:F,6,0)</f>
        <v>Denmark</v>
      </c>
      <c r="K1376" t="str">
        <f>VLOOKUP(VLOOKUP(A1376,orders!A:C,3,0),employees!A:B,2,0)</f>
        <v>Janet Leverling</v>
      </c>
    </row>
    <row r="1377" spans="1:11" x14ac:dyDescent="0.25">
      <c r="A1377">
        <v>10769</v>
      </c>
      <c r="B1377">
        <v>61</v>
      </c>
      <c r="C1377">
        <v>28.5</v>
      </c>
      <c r="D1377">
        <v>20</v>
      </c>
      <c r="E1377">
        <v>0</v>
      </c>
      <c r="F1377">
        <f t="shared" si="21"/>
        <v>570</v>
      </c>
      <c r="G1377">
        <f>YEAR(VLOOKUP(A1377,orders!A:D,4,0))</f>
        <v>2014</v>
      </c>
      <c r="H1377">
        <f>MONTH(INDEX(orders!D:D,MATCH(A1377, orders!A:A,0)))</f>
        <v>12</v>
      </c>
      <c r="I1377" t="str">
        <f>VLOOKUP(VLOOKUP(B1377,products!A:F,6,0),categories!A:B,2,0)</f>
        <v>Condiments</v>
      </c>
      <c r="J1377" t="str">
        <f>VLOOKUP(VLOOKUP(A1377,orders!A:B,2,0),customers!A:F,6,0)</f>
        <v>Denmark</v>
      </c>
      <c r="K1377" t="str">
        <f>VLOOKUP(VLOOKUP(A1377,orders!A:C,3,0),employees!A:B,2,0)</f>
        <v>Janet Leverling</v>
      </c>
    </row>
    <row r="1378" spans="1:11" x14ac:dyDescent="0.25">
      <c r="A1378">
        <v>10769</v>
      </c>
      <c r="B1378">
        <v>62</v>
      </c>
      <c r="C1378">
        <v>49.3</v>
      </c>
      <c r="D1378">
        <v>15</v>
      </c>
      <c r="E1378">
        <v>0</v>
      </c>
      <c r="F1378">
        <f t="shared" si="21"/>
        <v>739.5</v>
      </c>
      <c r="G1378">
        <f>YEAR(VLOOKUP(A1378,orders!A:D,4,0))</f>
        <v>2014</v>
      </c>
      <c r="H1378">
        <f>MONTH(INDEX(orders!D:D,MATCH(A1378, orders!A:A,0)))</f>
        <v>12</v>
      </c>
      <c r="I1378" t="str">
        <f>VLOOKUP(VLOOKUP(B1378,products!A:F,6,0),categories!A:B,2,0)</f>
        <v>Confections</v>
      </c>
      <c r="J1378" t="str">
        <f>VLOOKUP(VLOOKUP(A1378,orders!A:B,2,0),customers!A:F,6,0)</f>
        <v>Denmark</v>
      </c>
      <c r="K1378" t="str">
        <f>VLOOKUP(VLOOKUP(A1378,orders!A:C,3,0),employees!A:B,2,0)</f>
        <v>Janet Leverling</v>
      </c>
    </row>
    <row r="1379" spans="1:11" x14ac:dyDescent="0.25">
      <c r="A1379">
        <v>10770</v>
      </c>
      <c r="B1379">
        <v>11</v>
      </c>
      <c r="C1379">
        <v>21</v>
      </c>
      <c r="D1379">
        <v>15</v>
      </c>
      <c r="E1379">
        <v>0.25</v>
      </c>
      <c r="F1379">
        <f t="shared" si="21"/>
        <v>236.25</v>
      </c>
      <c r="G1379">
        <f>YEAR(VLOOKUP(A1379,orders!A:D,4,0))</f>
        <v>2014</v>
      </c>
      <c r="H1379">
        <f>MONTH(INDEX(orders!D:D,MATCH(A1379, orders!A:A,0)))</f>
        <v>12</v>
      </c>
      <c r="I1379" t="str">
        <f>VLOOKUP(VLOOKUP(B1379,products!A:F,6,0),categories!A:B,2,0)</f>
        <v>Dairy Products</v>
      </c>
      <c r="J1379" t="str">
        <f>VLOOKUP(VLOOKUP(A1379,orders!A:B,2,0),customers!A:F,6,0)</f>
        <v>Brazil</v>
      </c>
      <c r="K1379" t="str">
        <f>VLOOKUP(VLOOKUP(A1379,orders!A:C,3,0),employees!A:B,2,0)</f>
        <v>Laura Callahan</v>
      </c>
    </row>
    <row r="1380" spans="1:11" x14ac:dyDescent="0.25">
      <c r="A1380">
        <v>10771</v>
      </c>
      <c r="B1380">
        <v>71</v>
      </c>
      <c r="C1380">
        <v>21.5</v>
      </c>
      <c r="D1380">
        <v>16</v>
      </c>
      <c r="E1380">
        <v>0</v>
      </c>
      <c r="F1380">
        <f t="shared" si="21"/>
        <v>344</v>
      </c>
      <c r="G1380">
        <f>YEAR(VLOOKUP(A1380,orders!A:D,4,0))</f>
        <v>2014</v>
      </c>
      <c r="H1380">
        <f>MONTH(INDEX(orders!D:D,MATCH(A1380, orders!A:A,0)))</f>
        <v>12</v>
      </c>
      <c r="I1380" t="str">
        <f>VLOOKUP(VLOOKUP(B1380,products!A:F,6,0),categories!A:B,2,0)</f>
        <v>Dairy Products</v>
      </c>
      <c r="J1380" t="str">
        <f>VLOOKUP(VLOOKUP(A1380,orders!A:B,2,0),customers!A:F,6,0)</f>
        <v>Austria</v>
      </c>
      <c r="K1380" t="str">
        <f>VLOOKUP(VLOOKUP(A1380,orders!A:C,3,0),employees!A:B,2,0)</f>
        <v>Anne Dodsworth</v>
      </c>
    </row>
    <row r="1381" spans="1:11" x14ac:dyDescent="0.25">
      <c r="A1381">
        <v>10772</v>
      </c>
      <c r="B1381">
        <v>29</v>
      </c>
      <c r="C1381">
        <v>123.79</v>
      </c>
      <c r="D1381">
        <v>18</v>
      </c>
      <c r="E1381">
        <v>0</v>
      </c>
      <c r="F1381">
        <f t="shared" si="21"/>
        <v>2228.2200000000003</v>
      </c>
      <c r="G1381">
        <f>YEAR(VLOOKUP(A1381,orders!A:D,4,0))</f>
        <v>2014</v>
      </c>
      <c r="H1381">
        <f>MONTH(INDEX(orders!D:D,MATCH(A1381, orders!A:A,0)))</f>
        <v>12</v>
      </c>
      <c r="I1381" t="str">
        <f>VLOOKUP(VLOOKUP(B1381,products!A:F,6,0),categories!A:B,2,0)</f>
        <v>Meat &amp; Poultry</v>
      </c>
      <c r="J1381" t="str">
        <f>VLOOKUP(VLOOKUP(A1381,orders!A:B,2,0),customers!A:F,6,0)</f>
        <v>Germany</v>
      </c>
      <c r="K1381" t="str">
        <f>VLOOKUP(VLOOKUP(A1381,orders!A:C,3,0),employees!A:B,2,0)</f>
        <v>Janet Leverling</v>
      </c>
    </row>
    <row r="1382" spans="1:11" x14ac:dyDescent="0.25">
      <c r="A1382">
        <v>10772</v>
      </c>
      <c r="B1382">
        <v>59</v>
      </c>
      <c r="C1382">
        <v>55</v>
      </c>
      <c r="D1382">
        <v>25</v>
      </c>
      <c r="E1382">
        <v>0</v>
      </c>
      <c r="F1382">
        <f t="shared" si="21"/>
        <v>1375</v>
      </c>
      <c r="G1382">
        <f>YEAR(VLOOKUP(A1382,orders!A:D,4,0))</f>
        <v>2014</v>
      </c>
      <c r="H1382">
        <f>MONTH(INDEX(orders!D:D,MATCH(A1382, orders!A:A,0)))</f>
        <v>12</v>
      </c>
      <c r="I1382" t="str">
        <f>VLOOKUP(VLOOKUP(B1382,products!A:F,6,0),categories!A:B,2,0)</f>
        <v>Dairy Products</v>
      </c>
      <c r="J1382" t="str">
        <f>VLOOKUP(VLOOKUP(A1382,orders!A:B,2,0),customers!A:F,6,0)</f>
        <v>Germany</v>
      </c>
      <c r="K1382" t="str">
        <f>VLOOKUP(VLOOKUP(A1382,orders!A:C,3,0),employees!A:B,2,0)</f>
        <v>Janet Leverling</v>
      </c>
    </row>
    <row r="1383" spans="1:11" x14ac:dyDescent="0.25">
      <c r="A1383">
        <v>10773</v>
      </c>
      <c r="B1383">
        <v>17</v>
      </c>
      <c r="C1383">
        <v>39</v>
      </c>
      <c r="D1383">
        <v>33</v>
      </c>
      <c r="E1383">
        <v>0</v>
      </c>
      <c r="F1383">
        <f t="shared" si="21"/>
        <v>1287</v>
      </c>
      <c r="G1383">
        <f>YEAR(VLOOKUP(A1383,orders!A:D,4,0))</f>
        <v>2014</v>
      </c>
      <c r="H1383">
        <f>MONTH(INDEX(orders!D:D,MATCH(A1383, orders!A:A,0)))</f>
        <v>12</v>
      </c>
      <c r="I1383" t="str">
        <f>VLOOKUP(VLOOKUP(B1383,products!A:F,6,0),categories!A:B,2,0)</f>
        <v>Meat &amp; Poultry</v>
      </c>
      <c r="J1383" t="str">
        <f>VLOOKUP(VLOOKUP(A1383,orders!A:B,2,0),customers!A:F,6,0)</f>
        <v>Austria</v>
      </c>
      <c r="K1383" t="str">
        <f>VLOOKUP(VLOOKUP(A1383,orders!A:C,3,0),employees!A:B,2,0)</f>
        <v>Nancy Davolio</v>
      </c>
    </row>
    <row r="1384" spans="1:11" x14ac:dyDescent="0.25">
      <c r="A1384">
        <v>10773</v>
      </c>
      <c r="B1384">
        <v>31</v>
      </c>
      <c r="C1384">
        <v>12.5</v>
      </c>
      <c r="D1384">
        <v>70</v>
      </c>
      <c r="E1384">
        <v>0.2</v>
      </c>
      <c r="F1384">
        <f t="shared" si="21"/>
        <v>700</v>
      </c>
      <c r="G1384">
        <f>YEAR(VLOOKUP(A1384,orders!A:D,4,0))</f>
        <v>2014</v>
      </c>
      <c r="H1384">
        <f>MONTH(INDEX(orders!D:D,MATCH(A1384, orders!A:A,0)))</f>
        <v>12</v>
      </c>
      <c r="I1384" t="str">
        <f>VLOOKUP(VLOOKUP(B1384,products!A:F,6,0),categories!A:B,2,0)</f>
        <v>Dairy Products</v>
      </c>
      <c r="J1384" t="str">
        <f>VLOOKUP(VLOOKUP(A1384,orders!A:B,2,0),customers!A:F,6,0)</f>
        <v>Austria</v>
      </c>
      <c r="K1384" t="str">
        <f>VLOOKUP(VLOOKUP(A1384,orders!A:C,3,0),employees!A:B,2,0)</f>
        <v>Nancy Davolio</v>
      </c>
    </row>
    <row r="1385" spans="1:11" x14ac:dyDescent="0.25">
      <c r="A1385">
        <v>10773</v>
      </c>
      <c r="B1385">
        <v>75</v>
      </c>
      <c r="C1385">
        <v>7.75</v>
      </c>
      <c r="D1385">
        <v>7</v>
      </c>
      <c r="E1385">
        <v>0.2</v>
      </c>
      <c r="F1385">
        <f t="shared" si="21"/>
        <v>43.400000000000006</v>
      </c>
      <c r="G1385">
        <f>YEAR(VLOOKUP(A1385,orders!A:D,4,0))</f>
        <v>2014</v>
      </c>
      <c r="H1385">
        <f>MONTH(INDEX(orders!D:D,MATCH(A1385, orders!A:A,0)))</f>
        <v>12</v>
      </c>
      <c r="I1385" t="str">
        <f>VLOOKUP(VLOOKUP(B1385,products!A:F,6,0),categories!A:B,2,0)</f>
        <v>Beverages</v>
      </c>
      <c r="J1385" t="str">
        <f>VLOOKUP(VLOOKUP(A1385,orders!A:B,2,0),customers!A:F,6,0)</f>
        <v>Austria</v>
      </c>
      <c r="K1385" t="str">
        <f>VLOOKUP(VLOOKUP(A1385,orders!A:C,3,0),employees!A:B,2,0)</f>
        <v>Nancy Davolio</v>
      </c>
    </row>
    <row r="1386" spans="1:11" x14ac:dyDescent="0.25">
      <c r="A1386">
        <v>10774</v>
      </c>
      <c r="B1386">
        <v>31</v>
      </c>
      <c r="C1386">
        <v>12.5</v>
      </c>
      <c r="D1386">
        <v>2</v>
      </c>
      <c r="E1386">
        <v>0.25</v>
      </c>
      <c r="F1386">
        <f t="shared" si="21"/>
        <v>18.75</v>
      </c>
      <c r="G1386">
        <f>YEAR(VLOOKUP(A1386,orders!A:D,4,0))</f>
        <v>2014</v>
      </c>
      <c r="H1386">
        <f>MONTH(INDEX(orders!D:D,MATCH(A1386, orders!A:A,0)))</f>
        <v>12</v>
      </c>
      <c r="I1386" t="str">
        <f>VLOOKUP(VLOOKUP(B1386,products!A:F,6,0),categories!A:B,2,0)</f>
        <v>Dairy Products</v>
      </c>
      <c r="J1386" t="str">
        <f>VLOOKUP(VLOOKUP(A1386,orders!A:B,2,0),customers!A:F,6,0)</f>
        <v>Sweden</v>
      </c>
      <c r="K1386" t="str">
        <f>VLOOKUP(VLOOKUP(A1386,orders!A:C,3,0),employees!A:B,2,0)</f>
        <v>Margaret Peacock</v>
      </c>
    </row>
    <row r="1387" spans="1:11" x14ac:dyDescent="0.25">
      <c r="A1387">
        <v>10774</v>
      </c>
      <c r="B1387">
        <v>66</v>
      </c>
      <c r="C1387">
        <v>17</v>
      </c>
      <c r="D1387">
        <v>50</v>
      </c>
      <c r="E1387">
        <v>0</v>
      </c>
      <c r="F1387">
        <f t="shared" si="21"/>
        <v>850</v>
      </c>
      <c r="G1387">
        <f>YEAR(VLOOKUP(A1387,orders!A:D,4,0))</f>
        <v>2014</v>
      </c>
      <c r="H1387">
        <f>MONTH(INDEX(orders!D:D,MATCH(A1387, orders!A:A,0)))</f>
        <v>12</v>
      </c>
      <c r="I1387" t="str">
        <f>VLOOKUP(VLOOKUP(B1387,products!A:F,6,0),categories!A:B,2,0)</f>
        <v>Condiments</v>
      </c>
      <c r="J1387" t="str">
        <f>VLOOKUP(VLOOKUP(A1387,orders!A:B,2,0),customers!A:F,6,0)</f>
        <v>Sweden</v>
      </c>
      <c r="K1387" t="str">
        <f>VLOOKUP(VLOOKUP(A1387,orders!A:C,3,0),employees!A:B,2,0)</f>
        <v>Margaret Peacock</v>
      </c>
    </row>
    <row r="1388" spans="1:11" x14ac:dyDescent="0.25">
      <c r="A1388">
        <v>10775</v>
      </c>
      <c r="B1388">
        <v>10</v>
      </c>
      <c r="C1388">
        <v>31</v>
      </c>
      <c r="D1388">
        <v>6</v>
      </c>
      <c r="E1388">
        <v>0</v>
      </c>
      <c r="F1388">
        <f t="shared" si="21"/>
        <v>186</v>
      </c>
      <c r="G1388">
        <f>YEAR(VLOOKUP(A1388,orders!A:D,4,0))</f>
        <v>2014</v>
      </c>
      <c r="H1388">
        <f>MONTH(INDEX(orders!D:D,MATCH(A1388, orders!A:A,0)))</f>
        <v>12</v>
      </c>
      <c r="I1388" t="str">
        <f>VLOOKUP(VLOOKUP(B1388,products!A:F,6,0),categories!A:B,2,0)</f>
        <v>Seafood</v>
      </c>
      <c r="J1388" t="str">
        <f>VLOOKUP(VLOOKUP(A1388,orders!A:B,2,0),customers!A:F,6,0)</f>
        <v>USA</v>
      </c>
      <c r="K1388" t="str">
        <f>VLOOKUP(VLOOKUP(A1388,orders!A:C,3,0),employees!A:B,2,0)</f>
        <v>Robert King</v>
      </c>
    </row>
    <row r="1389" spans="1:11" x14ac:dyDescent="0.25">
      <c r="A1389">
        <v>10775</v>
      </c>
      <c r="B1389">
        <v>67</v>
      </c>
      <c r="C1389">
        <v>14</v>
      </c>
      <c r="D1389">
        <v>3</v>
      </c>
      <c r="E1389">
        <v>0</v>
      </c>
      <c r="F1389">
        <f t="shared" si="21"/>
        <v>42</v>
      </c>
      <c r="G1389">
        <f>YEAR(VLOOKUP(A1389,orders!A:D,4,0))</f>
        <v>2014</v>
      </c>
      <c r="H1389">
        <f>MONTH(INDEX(orders!D:D,MATCH(A1389, orders!A:A,0)))</f>
        <v>12</v>
      </c>
      <c r="I1389" t="str">
        <f>VLOOKUP(VLOOKUP(B1389,products!A:F,6,0),categories!A:B,2,0)</f>
        <v>Beverages</v>
      </c>
      <c r="J1389" t="str">
        <f>VLOOKUP(VLOOKUP(A1389,orders!A:B,2,0),customers!A:F,6,0)</f>
        <v>USA</v>
      </c>
      <c r="K1389" t="str">
        <f>VLOOKUP(VLOOKUP(A1389,orders!A:C,3,0),employees!A:B,2,0)</f>
        <v>Robert King</v>
      </c>
    </row>
    <row r="1390" spans="1:11" x14ac:dyDescent="0.25">
      <c r="A1390">
        <v>10776</v>
      </c>
      <c r="B1390">
        <v>31</v>
      </c>
      <c r="C1390">
        <v>12.5</v>
      </c>
      <c r="D1390">
        <v>16</v>
      </c>
      <c r="E1390">
        <v>0.05</v>
      </c>
      <c r="F1390">
        <f t="shared" si="21"/>
        <v>190</v>
      </c>
      <c r="G1390">
        <f>YEAR(VLOOKUP(A1390,orders!A:D,4,0))</f>
        <v>2014</v>
      </c>
      <c r="H1390">
        <f>MONTH(INDEX(orders!D:D,MATCH(A1390, orders!A:A,0)))</f>
        <v>12</v>
      </c>
      <c r="I1390" t="str">
        <f>VLOOKUP(VLOOKUP(B1390,products!A:F,6,0),categories!A:B,2,0)</f>
        <v>Dairy Products</v>
      </c>
      <c r="J1390" t="str">
        <f>VLOOKUP(VLOOKUP(A1390,orders!A:B,2,0),customers!A:F,6,0)</f>
        <v>Austria</v>
      </c>
      <c r="K1390" t="str">
        <f>VLOOKUP(VLOOKUP(A1390,orders!A:C,3,0),employees!A:B,2,0)</f>
        <v>Nancy Davolio</v>
      </c>
    </row>
    <row r="1391" spans="1:11" x14ac:dyDescent="0.25">
      <c r="A1391">
        <v>10776</v>
      </c>
      <c r="B1391">
        <v>42</v>
      </c>
      <c r="C1391">
        <v>14</v>
      </c>
      <c r="D1391">
        <v>12</v>
      </c>
      <c r="E1391">
        <v>0.05</v>
      </c>
      <c r="F1391">
        <f t="shared" si="21"/>
        <v>159.6</v>
      </c>
      <c r="G1391">
        <f>YEAR(VLOOKUP(A1391,orders!A:D,4,0))</f>
        <v>2014</v>
      </c>
      <c r="H1391">
        <f>MONTH(INDEX(orders!D:D,MATCH(A1391, orders!A:A,0)))</f>
        <v>12</v>
      </c>
      <c r="I1391" t="str">
        <f>VLOOKUP(VLOOKUP(B1391,products!A:F,6,0),categories!A:B,2,0)</f>
        <v>Grains &amp; Cereals</v>
      </c>
      <c r="J1391" t="str">
        <f>VLOOKUP(VLOOKUP(A1391,orders!A:B,2,0),customers!A:F,6,0)</f>
        <v>Austria</v>
      </c>
      <c r="K1391" t="str">
        <f>VLOOKUP(VLOOKUP(A1391,orders!A:C,3,0),employees!A:B,2,0)</f>
        <v>Nancy Davolio</v>
      </c>
    </row>
    <row r="1392" spans="1:11" x14ac:dyDescent="0.25">
      <c r="A1392">
        <v>10776</v>
      </c>
      <c r="B1392">
        <v>45</v>
      </c>
      <c r="C1392">
        <v>9.5</v>
      </c>
      <c r="D1392">
        <v>27</v>
      </c>
      <c r="E1392">
        <v>0.05</v>
      </c>
      <c r="F1392">
        <f t="shared" si="21"/>
        <v>243.67499999999998</v>
      </c>
      <c r="G1392">
        <f>YEAR(VLOOKUP(A1392,orders!A:D,4,0))</f>
        <v>2014</v>
      </c>
      <c r="H1392">
        <f>MONTH(INDEX(orders!D:D,MATCH(A1392, orders!A:A,0)))</f>
        <v>12</v>
      </c>
      <c r="I1392" t="str">
        <f>VLOOKUP(VLOOKUP(B1392,products!A:F,6,0),categories!A:B,2,0)</f>
        <v>Seafood</v>
      </c>
      <c r="J1392" t="str">
        <f>VLOOKUP(VLOOKUP(A1392,orders!A:B,2,0),customers!A:F,6,0)</f>
        <v>Austria</v>
      </c>
      <c r="K1392" t="str">
        <f>VLOOKUP(VLOOKUP(A1392,orders!A:C,3,0),employees!A:B,2,0)</f>
        <v>Nancy Davolio</v>
      </c>
    </row>
    <row r="1393" spans="1:11" x14ac:dyDescent="0.25">
      <c r="A1393">
        <v>10776</v>
      </c>
      <c r="B1393">
        <v>51</v>
      </c>
      <c r="C1393">
        <v>53</v>
      </c>
      <c r="D1393">
        <v>120</v>
      </c>
      <c r="E1393">
        <v>0.05</v>
      </c>
      <c r="F1393">
        <f t="shared" si="21"/>
        <v>6042</v>
      </c>
      <c r="G1393">
        <f>YEAR(VLOOKUP(A1393,orders!A:D,4,0))</f>
        <v>2014</v>
      </c>
      <c r="H1393">
        <f>MONTH(INDEX(orders!D:D,MATCH(A1393, orders!A:A,0)))</f>
        <v>12</v>
      </c>
      <c r="I1393" t="str">
        <f>VLOOKUP(VLOOKUP(B1393,products!A:F,6,0),categories!A:B,2,0)</f>
        <v>Produce</v>
      </c>
      <c r="J1393" t="str">
        <f>VLOOKUP(VLOOKUP(A1393,orders!A:B,2,0),customers!A:F,6,0)</f>
        <v>Austria</v>
      </c>
      <c r="K1393" t="str">
        <f>VLOOKUP(VLOOKUP(A1393,orders!A:C,3,0),employees!A:B,2,0)</f>
        <v>Nancy Davolio</v>
      </c>
    </row>
    <row r="1394" spans="1:11" x14ac:dyDescent="0.25">
      <c r="A1394">
        <v>10777</v>
      </c>
      <c r="B1394">
        <v>42</v>
      </c>
      <c r="C1394">
        <v>14</v>
      </c>
      <c r="D1394">
        <v>20</v>
      </c>
      <c r="E1394">
        <v>0.2</v>
      </c>
      <c r="F1394">
        <f t="shared" si="21"/>
        <v>224</v>
      </c>
      <c r="G1394">
        <f>YEAR(VLOOKUP(A1394,orders!A:D,4,0))</f>
        <v>2014</v>
      </c>
      <c r="H1394">
        <f>MONTH(INDEX(orders!D:D,MATCH(A1394, orders!A:A,0)))</f>
        <v>12</v>
      </c>
      <c r="I1394" t="str">
        <f>VLOOKUP(VLOOKUP(B1394,products!A:F,6,0),categories!A:B,2,0)</f>
        <v>Grains &amp; Cereals</v>
      </c>
      <c r="J1394" t="str">
        <f>VLOOKUP(VLOOKUP(A1394,orders!A:B,2,0),customers!A:F,6,0)</f>
        <v>Brazil</v>
      </c>
      <c r="K1394" t="str">
        <f>VLOOKUP(VLOOKUP(A1394,orders!A:C,3,0),employees!A:B,2,0)</f>
        <v>Robert King</v>
      </c>
    </row>
    <row r="1395" spans="1:11" x14ac:dyDescent="0.25">
      <c r="A1395">
        <v>10778</v>
      </c>
      <c r="B1395">
        <v>41</v>
      </c>
      <c r="C1395">
        <v>9.65</v>
      </c>
      <c r="D1395">
        <v>10</v>
      </c>
      <c r="E1395">
        <v>0</v>
      </c>
      <c r="F1395">
        <f t="shared" si="21"/>
        <v>96.5</v>
      </c>
      <c r="G1395">
        <f>YEAR(VLOOKUP(A1395,orders!A:D,4,0))</f>
        <v>2014</v>
      </c>
      <c r="H1395">
        <f>MONTH(INDEX(orders!D:D,MATCH(A1395, orders!A:A,0)))</f>
        <v>12</v>
      </c>
      <c r="I1395" t="str">
        <f>VLOOKUP(VLOOKUP(B1395,products!A:F,6,0),categories!A:B,2,0)</f>
        <v>Seafood</v>
      </c>
      <c r="J1395" t="str">
        <f>VLOOKUP(VLOOKUP(A1395,orders!A:B,2,0),customers!A:F,6,0)</f>
        <v>Sweden</v>
      </c>
      <c r="K1395" t="str">
        <f>VLOOKUP(VLOOKUP(A1395,orders!A:C,3,0),employees!A:B,2,0)</f>
        <v>Janet Leverling</v>
      </c>
    </row>
    <row r="1396" spans="1:11" x14ac:dyDescent="0.25">
      <c r="A1396">
        <v>10779</v>
      </c>
      <c r="B1396">
        <v>16</v>
      </c>
      <c r="C1396">
        <v>17.45</v>
      </c>
      <c r="D1396">
        <v>20</v>
      </c>
      <c r="E1396">
        <v>0</v>
      </c>
      <c r="F1396">
        <f t="shared" si="21"/>
        <v>349</v>
      </c>
      <c r="G1396">
        <f>YEAR(VLOOKUP(A1396,orders!A:D,4,0))</f>
        <v>2014</v>
      </c>
      <c r="H1396">
        <f>MONTH(INDEX(orders!D:D,MATCH(A1396, orders!A:A,0)))</f>
        <v>12</v>
      </c>
      <c r="I1396" t="str">
        <f>VLOOKUP(VLOOKUP(B1396,products!A:F,6,0),categories!A:B,2,0)</f>
        <v>Confections</v>
      </c>
      <c r="J1396" t="str">
        <f>VLOOKUP(VLOOKUP(A1396,orders!A:B,2,0),customers!A:F,6,0)</f>
        <v>Germany</v>
      </c>
      <c r="K1396" t="str">
        <f>VLOOKUP(VLOOKUP(A1396,orders!A:C,3,0),employees!A:B,2,0)</f>
        <v>Janet Leverling</v>
      </c>
    </row>
    <row r="1397" spans="1:11" x14ac:dyDescent="0.25">
      <c r="A1397">
        <v>10779</v>
      </c>
      <c r="B1397">
        <v>62</v>
      </c>
      <c r="C1397">
        <v>49.3</v>
      </c>
      <c r="D1397">
        <v>20</v>
      </c>
      <c r="E1397">
        <v>0</v>
      </c>
      <c r="F1397">
        <f t="shared" si="21"/>
        <v>986</v>
      </c>
      <c r="G1397">
        <f>YEAR(VLOOKUP(A1397,orders!A:D,4,0))</f>
        <v>2014</v>
      </c>
      <c r="H1397">
        <f>MONTH(INDEX(orders!D:D,MATCH(A1397, orders!A:A,0)))</f>
        <v>12</v>
      </c>
      <c r="I1397" t="str">
        <f>VLOOKUP(VLOOKUP(B1397,products!A:F,6,0),categories!A:B,2,0)</f>
        <v>Confections</v>
      </c>
      <c r="J1397" t="str">
        <f>VLOOKUP(VLOOKUP(A1397,orders!A:B,2,0),customers!A:F,6,0)</f>
        <v>Germany</v>
      </c>
      <c r="K1397" t="str">
        <f>VLOOKUP(VLOOKUP(A1397,orders!A:C,3,0),employees!A:B,2,0)</f>
        <v>Janet Leverling</v>
      </c>
    </row>
    <row r="1398" spans="1:11" x14ac:dyDescent="0.25">
      <c r="A1398">
        <v>10780</v>
      </c>
      <c r="B1398">
        <v>70</v>
      </c>
      <c r="C1398">
        <v>15</v>
      </c>
      <c r="D1398">
        <v>35</v>
      </c>
      <c r="E1398">
        <v>0</v>
      </c>
      <c r="F1398">
        <f t="shared" si="21"/>
        <v>525</v>
      </c>
      <c r="G1398">
        <f>YEAR(VLOOKUP(A1398,orders!A:D,4,0))</f>
        <v>2014</v>
      </c>
      <c r="H1398">
        <f>MONTH(INDEX(orders!D:D,MATCH(A1398, orders!A:A,0)))</f>
        <v>12</v>
      </c>
      <c r="I1398" t="str">
        <f>VLOOKUP(VLOOKUP(B1398,products!A:F,6,0),categories!A:B,2,0)</f>
        <v>Beverages</v>
      </c>
      <c r="J1398" t="str">
        <f>VLOOKUP(VLOOKUP(A1398,orders!A:B,2,0),customers!A:F,6,0)</f>
        <v>Venezuela</v>
      </c>
      <c r="K1398" t="str">
        <f>VLOOKUP(VLOOKUP(A1398,orders!A:C,3,0),employees!A:B,2,0)</f>
        <v>Andrew Fuller</v>
      </c>
    </row>
    <row r="1399" spans="1:11" x14ac:dyDescent="0.25">
      <c r="A1399">
        <v>10780</v>
      </c>
      <c r="B1399">
        <v>77</v>
      </c>
      <c r="C1399">
        <v>13</v>
      </c>
      <c r="D1399">
        <v>15</v>
      </c>
      <c r="E1399">
        <v>0</v>
      </c>
      <c r="F1399">
        <f t="shared" si="21"/>
        <v>195</v>
      </c>
      <c r="G1399">
        <f>YEAR(VLOOKUP(A1399,orders!A:D,4,0))</f>
        <v>2014</v>
      </c>
      <c r="H1399">
        <f>MONTH(INDEX(orders!D:D,MATCH(A1399, orders!A:A,0)))</f>
        <v>12</v>
      </c>
      <c r="I1399" t="str">
        <f>VLOOKUP(VLOOKUP(B1399,products!A:F,6,0),categories!A:B,2,0)</f>
        <v>Condiments</v>
      </c>
      <c r="J1399" t="str">
        <f>VLOOKUP(VLOOKUP(A1399,orders!A:B,2,0),customers!A:F,6,0)</f>
        <v>Venezuela</v>
      </c>
      <c r="K1399" t="str">
        <f>VLOOKUP(VLOOKUP(A1399,orders!A:C,3,0),employees!A:B,2,0)</f>
        <v>Andrew Fuller</v>
      </c>
    </row>
    <row r="1400" spans="1:11" x14ac:dyDescent="0.25">
      <c r="A1400">
        <v>10781</v>
      </c>
      <c r="B1400">
        <v>54</v>
      </c>
      <c r="C1400">
        <v>7.45</v>
      </c>
      <c r="D1400">
        <v>3</v>
      </c>
      <c r="E1400">
        <v>0.2</v>
      </c>
      <c r="F1400">
        <f t="shared" si="21"/>
        <v>17.880000000000003</v>
      </c>
      <c r="G1400">
        <f>YEAR(VLOOKUP(A1400,orders!A:D,4,0))</f>
        <v>2014</v>
      </c>
      <c r="H1400">
        <f>MONTH(INDEX(orders!D:D,MATCH(A1400, orders!A:A,0)))</f>
        <v>12</v>
      </c>
      <c r="I1400" t="str">
        <f>VLOOKUP(VLOOKUP(B1400,products!A:F,6,0),categories!A:B,2,0)</f>
        <v>Meat &amp; Poultry</v>
      </c>
      <c r="J1400" t="str">
        <f>VLOOKUP(VLOOKUP(A1400,orders!A:B,2,0),customers!A:F,6,0)</f>
        <v>Finland</v>
      </c>
      <c r="K1400" t="str">
        <f>VLOOKUP(VLOOKUP(A1400,orders!A:C,3,0),employees!A:B,2,0)</f>
        <v>Andrew Fuller</v>
      </c>
    </row>
    <row r="1401" spans="1:11" x14ac:dyDescent="0.25">
      <c r="A1401">
        <v>10781</v>
      </c>
      <c r="B1401">
        <v>56</v>
      </c>
      <c r="C1401">
        <v>38</v>
      </c>
      <c r="D1401">
        <v>20</v>
      </c>
      <c r="E1401">
        <v>0.2</v>
      </c>
      <c r="F1401">
        <f t="shared" si="21"/>
        <v>608</v>
      </c>
      <c r="G1401">
        <f>YEAR(VLOOKUP(A1401,orders!A:D,4,0))</f>
        <v>2014</v>
      </c>
      <c r="H1401">
        <f>MONTH(INDEX(orders!D:D,MATCH(A1401, orders!A:A,0)))</f>
        <v>12</v>
      </c>
      <c r="I1401" t="str">
        <f>VLOOKUP(VLOOKUP(B1401,products!A:F,6,0),categories!A:B,2,0)</f>
        <v>Grains &amp; Cereals</v>
      </c>
      <c r="J1401" t="str">
        <f>VLOOKUP(VLOOKUP(A1401,orders!A:B,2,0),customers!A:F,6,0)</f>
        <v>Finland</v>
      </c>
      <c r="K1401" t="str">
        <f>VLOOKUP(VLOOKUP(A1401,orders!A:C,3,0),employees!A:B,2,0)</f>
        <v>Andrew Fuller</v>
      </c>
    </row>
    <row r="1402" spans="1:11" x14ac:dyDescent="0.25">
      <c r="A1402">
        <v>10781</v>
      </c>
      <c r="B1402">
        <v>74</v>
      </c>
      <c r="C1402">
        <v>10</v>
      </c>
      <c r="D1402">
        <v>35</v>
      </c>
      <c r="E1402">
        <v>0</v>
      </c>
      <c r="F1402">
        <f t="shared" si="21"/>
        <v>350</v>
      </c>
      <c r="G1402">
        <f>YEAR(VLOOKUP(A1402,orders!A:D,4,0))</f>
        <v>2014</v>
      </c>
      <c r="H1402">
        <f>MONTH(INDEX(orders!D:D,MATCH(A1402, orders!A:A,0)))</f>
        <v>12</v>
      </c>
      <c r="I1402" t="str">
        <f>VLOOKUP(VLOOKUP(B1402,products!A:F,6,0),categories!A:B,2,0)</f>
        <v>Produce</v>
      </c>
      <c r="J1402" t="str">
        <f>VLOOKUP(VLOOKUP(A1402,orders!A:B,2,0),customers!A:F,6,0)</f>
        <v>Finland</v>
      </c>
      <c r="K1402" t="str">
        <f>VLOOKUP(VLOOKUP(A1402,orders!A:C,3,0),employees!A:B,2,0)</f>
        <v>Andrew Fuller</v>
      </c>
    </row>
    <row r="1403" spans="1:11" x14ac:dyDescent="0.25">
      <c r="A1403">
        <v>10782</v>
      </c>
      <c r="B1403">
        <v>31</v>
      </c>
      <c r="C1403">
        <v>12.5</v>
      </c>
      <c r="D1403">
        <v>1</v>
      </c>
      <c r="E1403">
        <v>0</v>
      </c>
      <c r="F1403">
        <f t="shared" si="21"/>
        <v>12.5</v>
      </c>
      <c r="G1403">
        <f>YEAR(VLOOKUP(A1403,orders!A:D,4,0))</f>
        <v>2014</v>
      </c>
      <c r="H1403">
        <f>MONTH(INDEX(orders!D:D,MATCH(A1403, orders!A:A,0)))</f>
        <v>12</v>
      </c>
      <c r="I1403" t="str">
        <f>VLOOKUP(VLOOKUP(B1403,products!A:F,6,0),categories!A:B,2,0)</f>
        <v>Dairy Products</v>
      </c>
      <c r="J1403" t="str">
        <f>VLOOKUP(VLOOKUP(A1403,orders!A:B,2,0),customers!A:F,6,0)</f>
        <v>Argentina</v>
      </c>
      <c r="K1403" t="str">
        <f>VLOOKUP(VLOOKUP(A1403,orders!A:C,3,0),employees!A:B,2,0)</f>
        <v>Anne Dodsworth</v>
      </c>
    </row>
    <row r="1404" spans="1:11" x14ac:dyDescent="0.25">
      <c r="A1404">
        <v>10783</v>
      </c>
      <c r="B1404">
        <v>31</v>
      </c>
      <c r="C1404">
        <v>12.5</v>
      </c>
      <c r="D1404">
        <v>10</v>
      </c>
      <c r="E1404">
        <v>0</v>
      </c>
      <c r="F1404">
        <f t="shared" si="21"/>
        <v>125</v>
      </c>
      <c r="G1404">
        <f>YEAR(VLOOKUP(A1404,orders!A:D,4,0))</f>
        <v>2014</v>
      </c>
      <c r="H1404">
        <f>MONTH(INDEX(orders!D:D,MATCH(A1404, orders!A:A,0)))</f>
        <v>12</v>
      </c>
      <c r="I1404" t="str">
        <f>VLOOKUP(VLOOKUP(B1404,products!A:F,6,0),categories!A:B,2,0)</f>
        <v>Dairy Products</v>
      </c>
      <c r="J1404" t="str">
        <f>VLOOKUP(VLOOKUP(A1404,orders!A:B,2,0),customers!A:F,6,0)</f>
        <v>Brazil</v>
      </c>
      <c r="K1404" t="str">
        <f>VLOOKUP(VLOOKUP(A1404,orders!A:C,3,0),employees!A:B,2,0)</f>
        <v>Margaret Peacock</v>
      </c>
    </row>
    <row r="1405" spans="1:11" x14ac:dyDescent="0.25">
      <c r="A1405">
        <v>10783</v>
      </c>
      <c r="B1405">
        <v>38</v>
      </c>
      <c r="C1405">
        <v>263.5</v>
      </c>
      <c r="D1405">
        <v>5</v>
      </c>
      <c r="E1405">
        <v>0</v>
      </c>
      <c r="F1405">
        <f t="shared" si="21"/>
        <v>1317.5</v>
      </c>
      <c r="G1405">
        <f>YEAR(VLOOKUP(A1405,orders!A:D,4,0))</f>
        <v>2014</v>
      </c>
      <c r="H1405">
        <f>MONTH(INDEX(orders!D:D,MATCH(A1405, orders!A:A,0)))</f>
        <v>12</v>
      </c>
      <c r="I1405" t="str">
        <f>VLOOKUP(VLOOKUP(B1405,products!A:F,6,0),categories!A:B,2,0)</f>
        <v>Beverages</v>
      </c>
      <c r="J1405" t="str">
        <f>VLOOKUP(VLOOKUP(A1405,orders!A:B,2,0),customers!A:F,6,0)</f>
        <v>Brazil</v>
      </c>
      <c r="K1405" t="str">
        <f>VLOOKUP(VLOOKUP(A1405,orders!A:C,3,0),employees!A:B,2,0)</f>
        <v>Margaret Peacock</v>
      </c>
    </row>
    <row r="1406" spans="1:11" x14ac:dyDescent="0.25">
      <c r="A1406">
        <v>10784</v>
      </c>
      <c r="B1406">
        <v>36</v>
      </c>
      <c r="C1406">
        <v>19</v>
      </c>
      <c r="D1406">
        <v>30</v>
      </c>
      <c r="E1406">
        <v>0</v>
      </c>
      <c r="F1406">
        <f t="shared" si="21"/>
        <v>570</v>
      </c>
      <c r="G1406">
        <f>YEAR(VLOOKUP(A1406,orders!A:D,4,0))</f>
        <v>2014</v>
      </c>
      <c r="H1406">
        <f>MONTH(INDEX(orders!D:D,MATCH(A1406, orders!A:A,0)))</f>
        <v>12</v>
      </c>
      <c r="I1406" t="str">
        <f>VLOOKUP(VLOOKUP(B1406,products!A:F,6,0),categories!A:B,2,0)</f>
        <v>Seafood</v>
      </c>
      <c r="J1406" t="str">
        <f>VLOOKUP(VLOOKUP(A1406,orders!A:B,2,0),customers!A:F,6,0)</f>
        <v>Italy</v>
      </c>
      <c r="K1406" t="str">
        <f>VLOOKUP(VLOOKUP(A1406,orders!A:C,3,0),employees!A:B,2,0)</f>
        <v>Margaret Peacock</v>
      </c>
    </row>
    <row r="1407" spans="1:11" x14ac:dyDescent="0.25">
      <c r="A1407">
        <v>10784</v>
      </c>
      <c r="B1407">
        <v>39</v>
      </c>
      <c r="C1407">
        <v>18</v>
      </c>
      <c r="D1407">
        <v>2</v>
      </c>
      <c r="E1407">
        <v>0.15</v>
      </c>
      <c r="F1407">
        <f t="shared" si="21"/>
        <v>30.599999999999998</v>
      </c>
      <c r="G1407">
        <f>YEAR(VLOOKUP(A1407,orders!A:D,4,0))</f>
        <v>2014</v>
      </c>
      <c r="H1407">
        <f>MONTH(INDEX(orders!D:D,MATCH(A1407, orders!A:A,0)))</f>
        <v>12</v>
      </c>
      <c r="I1407" t="str">
        <f>VLOOKUP(VLOOKUP(B1407,products!A:F,6,0),categories!A:B,2,0)</f>
        <v>Beverages</v>
      </c>
      <c r="J1407" t="str">
        <f>VLOOKUP(VLOOKUP(A1407,orders!A:B,2,0),customers!A:F,6,0)</f>
        <v>Italy</v>
      </c>
      <c r="K1407" t="str">
        <f>VLOOKUP(VLOOKUP(A1407,orders!A:C,3,0),employees!A:B,2,0)</f>
        <v>Margaret Peacock</v>
      </c>
    </row>
    <row r="1408" spans="1:11" x14ac:dyDescent="0.25">
      <c r="A1408">
        <v>10784</v>
      </c>
      <c r="B1408">
        <v>72</v>
      </c>
      <c r="C1408">
        <v>34.799999999999997</v>
      </c>
      <c r="D1408">
        <v>30</v>
      </c>
      <c r="E1408">
        <v>0.15</v>
      </c>
      <c r="F1408">
        <f t="shared" si="21"/>
        <v>887.4</v>
      </c>
      <c r="G1408">
        <f>YEAR(VLOOKUP(A1408,orders!A:D,4,0))</f>
        <v>2014</v>
      </c>
      <c r="H1408">
        <f>MONTH(INDEX(orders!D:D,MATCH(A1408, orders!A:A,0)))</f>
        <v>12</v>
      </c>
      <c r="I1408" t="str">
        <f>VLOOKUP(VLOOKUP(B1408,products!A:F,6,0),categories!A:B,2,0)</f>
        <v>Dairy Products</v>
      </c>
      <c r="J1408" t="str">
        <f>VLOOKUP(VLOOKUP(A1408,orders!A:B,2,0),customers!A:F,6,0)</f>
        <v>Italy</v>
      </c>
      <c r="K1408" t="str">
        <f>VLOOKUP(VLOOKUP(A1408,orders!A:C,3,0),employees!A:B,2,0)</f>
        <v>Margaret Peacock</v>
      </c>
    </row>
    <row r="1409" spans="1:11" x14ac:dyDescent="0.25">
      <c r="A1409">
        <v>10785</v>
      </c>
      <c r="B1409">
        <v>10</v>
      </c>
      <c r="C1409">
        <v>31</v>
      </c>
      <c r="D1409">
        <v>10</v>
      </c>
      <c r="E1409">
        <v>0</v>
      </c>
      <c r="F1409">
        <f t="shared" si="21"/>
        <v>310</v>
      </c>
      <c r="G1409">
        <f>YEAR(VLOOKUP(A1409,orders!A:D,4,0))</f>
        <v>2014</v>
      </c>
      <c r="H1409">
        <f>MONTH(INDEX(orders!D:D,MATCH(A1409, orders!A:A,0)))</f>
        <v>12</v>
      </c>
      <c r="I1409" t="str">
        <f>VLOOKUP(VLOOKUP(B1409,products!A:F,6,0),categories!A:B,2,0)</f>
        <v>Seafood</v>
      </c>
      <c r="J1409" t="str">
        <f>VLOOKUP(VLOOKUP(A1409,orders!A:B,2,0),customers!A:F,6,0)</f>
        <v>Venezuela</v>
      </c>
      <c r="K1409" t="str">
        <f>VLOOKUP(VLOOKUP(A1409,orders!A:C,3,0),employees!A:B,2,0)</f>
        <v>Nancy Davolio</v>
      </c>
    </row>
    <row r="1410" spans="1:11" x14ac:dyDescent="0.25">
      <c r="A1410">
        <v>10785</v>
      </c>
      <c r="B1410">
        <v>75</v>
      </c>
      <c r="C1410">
        <v>7.75</v>
      </c>
      <c r="D1410">
        <v>10</v>
      </c>
      <c r="E1410">
        <v>0</v>
      </c>
      <c r="F1410">
        <f t="shared" si="21"/>
        <v>77.5</v>
      </c>
      <c r="G1410">
        <f>YEAR(VLOOKUP(A1410,orders!A:D,4,0))</f>
        <v>2014</v>
      </c>
      <c r="H1410">
        <f>MONTH(INDEX(orders!D:D,MATCH(A1410, orders!A:A,0)))</f>
        <v>12</v>
      </c>
      <c r="I1410" t="str">
        <f>VLOOKUP(VLOOKUP(B1410,products!A:F,6,0),categories!A:B,2,0)</f>
        <v>Beverages</v>
      </c>
      <c r="J1410" t="str">
        <f>VLOOKUP(VLOOKUP(A1410,orders!A:B,2,0),customers!A:F,6,0)</f>
        <v>Venezuela</v>
      </c>
      <c r="K1410" t="str">
        <f>VLOOKUP(VLOOKUP(A1410,orders!A:C,3,0),employees!A:B,2,0)</f>
        <v>Nancy Davolio</v>
      </c>
    </row>
    <row r="1411" spans="1:11" x14ac:dyDescent="0.25">
      <c r="A1411">
        <v>10786</v>
      </c>
      <c r="B1411">
        <v>8</v>
      </c>
      <c r="C1411">
        <v>40</v>
      </c>
      <c r="D1411">
        <v>30</v>
      </c>
      <c r="E1411">
        <v>0.2</v>
      </c>
      <c r="F1411">
        <f t="shared" ref="F1411:F1474" si="22">C1411*D1411*(1-E1411)</f>
        <v>960</v>
      </c>
      <c r="G1411">
        <f>YEAR(VLOOKUP(A1411,orders!A:D,4,0))</f>
        <v>2014</v>
      </c>
      <c r="H1411">
        <f>MONTH(INDEX(orders!D:D,MATCH(A1411, orders!A:A,0)))</f>
        <v>12</v>
      </c>
      <c r="I1411" t="str">
        <f>VLOOKUP(VLOOKUP(B1411,products!A:F,6,0),categories!A:B,2,0)</f>
        <v>Condiments</v>
      </c>
      <c r="J1411" t="str">
        <f>VLOOKUP(VLOOKUP(A1411,orders!A:B,2,0),customers!A:F,6,0)</f>
        <v>Brazil</v>
      </c>
      <c r="K1411" t="str">
        <f>VLOOKUP(VLOOKUP(A1411,orders!A:C,3,0),employees!A:B,2,0)</f>
        <v>Laura Callahan</v>
      </c>
    </row>
    <row r="1412" spans="1:11" x14ac:dyDescent="0.25">
      <c r="A1412">
        <v>10786</v>
      </c>
      <c r="B1412">
        <v>30</v>
      </c>
      <c r="C1412">
        <v>25.89</v>
      </c>
      <c r="D1412">
        <v>15</v>
      </c>
      <c r="E1412">
        <v>0.2</v>
      </c>
      <c r="F1412">
        <f t="shared" si="22"/>
        <v>310.68000000000006</v>
      </c>
      <c r="G1412">
        <f>YEAR(VLOOKUP(A1412,orders!A:D,4,0))</f>
        <v>2014</v>
      </c>
      <c r="H1412">
        <f>MONTH(INDEX(orders!D:D,MATCH(A1412, orders!A:A,0)))</f>
        <v>12</v>
      </c>
      <c r="I1412" t="str">
        <f>VLOOKUP(VLOOKUP(B1412,products!A:F,6,0),categories!A:B,2,0)</f>
        <v>Seafood</v>
      </c>
      <c r="J1412" t="str">
        <f>VLOOKUP(VLOOKUP(A1412,orders!A:B,2,0),customers!A:F,6,0)</f>
        <v>Brazil</v>
      </c>
      <c r="K1412" t="str">
        <f>VLOOKUP(VLOOKUP(A1412,orders!A:C,3,0),employees!A:B,2,0)</f>
        <v>Laura Callahan</v>
      </c>
    </row>
    <row r="1413" spans="1:11" x14ac:dyDescent="0.25">
      <c r="A1413">
        <v>10786</v>
      </c>
      <c r="B1413">
        <v>75</v>
      </c>
      <c r="C1413">
        <v>7.75</v>
      </c>
      <c r="D1413">
        <v>42</v>
      </c>
      <c r="E1413">
        <v>0.2</v>
      </c>
      <c r="F1413">
        <f t="shared" si="22"/>
        <v>260.40000000000003</v>
      </c>
      <c r="G1413">
        <f>YEAR(VLOOKUP(A1413,orders!A:D,4,0))</f>
        <v>2014</v>
      </c>
      <c r="H1413">
        <f>MONTH(INDEX(orders!D:D,MATCH(A1413, orders!A:A,0)))</f>
        <v>12</v>
      </c>
      <c r="I1413" t="str">
        <f>VLOOKUP(VLOOKUP(B1413,products!A:F,6,0),categories!A:B,2,0)</f>
        <v>Beverages</v>
      </c>
      <c r="J1413" t="str">
        <f>VLOOKUP(VLOOKUP(A1413,orders!A:B,2,0),customers!A:F,6,0)</f>
        <v>Brazil</v>
      </c>
      <c r="K1413" t="str">
        <f>VLOOKUP(VLOOKUP(A1413,orders!A:C,3,0),employees!A:B,2,0)</f>
        <v>Laura Callahan</v>
      </c>
    </row>
    <row r="1414" spans="1:11" x14ac:dyDescent="0.25">
      <c r="A1414">
        <v>10787</v>
      </c>
      <c r="B1414">
        <v>2</v>
      </c>
      <c r="C1414">
        <v>19</v>
      </c>
      <c r="D1414">
        <v>15</v>
      </c>
      <c r="E1414">
        <v>0.05</v>
      </c>
      <c r="F1414">
        <f t="shared" si="22"/>
        <v>270.75</v>
      </c>
      <c r="G1414">
        <f>YEAR(VLOOKUP(A1414,orders!A:D,4,0))</f>
        <v>2014</v>
      </c>
      <c r="H1414">
        <f>MONTH(INDEX(orders!D:D,MATCH(A1414, orders!A:A,0)))</f>
        <v>12</v>
      </c>
      <c r="I1414" t="str">
        <f>VLOOKUP(VLOOKUP(B1414,products!A:F,6,0),categories!A:B,2,0)</f>
        <v>Beverages</v>
      </c>
      <c r="J1414" t="str">
        <f>VLOOKUP(VLOOKUP(A1414,orders!A:B,2,0),customers!A:F,6,0)</f>
        <v>France</v>
      </c>
      <c r="K1414" t="str">
        <f>VLOOKUP(VLOOKUP(A1414,orders!A:C,3,0),employees!A:B,2,0)</f>
        <v>Andrew Fuller</v>
      </c>
    </row>
    <row r="1415" spans="1:11" x14ac:dyDescent="0.25">
      <c r="A1415">
        <v>10787</v>
      </c>
      <c r="B1415">
        <v>29</v>
      </c>
      <c r="C1415">
        <v>123.79</v>
      </c>
      <c r="D1415">
        <v>20</v>
      </c>
      <c r="E1415">
        <v>0.05</v>
      </c>
      <c r="F1415">
        <f t="shared" si="22"/>
        <v>2352.0100000000002</v>
      </c>
      <c r="G1415">
        <f>YEAR(VLOOKUP(A1415,orders!A:D,4,0))</f>
        <v>2014</v>
      </c>
      <c r="H1415">
        <f>MONTH(INDEX(orders!D:D,MATCH(A1415, orders!A:A,0)))</f>
        <v>12</v>
      </c>
      <c r="I1415" t="str">
        <f>VLOOKUP(VLOOKUP(B1415,products!A:F,6,0),categories!A:B,2,0)</f>
        <v>Meat &amp; Poultry</v>
      </c>
      <c r="J1415" t="str">
        <f>VLOOKUP(VLOOKUP(A1415,orders!A:B,2,0),customers!A:F,6,0)</f>
        <v>France</v>
      </c>
      <c r="K1415" t="str">
        <f>VLOOKUP(VLOOKUP(A1415,orders!A:C,3,0),employees!A:B,2,0)</f>
        <v>Andrew Fuller</v>
      </c>
    </row>
    <row r="1416" spans="1:11" x14ac:dyDescent="0.25">
      <c r="A1416">
        <v>10788</v>
      </c>
      <c r="B1416">
        <v>19</v>
      </c>
      <c r="C1416">
        <v>9.1999999999999993</v>
      </c>
      <c r="D1416">
        <v>50</v>
      </c>
      <c r="E1416">
        <v>0.05</v>
      </c>
      <c r="F1416">
        <f t="shared" si="22"/>
        <v>436.99999999999994</v>
      </c>
      <c r="G1416">
        <f>YEAR(VLOOKUP(A1416,orders!A:D,4,0))</f>
        <v>2014</v>
      </c>
      <c r="H1416">
        <f>MONTH(INDEX(orders!D:D,MATCH(A1416, orders!A:A,0)))</f>
        <v>12</v>
      </c>
      <c r="I1416" t="str">
        <f>VLOOKUP(VLOOKUP(B1416,products!A:F,6,0),categories!A:B,2,0)</f>
        <v>Confections</v>
      </c>
      <c r="J1416" t="str">
        <f>VLOOKUP(VLOOKUP(A1416,orders!A:B,2,0),customers!A:F,6,0)</f>
        <v>Germany</v>
      </c>
      <c r="K1416" t="str">
        <f>VLOOKUP(VLOOKUP(A1416,orders!A:C,3,0),employees!A:B,2,0)</f>
        <v>Nancy Davolio</v>
      </c>
    </row>
    <row r="1417" spans="1:11" x14ac:dyDescent="0.25">
      <c r="A1417">
        <v>10788</v>
      </c>
      <c r="B1417">
        <v>75</v>
      </c>
      <c r="C1417">
        <v>7.75</v>
      </c>
      <c r="D1417">
        <v>40</v>
      </c>
      <c r="E1417">
        <v>0.05</v>
      </c>
      <c r="F1417">
        <f t="shared" si="22"/>
        <v>294.5</v>
      </c>
      <c r="G1417">
        <f>YEAR(VLOOKUP(A1417,orders!A:D,4,0))</f>
        <v>2014</v>
      </c>
      <c r="H1417">
        <f>MONTH(INDEX(orders!D:D,MATCH(A1417, orders!A:A,0)))</f>
        <v>12</v>
      </c>
      <c r="I1417" t="str">
        <f>VLOOKUP(VLOOKUP(B1417,products!A:F,6,0),categories!A:B,2,0)</f>
        <v>Beverages</v>
      </c>
      <c r="J1417" t="str">
        <f>VLOOKUP(VLOOKUP(A1417,orders!A:B,2,0),customers!A:F,6,0)</f>
        <v>Germany</v>
      </c>
      <c r="K1417" t="str">
        <f>VLOOKUP(VLOOKUP(A1417,orders!A:C,3,0),employees!A:B,2,0)</f>
        <v>Nancy Davolio</v>
      </c>
    </row>
    <row r="1418" spans="1:11" x14ac:dyDescent="0.25">
      <c r="A1418">
        <v>10789</v>
      </c>
      <c r="B1418">
        <v>18</v>
      </c>
      <c r="C1418">
        <v>62.5</v>
      </c>
      <c r="D1418">
        <v>30</v>
      </c>
      <c r="E1418">
        <v>0</v>
      </c>
      <c r="F1418">
        <f t="shared" si="22"/>
        <v>1875</v>
      </c>
      <c r="G1418">
        <f>YEAR(VLOOKUP(A1418,orders!A:D,4,0))</f>
        <v>2014</v>
      </c>
      <c r="H1418">
        <f>MONTH(INDEX(orders!D:D,MATCH(A1418, orders!A:A,0)))</f>
        <v>12</v>
      </c>
      <c r="I1418" t="str">
        <f>VLOOKUP(VLOOKUP(B1418,products!A:F,6,0),categories!A:B,2,0)</f>
        <v>Seafood</v>
      </c>
      <c r="J1418" t="str">
        <f>VLOOKUP(VLOOKUP(A1418,orders!A:B,2,0),customers!A:F,6,0)</f>
        <v>France</v>
      </c>
      <c r="K1418" t="str">
        <f>VLOOKUP(VLOOKUP(A1418,orders!A:C,3,0),employees!A:B,2,0)</f>
        <v>Nancy Davolio</v>
      </c>
    </row>
    <row r="1419" spans="1:11" x14ac:dyDescent="0.25">
      <c r="A1419">
        <v>10789</v>
      </c>
      <c r="B1419">
        <v>35</v>
      </c>
      <c r="C1419">
        <v>18</v>
      </c>
      <c r="D1419">
        <v>15</v>
      </c>
      <c r="E1419">
        <v>0</v>
      </c>
      <c r="F1419">
        <f t="shared" si="22"/>
        <v>270</v>
      </c>
      <c r="G1419">
        <f>YEAR(VLOOKUP(A1419,orders!A:D,4,0))</f>
        <v>2014</v>
      </c>
      <c r="H1419">
        <f>MONTH(INDEX(orders!D:D,MATCH(A1419, orders!A:A,0)))</f>
        <v>12</v>
      </c>
      <c r="I1419" t="str">
        <f>VLOOKUP(VLOOKUP(B1419,products!A:F,6,0),categories!A:B,2,0)</f>
        <v>Beverages</v>
      </c>
      <c r="J1419" t="str">
        <f>VLOOKUP(VLOOKUP(A1419,orders!A:B,2,0),customers!A:F,6,0)</f>
        <v>France</v>
      </c>
      <c r="K1419" t="str">
        <f>VLOOKUP(VLOOKUP(A1419,orders!A:C,3,0),employees!A:B,2,0)</f>
        <v>Nancy Davolio</v>
      </c>
    </row>
    <row r="1420" spans="1:11" x14ac:dyDescent="0.25">
      <c r="A1420">
        <v>10789</v>
      </c>
      <c r="B1420">
        <v>63</v>
      </c>
      <c r="C1420">
        <v>43.9</v>
      </c>
      <c r="D1420">
        <v>30</v>
      </c>
      <c r="E1420">
        <v>0</v>
      </c>
      <c r="F1420">
        <f t="shared" si="22"/>
        <v>1317</v>
      </c>
      <c r="G1420">
        <f>YEAR(VLOOKUP(A1420,orders!A:D,4,0))</f>
        <v>2014</v>
      </c>
      <c r="H1420">
        <f>MONTH(INDEX(orders!D:D,MATCH(A1420, orders!A:A,0)))</f>
        <v>12</v>
      </c>
      <c r="I1420" t="str">
        <f>VLOOKUP(VLOOKUP(B1420,products!A:F,6,0),categories!A:B,2,0)</f>
        <v>Condiments</v>
      </c>
      <c r="J1420" t="str">
        <f>VLOOKUP(VLOOKUP(A1420,orders!A:B,2,0),customers!A:F,6,0)</f>
        <v>France</v>
      </c>
      <c r="K1420" t="str">
        <f>VLOOKUP(VLOOKUP(A1420,orders!A:C,3,0),employees!A:B,2,0)</f>
        <v>Nancy Davolio</v>
      </c>
    </row>
    <row r="1421" spans="1:11" x14ac:dyDescent="0.25">
      <c r="A1421">
        <v>10789</v>
      </c>
      <c r="B1421">
        <v>68</v>
      </c>
      <c r="C1421">
        <v>12.5</v>
      </c>
      <c r="D1421">
        <v>18</v>
      </c>
      <c r="E1421">
        <v>0</v>
      </c>
      <c r="F1421">
        <f t="shared" si="22"/>
        <v>225</v>
      </c>
      <c r="G1421">
        <f>YEAR(VLOOKUP(A1421,orders!A:D,4,0))</f>
        <v>2014</v>
      </c>
      <c r="H1421">
        <f>MONTH(INDEX(orders!D:D,MATCH(A1421, orders!A:A,0)))</f>
        <v>12</v>
      </c>
      <c r="I1421" t="str">
        <f>VLOOKUP(VLOOKUP(B1421,products!A:F,6,0),categories!A:B,2,0)</f>
        <v>Confections</v>
      </c>
      <c r="J1421" t="str">
        <f>VLOOKUP(VLOOKUP(A1421,orders!A:B,2,0),customers!A:F,6,0)</f>
        <v>France</v>
      </c>
      <c r="K1421" t="str">
        <f>VLOOKUP(VLOOKUP(A1421,orders!A:C,3,0),employees!A:B,2,0)</f>
        <v>Nancy Davolio</v>
      </c>
    </row>
    <row r="1422" spans="1:11" x14ac:dyDescent="0.25">
      <c r="A1422">
        <v>10790</v>
      </c>
      <c r="B1422">
        <v>7</v>
      </c>
      <c r="C1422">
        <v>30</v>
      </c>
      <c r="D1422">
        <v>3</v>
      </c>
      <c r="E1422">
        <v>0.15</v>
      </c>
      <c r="F1422">
        <f t="shared" si="22"/>
        <v>76.5</v>
      </c>
      <c r="G1422">
        <f>YEAR(VLOOKUP(A1422,orders!A:D,4,0))</f>
        <v>2014</v>
      </c>
      <c r="H1422">
        <f>MONTH(INDEX(orders!D:D,MATCH(A1422, orders!A:A,0)))</f>
        <v>12</v>
      </c>
      <c r="I1422" t="str">
        <f>VLOOKUP(VLOOKUP(B1422,products!A:F,6,0),categories!A:B,2,0)</f>
        <v>Produce</v>
      </c>
      <c r="J1422" t="str">
        <f>VLOOKUP(VLOOKUP(A1422,orders!A:B,2,0),customers!A:F,6,0)</f>
        <v>Brazil</v>
      </c>
      <c r="K1422" t="str">
        <f>VLOOKUP(VLOOKUP(A1422,orders!A:C,3,0),employees!A:B,2,0)</f>
        <v>Michael Suyama</v>
      </c>
    </row>
    <row r="1423" spans="1:11" x14ac:dyDescent="0.25">
      <c r="A1423">
        <v>10790</v>
      </c>
      <c r="B1423">
        <v>56</v>
      </c>
      <c r="C1423">
        <v>38</v>
      </c>
      <c r="D1423">
        <v>20</v>
      </c>
      <c r="E1423">
        <v>0.15</v>
      </c>
      <c r="F1423">
        <f t="shared" si="22"/>
        <v>646</v>
      </c>
      <c r="G1423">
        <f>YEAR(VLOOKUP(A1423,orders!A:D,4,0))</f>
        <v>2014</v>
      </c>
      <c r="H1423">
        <f>MONTH(INDEX(orders!D:D,MATCH(A1423, orders!A:A,0)))</f>
        <v>12</v>
      </c>
      <c r="I1423" t="str">
        <f>VLOOKUP(VLOOKUP(B1423,products!A:F,6,0),categories!A:B,2,0)</f>
        <v>Grains &amp; Cereals</v>
      </c>
      <c r="J1423" t="str">
        <f>VLOOKUP(VLOOKUP(A1423,orders!A:B,2,0),customers!A:F,6,0)</f>
        <v>Brazil</v>
      </c>
      <c r="K1423" t="str">
        <f>VLOOKUP(VLOOKUP(A1423,orders!A:C,3,0),employees!A:B,2,0)</f>
        <v>Michael Suyama</v>
      </c>
    </row>
    <row r="1424" spans="1:11" x14ac:dyDescent="0.25">
      <c r="A1424">
        <v>10791</v>
      </c>
      <c r="B1424">
        <v>29</v>
      </c>
      <c r="C1424">
        <v>123.79</v>
      </c>
      <c r="D1424">
        <v>14</v>
      </c>
      <c r="E1424">
        <v>0.05</v>
      </c>
      <c r="F1424">
        <f t="shared" si="22"/>
        <v>1646.4070000000002</v>
      </c>
      <c r="G1424">
        <f>YEAR(VLOOKUP(A1424,orders!A:D,4,0))</f>
        <v>2014</v>
      </c>
      <c r="H1424">
        <f>MONTH(INDEX(orders!D:D,MATCH(A1424, orders!A:A,0)))</f>
        <v>12</v>
      </c>
      <c r="I1424" t="str">
        <f>VLOOKUP(VLOOKUP(B1424,products!A:F,6,0),categories!A:B,2,0)</f>
        <v>Meat &amp; Poultry</v>
      </c>
      <c r="J1424" t="str">
        <f>VLOOKUP(VLOOKUP(A1424,orders!A:B,2,0),customers!A:F,6,0)</f>
        <v>Germany</v>
      </c>
      <c r="K1424" t="str">
        <f>VLOOKUP(VLOOKUP(A1424,orders!A:C,3,0),employees!A:B,2,0)</f>
        <v>Michael Suyama</v>
      </c>
    </row>
    <row r="1425" spans="1:11" x14ac:dyDescent="0.25">
      <c r="A1425">
        <v>10791</v>
      </c>
      <c r="B1425">
        <v>41</v>
      </c>
      <c r="C1425">
        <v>9.65</v>
      </c>
      <c r="D1425">
        <v>20</v>
      </c>
      <c r="E1425">
        <v>0.05</v>
      </c>
      <c r="F1425">
        <f t="shared" si="22"/>
        <v>183.35</v>
      </c>
      <c r="G1425">
        <f>YEAR(VLOOKUP(A1425,orders!A:D,4,0))</f>
        <v>2014</v>
      </c>
      <c r="H1425">
        <f>MONTH(INDEX(orders!D:D,MATCH(A1425, orders!A:A,0)))</f>
        <v>12</v>
      </c>
      <c r="I1425" t="str">
        <f>VLOOKUP(VLOOKUP(B1425,products!A:F,6,0),categories!A:B,2,0)</f>
        <v>Seafood</v>
      </c>
      <c r="J1425" t="str">
        <f>VLOOKUP(VLOOKUP(A1425,orders!A:B,2,0),customers!A:F,6,0)</f>
        <v>Germany</v>
      </c>
      <c r="K1425" t="str">
        <f>VLOOKUP(VLOOKUP(A1425,orders!A:C,3,0),employees!A:B,2,0)</f>
        <v>Michael Suyama</v>
      </c>
    </row>
    <row r="1426" spans="1:11" x14ac:dyDescent="0.25">
      <c r="A1426">
        <v>10792</v>
      </c>
      <c r="B1426">
        <v>2</v>
      </c>
      <c r="C1426">
        <v>19</v>
      </c>
      <c r="D1426">
        <v>10</v>
      </c>
      <c r="E1426">
        <v>0</v>
      </c>
      <c r="F1426">
        <f t="shared" si="22"/>
        <v>190</v>
      </c>
      <c r="G1426">
        <f>YEAR(VLOOKUP(A1426,orders!A:D,4,0))</f>
        <v>2014</v>
      </c>
      <c r="H1426">
        <f>MONTH(INDEX(orders!D:D,MATCH(A1426, orders!A:A,0)))</f>
        <v>12</v>
      </c>
      <c r="I1426" t="str">
        <f>VLOOKUP(VLOOKUP(B1426,products!A:F,6,0),categories!A:B,2,0)</f>
        <v>Beverages</v>
      </c>
      <c r="J1426" t="str">
        <f>VLOOKUP(VLOOKUP(A1426,orders!A:B,2,0),customers!A:F,6,0)</f>
        <v>Poland</v>
      </c>
      <c r="K1426" t="str">
        <f>VLOOKUP(VLOOKUP(A1426,orders!A:C,3,0),employees!A:B,2,0)</f>
        <v>Nancy Davolio</v>
      </c>
    </row>
    <row r="1427" spans="1:11" x14ac:dyDescent="0.25">
      <c r="A1427">
        <v>10792</v>
      </c>
      <c r="B1427">
        <v>54</v>
      </c>
      <c r="C1427">
        <v>7.45</v>
      </c>
      <c r="D1427">
        <v>3</v>
      </c>
      <c r="E1427">
        <v>0</v>
      </c>
      <c r="F1427">
        <f t="shared" si="22"/>
        <v>22.35</v>
      </c>
      <c r="G1427">
        <f>YEAR(VLOOKUP(A1427,orders!A:D,4,0))</f>
        <v>2014</v>
      </c>
      <c r="H1427">
        <f>MONTH(INDEX(orders!D:D,MATCH(A1427, orders!A:A,0)))</f>
        <v>12</v>
      </c>
      <c r="I1427" t="str">
        <f>VLOOKUP(VLOOKUP(B1427,products!A:F,6,0),categories!A:B,2,0)</f>
        <v>Meat &amp; Poultry</v>
      </c>
      <c r="J1427" t="str">
        <f>VLOOKUP(VLOOKUP(A1427,orders!A:B,2,0),customers!A:F,6,0)</f>
        <v>Poland</v>
      </c>
      <c r="K1427" t="str">
        <f>VLOOKUP(VLOOKUP(A1427,orders!A:C,3,0),employees!A:B,2,0)</f>
        <v>Nancy Davolio</v>
      </c>
    </row>
    <row r="1428" spans="1:11" x14ac:dyDescent="0.25">
      <c r="A1428">
        <v>10792</v>
      </c>
      <c r="B1428">
        <v>68</v>
      </c>
      <c r="C1428">
        <v>12.5</v>
      </c>
      <c r="D1428">
        <v>15</v>
      </c>
      <c r="E1428">
        <v>0</v>
      </c>
      <c r="F1428">
        <f t="shared" si="22"/>
        <v>187.5</v>
      </c>
      <c r="G1428">
        <f>YEAR(VLOOKUP(A1428,orders!A:D,4,0))</f>
        <v>2014</v>
      </c>
      <c r="H1428">
        <f>MONTH(INDEX(orders!D:D,MATCH(A1428, orders!A:A,0)))</f>
        <v>12</v>
      </c>
      <c r="I1428" t="str">
        <f>VLOOKUP(VLOOKUP(B1428,products!A:F,6,0),categories!A:B,2,0)</f>
        <v>Confections</v>
      </c>
      <c r="J1428" t="str">
        <f>VLOOKUP(VLOOKUP(A1428,orders!A:B,2,0),customers!A:F,6,0)</f>
        <v>Poland</v>
      </c>
      <c r="K1428" t="str">
        <f>VLOOKUP(VLOOKUP(A1428,orders!A:C,3,0),employees!A:B,2,0)</f>
        <v>Nancy Davolio</v>
      </c>
    </row>
    <row r="1429" spans="1:11" x14ac:dyDescent="0.25">
      <c r="A1429">
        <v>10793</v>
      </c>
      <c r="B1429">
        <v>41</v>
      </c>
      <c r="C1429">
        <v>9.65</v>
      </c>
      <c r="D1429">
        <v>14</v>
      </c>
      <c r="E1429">
        <v>0</v>
      </c>
      <c r="F1429">
        <f t="shared" si="22"/>
        <v>135.1</v>
      </c>
      <c r="G1429">
        <f>YEAR(VLOOKUP(A1429,orders!A:D,4,0))</f>
        <v>2014</v>
      </c>
      <c r="H1429">
        <f>MONTH(INDEX(orders!D:D,MATCH(A1429, orders!A:A,0)))</f>
        <v>12</v>
      </c>
      <c r="I1429" t="str">
        <f>VLOOKUP(VLOOKUP(B1429,products!A:F,6,0),categories!A:B,2,0)</f>
        <v>Seafood</v>
      </c>
      <c r="J1429" t="str">
        <f>VLOOKUP(VLOOKUP(A1429,orders!A:B,2,0),customers!A:F,6,0)</f>
        <v>UK</v>
      </c>
      <c r="K1429" t="str">
        <f>VLOOKUP(VLOOKUP(A1429,orders!A:C,3,0),employees!A:B,2,0)</f>
        <v>Janet Leverling</v>
      </c>
    </row>
    <row r="1430" spans="1:11" x14ac:dyDescent="0.25">
      <c r="A1430">
        <v>10793</v>
      </c>
      <c r="B1430">
        <v>52</v>
      </c>
      <c r="C1430">
        <v>7</v>
      </c>
      <c r="D1430">
        <v>8</v>
      </c>
      <c r="E1430">
        <v>0</v>
      </c>
      <c r="F1430">
        <f t="shared" si="22"/>
        <v>56</v>
      </c>
      <c r="G1430">
        <f>YEAR(VLOOKUP(A1430,orders!A:D,4,0))</f>
        <v>2014</v>
      </c>
      <c r="H1430">
        <f>MONTH(INDEX(orders!D:D,MATCH(A1430, orders!A:A,0)))</f>
        <v>12</v>
      </c>
      <c r="I1430" t="str">
        <f>VLOOKUP(VLOOKUP(B1430,products!A:F,6,0),categories!A:B,2,0)</f>
        <v>Grains &amp; Cereals</v>
      </c>
      <c r="J1430" t="str">
        <f>VLOOKUP(VLOOKUP(A1430,orders!A:B,2,0),customers!A:F,6,0)</f>
        <v>UK</v>
      </c>
      <c r="K1430" t="str">
        <f>VLOOKUP(VLOOKUP(A1430,orders!A:C,3,0),employees!A:B,2,0)</f>
        <v>Janet Leverling</v>
      </c>
    </row>
    <row r="1431" spans="1:11" x14ac:dyDescent="0.25">
      <c r="A1431">
        <v>10794</v>
      </c>
      <c r="B1431">
        <v>14</v>
      </c>
      <c r="C1431">
        <v>23.25</v>
      </c>
      <c r="D1431">
        <v>15</v>
      </c>
      <c r="E1431">
        <v>0.2</v>
      </c>
      <c r="F1431">
        <f t="shared" si="22"/>
        <v>279</v>
      </c>
      <c r="G1431">
        <f>YEAR(VLOOKUP(A1431,orders!A:D,4,0))</f>
        <v>2014</v>
      </c>
      <c r="H1431">
        <f>MONTH(INDEX(orders!D:D,MATCH(A1431, orders!A:A,0)))</f>
        <v>12</v>
      </c>
      <c r="I1431" t="str">
        <f>VLOOKUP(VLOOKUP(B1431,products!A:F,6,0),categories!A:B,2,0)</f>
        <v>Produce</v>
      </c>
      <c r="J1431" t="str">
        <f>VLOOKUP(VLOOKUP(A1431,orders!A:B,2,0),customers!A:F,6,0)</f>
        <v>Brazil</v>
      </c>
      <c r="K1431" t="str">
        <f>VLOOKUP(VLOOKUP(A1431,orders!A:C,3,0),employees!A:B,2,0)</f>
        <v>Michael Suyama</v>
      </c>
    </row>
    <row r="1432" spans="1:11" x14ac:dyDescent="0.25">
      <c r="A1432">
        <v>10794</v>
      </c>
      <c r="B1432">
        <v>54</v>
      </c>
      <c r="C1432">
        <v>7.45</v>
      </c>
      <c r="D1432">
        <v>6</v>
      </c>
      <c r="E1432">
        <v>0.2</v>
      </c>
      <c r="F1432">
        <f t="shared" si="22"/>
        <v>35.760000000000005</v>
      </c>
      <c r="G1432">
        <f>YEAR(VLOOKUP(A1432,orders!A:D,4,0))</f>
        <v>2014</v>
      </c>
      <c r="H1432">
        <f>MONTH(INDEX(orders!D:D,MATCH(A1432, orders!A:A,0)))</f>
        <v>12</v>
      </c>
      <c r="I1432" t="str">
        <f>VLOOKUP(VLOOKUP(B1432,products!A:F,6,0),categories!A:B,2,0)</f>
        <v>Meat &amp; Poultry</v>
      </c>
      <c r="J1432" t="str">
        <f>VLOOKUP(VLOOKUP(A1432,orders!A:B,2,0),customers!A:F,6,0)</f>
        <v>Brazil</v>
      </c>
      <c r="K1432" t="str">
        <f>VLOOKUP(VLOOKUP(A1432,orders!A:C,3,0),employees!A:B,2,0)</f>
        <v>Michael Suyama</v>
      </c>
    </row>
    <row r="1433" spans="1:11" x14ac:dyDescent="0.25">
      <c r="A1433">
        <v>10795</v>
      </c>
      <c r="B1433">
        <v>16</v>
      </c>
      <c r="C1433">
        <v>17.45</v>
      </c>
      <c r="D1433">
        <v>65</v>
      </c>
      <c r="E1433">
        <v>0</v>
      </c>
      <c r="F1433">
        <f t="shared" si="22"/>
        <v>1134.25</v>
      </c>
      <c r="G1433">
        <f>YEAR(VLOOKUP(A1433,orders!A:D,4,0))</f>
        <v>2014</v>
      </c>
      <c r="H1433">
        <f>MONTH(INDEX(orders!D:D,MATCH(A1433, orders!A:A,0)))</f>
        <v>12</v>
      </c>
      <c r="I1433" t="str">
        <f>VLOOKUP(VLOOKUP(B1433,products!A:F,6,0),categories!A:B,2,0)</f>
        <v>Confections</v>
      </c>
      <c r="J1433" t="str">
        <f>VLOOKUP(VLOOKUP(A1433,orders!A:B,2,0),customers!A:F,6,0)</f>
        <v>Austria</v>
      </c>
      <c r="K1433" t="str">
        <f>VLOOKUP(VLOOKUP(A1433,orders!A:C,3,0),employees!A:B,2,0)</f>
        <v>Laura Callahan</v>
      </c>
    </row>
    <row r="1434" spans="1:11" x14ac:dyDescent="0.25">
      <c r="A1434">
        <v>10795</v>
      </c>
      <c r="B1434">
        <v>17</v>
      </c>
      <c r="C1434">
        <v>39</v>
      </c>
      <c r="D1434">
        <v>35</v>
      </c>
      <c r="E1434">
        <v>0.25</v>
      </c>
      <c r="F1434">
        <f t="shared" si="22"/>
        <v>1023.75</v>
      </c>
      <c r="G1434">
        <f>YEAR(VLOOKUP(A1434,orders!A:D,4,0))</f>
        <v>2014</v>
      </c>
      <c r="H1434">
        <f>MONTH(INDEX(orders!D:D,MATCH(A1434, orders!A:A,0)))</f>
        <v>12</v>
      </c>
      <c r="I1434" t="str">
        <f>VLOOKUP(VLOOKUP(B1434,products!A:F,6,0),categories!A:B,2,0)</f>
        <v>Meat &amp; Poultry</v>
      </c>
      <c r="J1434" t="str">
        <f>VLOOKUP(VLOOKUP(A1434,orders!A:B,2,0),customers!A:F,6,0)</f>
        <v>Austria</v>
      </c>
      <c r="K1434" t="str">
        <f>VLOOKUP(VLOOKUP(A1434,orders!A:C,3,0),employees!A:B,2,0)</f>
        <v>Laura Callahan</v>
      </c>
    </row>
    <row r="1435" spans="1:11" x14ac:dyDescent="0.25">
      <c r="A1435">
        <v>10796</v>
      </c>
      <c r="B1435">
        <v>26</v>
      </c>
      <c r="C1435">
        <v>31.23</v>
      </c>
      <c r="D1435">
        <v>21</v>
      </c>
      <c r="E1435">
        <v>0.2</v>
      </c>
      <c r="F1435">
        <f t="shared" si="22"/>
        <v>524.6640000000001</v>
      </c>
      <c r="G1435">
        <f>YEAR(VLOOKUP(A1435,orders!A:D,4,0))</f>
        <v>2014</v>
      </c>
      <c r="H1435">
        <f>MONTH(INDEX(orders!D:D,MATCH(A1435, orders!A:A,0)))</f>
        <v>12</v>
      </c>
      <c r="I1435" t="str">
        <f>VLOOKUP(VLOOKUP(B1435,products!A:F,6,0),categories!A:B,2,0)</f>
        <v>Confections</v>
      </c>
      <c r="J1435" t="str">
        <f>VLOOKUP(VLOOKUP(A1435,orders!A:B,2,0),customers!A:F,6,0)</f>
        <v>Venezuela</v>
      </c>
      <c r="K1435" t="str">
        <f>VLOOKUP(VLOOKUP(A1435,orders!A:C,3,0),employees!A:B,2,0)</f>
        <v>Janet Leverling</v>
      </c>
    </row>
    <row r="1436" spans="1:11" x14ac:dyDescent="0.25">
      <c r="A1436">
        <v>10796</v>
      </c>
      <c r="B1436">
        <v>44</v>
      </c>
      <c r="C1436">
        <v>19.45</v>
      </c>
      <c r="D1436">
        <v>10</v>
      </c>
      <c r="E1436">
        <v>0</v>
      </c>
      <c r="F1436">
        <f t="shared" si="22"/>
        <v>194.5</v>
      </c>
      <c r="G1436">
        <f>YEAR(VLOOKUP(A1436,orders!A:D,4,0))</f>
        <v>2014</v>
      </c>
      <c r="H1436">
        <f>MONTH(INDEX(orders!D:D,MATCH(A1436, orders!A:A,0)))</f>
        <v>12</v>
      </c>
      <c r="I1436" t="str">
        <f>VLOOKUP(VLOOKUP(B1436,products!A:F,6,0),categories!A:B,2,0)</f>
        <v>Condiments</v>
      </c>
      <c r="J1436" t="str">
        <f>VLOOKUP(VLOOKUP(A1436,orders!A:B,2,0),customers!A:F,6,0)</f>
        <v>Venezuela</v>
      </c>
      <c r="K1436" t="str">
        <f>VLOOKUP(VLOOKUP(A1436,orders!A:C,3,0),employees!A:B,2,0)</f>
        <v>Janet Leverling</v>
      </c>
    </row>
    <row r="1437" spans="1:11" x14ac:dyDescent="0.25">
      <c r="A1437">
        <v>10796</v>
      </c>
      <c r="B1437">
        <v>64</v>
      </c>
      <c r="C1437">
        <v>33.25</v>
      </c>
      <c r="D1437">
        <v>35</v>
      </c>
      <c r="E1437">
        <v>0.2</v>
      </c>
      <c r="F1437">
        <f t="shared" si="22"/>
        <v>931</v>
      </c>
      <c r="G1437">
        <f>YEAR(VLOOKUP(A1437,orders!A:D,4,0))</f>
        <v>2014</v>
      </c>
      <c r="H1437">
        <f>MONTH(INDEX(orders!D:D,MATCH(A1437, orders!A:A,0)))</f>
        <v>12</v>
      </c>
      <c r="I1437" t="str">
        <f>VLOOKUP(VLOOKUP(B1437,products!A:F,6,0),categories!A:B,2,0)</f>
        <v>Grains &amp; Cereals</v>
      </c>
      <c r="J1437" t="str">
        <f>VLOOKUP(VLOOKUP(A1437,orders!A:B,2,0),customers!A:F,6,0)</f>
        <v>Venezuela</v>
      </c>
      <c r="K1437" t="str">
        <f>VLOOKUP(VLOOKUP(A1437,orders!A:C,3,0),employees!A:B,2,0)</f>
        <v>Janet Leverling</v>
      </c>
    </row>
    <row r="1438" spans="1:11" x14ac:dyDescent="0.25">
      <c r="A1438">
        <v>10796</v>
      </c>
      <c r="B1438">
        <v>69</v>
      </c>
      <c r="C1438">
        <v>36</v>
      </c>
      <c r="D1438">
        <v>24</v>
      </c>
      <c r="E1438">
        <v>0.2</v>
      </c>
      <c r="F1438">
        <f t="shared" si="22"/>
        <v>691.2</v>
      </c>
      <c r="G1438">
        <f>YEAR(VLOOKUP(A1438,orders!A:D,4,0))</f>
        <v>2014</v>
      </c>
      <c r="H1438">
        <f>MONTH(INDEX(orders!D:D,MATCH(A1438, orders!A:A,0)))</f>
        <v>12</v>
      </c>
      <c r="I1438" t="str">
        <f>VLOOKUP(VLOOKUP(B1438,products!A:F,6,0),categories!A:B,2,0)</f>
        <v>Dairy Products</v>
      </c>
      <c r="J1438" t="str">
        <f>VLOOKUP(VLOOKUP(A1438,orders!A:B,2,0),customers!A:F,6,0)</f>
        <v>Venezuela</v>
      </c>
      <c r="K1438" t="str">
        <f>VLOOKUP(VLOOKUP(A1438,orders!A:C,3,0),employees!A:B,2,0)</f>
        <v>Janet Leverling</v>
      </c>
    </row>
    <row r="1439" spans="1:11" x14ac:dyDescent="0.25">
      <c r="A1439">
        <v>10797</v>
      </c>
      <c r="B1439">
        <v>11</v>
      </c>
      <c r="C1439">
        <v>21</v>
      </c>
      <c r="D1439">
        <v>20</v>
      </c>
      <c r="E1439">
        <v>0</v>
      </c>
      <c r="F1439">
        <f t="shared" si="22"/>
        <v>420</v>
      </c>
      <c r="G1439">
        <f>YEAR(VLOOKUP(A1439,orders!A:D,4,0))</f>
        <v>2014</v>
      </c>
      <c r="H1439">
        <f>MONTH(INDEX(orders!D:D,MATCH(A1439, orders!A:A,0)))</f>
        <v>12</v>
      </c>
      <c r="I1439" t="str">
        <f>VLOOKUP(VLOOKUP(B1439,products!A:F,6,0),categories!A:B,2,0)</f>
        <v>Dairy Products</v>
      </c>
      <c r="J1439" t="str">
        <f>VLOOKUP(VLOOKUP(A1439,orders!A:B,2,0),customers!A:F,6,0)</f>
        <v>Germany</v>
      </c>
      <c r="K1439" t="str">
        <f>VLOOKUP(VLOOKUP(A1439,orders!A:C,3,0),employees!A:B,2,0)</f>
        <v>Robert King</v>
      </c>
    </row>
    <row r="1440" spans="1:11" x14ac:dyDescent="0.25">
      <c r="A1440">
        <v>10798</v>
      </c>
      <c r="B1440">
        <v>62</v>
      </c>
      <c r="C1440">
        <v>49.3</v>
      </c>
      <c r="D1440">
        <v>2</v>
      </c>
      <c r="E1440">
        <v>0</v>
      </c>
      <c r="F1440">
        <f t="shared" si="22"/>
        <v>98.6</v>
      </c>
      <c r="G1440">
        <f>YEAR(VLOOKUP(A1440,orders!A:D,4,0))</f>
        <v>2014</v>
      </c>
      <c r="H1440">
        <f>MONTH(INDEX(orders!D:D,MATCH(A1440, orders!A:A,0)))</f>
        <v>12</v>
      </c>
      <c r="I1440" t="str">
        <f>VLOOKUP(VLOOKUP(B1440,products!A:F,6,0),categories!A:B,2,0)</f>
        <v>Confections</v>
      </c>
      <c r="J1440" t="str">
        <f>VLOOKUP(VLOOKUP(A1440,orders!A:B,2,0),customers!A:F,6,0)</f>
        <v>UK</v>
      </c>
      <c r="K1440" t="str">
        <f>VLOOKUP(VLOOKUP(A1440,orders!A:C,3,0),employees!A:B,2,0)</f>
        <v>Andrew Fuller</v>
      </c>
    </row>
    <row r="1441" spans="1:11" x14ac:dyDescent="0.25">
      <c r="A1441">
        <v>10798</v>
      </c>
      <c r="B1441">
        <v>72</v>
      </c>
      <c r="C1441">
        <v>34.799999999999997</v>
      </c>
      <c r="D1441">
        <v>10</v>
      </c>
      <c r="E1441">
        <v>0</v>
      </c>
      <c r="F1441">
        <f t="shared" si="22"/>
        <v>348</v>
      </c>
      <c r="G1441">
        <f>YEAR(VLOOKUP(A1441,orders!A:D,4,0))</f>
        <v>2014</v>
      </c>
      <c r="H1441">
        <f>MONTH(INDEX(orders!D:D,MATCH(A1441, orders!A:A,0)))</f>
        <v>12</v>
      </c>
      <c r="I1441" t="str">
        <f>VLOOKUP(VLOOKUP(B1441,products!A:F,6,0),categories!A:B,2,0)</f>
        <v>Dairy Products</v>
      </c>
      <c r="J1441" t="str">
        <f>VLOOKUP(VLOOKUP(A1441,orders!A:B,2,0),customers!A:F,6,0)</f>
        <v>UK</v>
      </c>
      <c r="K1441" t="str">
        <f>VLOOKUP(VLOOKUP(A1441,orders!A:C,3,0),employees!A:B,2,0)</f>
        <v>Andrew Fuller</v>
      </c>
    </row>
    <row r="1442" spans="1:11" x14ac:dyDescent="0.25">
      <c r="A1442">
        <v>10799</v>
      </c>
      <c r="B1442">
        <v>13</v>
      </c>
      <c r="C1442">
        <v>6</v>
      </c>
      <c r="D1442">
        <v>20</v>
      </c>
      <c r="E1442">
        <v>0.15</v>
      </c>
      <c r="F1442">
        <f t="shared" si="22"/>
        <v>102</v>
      </c>
      <c r="G1442">
        <f>YEAR(VLOOKUP(A1442,orders!A:D,4,0))</f>
        <v>2014</v>
      </c>
      <c r="H1442">
        <f>MONTH(INDEX(orders!D:D,MATCH(A1442, orders!A:A,0)))</f>
        <v>12</v>
      </c>
      <c r="I1442" t="str">
        <f>VLOOKUP(VLOOKUP(B1442,products!A:F,6,0),categories!A:B,2,0)</f>
        <v>Seafood</v>
      </c>
      <c r="J1442" t="str">
        <f>VLOOKUP(VLOOKUP(A1442,orders!A:B,2,0),customers!A:F,6,0)</f>
        <v>Germany</v>
      </c>
      <c r="K1442" t="str">
        <f>VLOOKUP(VLOOKUP(A1442,orders!A:C,3,0),employees!A:B,2,0)</f>
        <v>Anne Dodsworth</v>
      </c>
    </row>
    <row r="1443" spans="1:11" x14ac:dyDescent="0.25">
      <c r="A1443">
        <v>10799</v>
      </c>
      <c r="B1443">
        <v>24</v>
      </c>
      <c r="C1443">
        <v>4.5</v>
      </c>
      <c r="D1443">
        <v>20</v>
      </c>
      <c r="E1443">
        <v>0.15</v>
      </c>
      <c r="F1443">
        <f t="shared" si="22"/>
        <v>76.5</v>
      </c>
      <c r="G1443">
        <f>YEAR(VLOOKUP(A1443,orders!A:D,4,0))</f>
        <v>2014</v>
      </c>
      <c r="H1443">
        <f>MONTH(INDEX(orders!D:D,MATCH(A1443, orders!A:A,0)))</f>
        <v>12</v>
      </c>
      <c r="I1443" t="str">
        <f>VLOOKUP(VLOOKUP(B1443,products!A:F,6,0),categories!A:B,2,0)</f>
        <v>Beverages</v>
      </c>
      <c r="J1443" t="str">
        <f>VLOOKUP(VLOOKUP(A1443,orders!A:B,2,0),customers!A:F,6,0)</f>
        <v>Germany</v>
      </c>
      <c r="K1443" t="str">
        <f>VLOOKUP(VLOOKUP(A1443,orders!A:C,3,0),employees!A:B,2,0)</f>
        <v>Anne Dodsworth</v>
      </c>
    </row>
    <row r="1444" spans="1:11" x14ac:dyDescent="0.25">
      <c r="A1444">
        <v>10799</v>
      </c>
      <c r="B1444">
        <v>59</v>
      </c>
      <c r="C1444">
        <v>55</v>
      </c>
      <c r="D1444">
        <v>25</v>
      </c>
      <c r="E1444">
        <v>0</v>
      </c>
      <c r="F1444">
        <f t="shared" si="22"/>
        <v>1375</v>
      </c>
      <c r="G1444">
        <f>YEAR(VLOOKUP(A1444,orders!A:D,4,0))</f>
        <v>2014</v>
      </c>
      <c r="H1444">
        <f>MONTH(INDEX(orders!D:D,MATCH(A1444, orders!A:A,0)))</f>
        <v>12</v>
      </c>
      <c r="I1444" t="str">
        <f>VLOOKUP(VLOOKUP(B1444,products!A:F,6,0),categories!A:B,2,0)</f>
        <v>Dairy Products</v>
      </c>
      <c r="J1444" t="str">
        <f>VLOOKUP(VLOOKUP(A1444,orders!A:B,2,0),customers!A:F,6,0)</f>
        <v>Germany</v>
      </c>
      <c r="K1444" t="str">
        <f>VLOOKUP(VLOOKUP(A1444,orders!A:C,3,0),employees!A:B,2,0)</f>
        <v>Anne Dodsworth</v>
      </c>
    </row>
    <row r="1445" spans="1:11" x14ac:dyDescent="0.25">
      <c r="A1445">
        <v>10800</v>
      </c>
      <c r="B1445">
        <v>11</v>
      </c>
      <c r="C1445">
        <v>21</v>
      </c>
      <c r="D1445">
        <v>50</v>
      </c>
      <c r="E1445">
        <v>0.1</v>
      </c>
      <c r="F1445">
        <f t="shared" si="22"/>
        <v>945</v>
      </c>
      <c r="G1445">
        <f>YEAR(VLOOKUP(A1445,orders!A:D,4,0))</f>
        <v>2014</v>
      </c>
      <c r="H1445">
        <f>MONTH(INDEX(orders!D:D,MATCH(A1445, orders!A:A,0)))</f>
        <v>12</v>
      </c>
      <c r="I1445" t="str">
        <f>VLOOKUP(VLOOKUP(B1445,products!A:F,6,0),categories!A:B,2,0)</f>
        <v>Dairy Products</v>
      </c>
      <c r="J1445" t="str">
        <f>VLOOKUP(VLOOKUP(A1445,orders!A:B,2,0),customers!A:F,6,0)</f>
        <v>UK</v>
      </c>
      <c r="K1445" t="str">
        <f>VLOOKUP(VLOOKUP(A1445,orders!A:C,3,0),employees!A:B,2,0)</f>
        <v>Nancy Davolio</v>
      </c>
    </row>
    <row r="1446" spans="1:11" x14ac:dyDescent="0.25">
      <c r="A1446">
        <v>10800</v>
      </c>
      <c r="B1446">
        <v>51</v>
      </c>
      <c r="C1446">
        <v>53</v>
      </c>
      <c r="D1446">
        <v>10</v>
      </c>
      <c r="E1446">
        <v>0.1</v>
      </c>
      <c r="F1446">
        <f t="shared" si="22"/>
        <v>477</v>
      </c>
      <c r="G1446">
        <f>YEAR(VLOOKUP(A1446,orders!A:D,4,0))</f>
        <v>2014</v>
      </c>
      <c r="H1446">
        <f>MONTH(INDEX(orders!D:D,MATCH(A1446, orders!A:A,0)))</f>
        <v>12</v>
      </c>
      <c r="I1446" t="str">
        <f>VLOOKUP(VLOOKUP(B1446,products!A:F,6,0),categories!A:B,2,0)</f>
        <v>Produce</v>
      </c>
      <c r="J1446" t="str">
        <f>VLOOKUP(VLOOKUP(A1446,orders!A:B,2,0),customers!A:F,6,0)</f>
        <v>UK</v>
      </c>
      <c r="K1446" t="str">
        <f>VLOOKUP(VLOOKUP(A1446,orders!A:C,3,0),employees!A:B,2,0)</f>
        <v>Nancy Davolio</v>
      </c>
    </row>
    <row r="1447" spans="1:11" x14ac:dyDescent="0.25">
      <c r="A1447">
        <v>10800</v>
      </c>
      <c r="B1447">
        <v>54</v>
      </c>
      <c r="C1447">
        <v>7.45</v>
      </c>
      <c r="D1447">
        <v>7</v>
      </c>
      <c r="E1447">
        <v>0.1</v>
      </c>
      <c r="F1447">
        <f t="shared" si="22"/>
        <v>46.935000000000002</v>
      </c>
      <c r="G1447">
        <f>YEAR(VLOOKUP(A1447,orders!A:D,4,0))</f>
        <v>2014</v>
      </c>
      <c r="H1447">
        <f>MONTH(INDEX(orders!D:D,MATCH(A1447, orders!A:A,0)))</f>
        <v>12</v>
      </c>
      <c r="I1447" t="str">
        <f>VLOOKUP(VLOOKUP(B1447,products!A:F,6,0),categories!A:B,2,0)</f>
        <v>Meat &amp; Poultry</v>
      </c>
      <c r="J1447" t="str">
        <f>VLOOKUP(VLOOKUP(A1447,orders!A:B,2,0),customers!A:F,6,0)</f>
        <v>UK</v>
      </c>
      <c r="K1447" t="str">
        <f>VLOOKUP(VLOOKUP(A1447,orders!A:C,3,0),employees!A:B,2,0)</f>
        <v>Nancy Davolio</v>
      </c>
    </row>
    <row r="1448" spans="1:11" x14ac:dyDescent="0.25">
      <c r="A1448">
        <v>10801</v>
      </c>
      <c r="B1448">
        <v>17</v>
      </c>
      <c r="C1448">
        <v>39</v>
      </c>
      <c r="D1448">
        <v>40</v>
      </c>
      <c r="E1448">
        <v>0.25</v>
      </c>
      <c r="F1448">
        <f t="shared" si="22"/>
        <v>1170</v>
      </c>
      <c r="G1448">
        <f>YEAR(VLOOKUP(A1448,orders!A:D,4,0))</f>
        <v>2014</v>
      </c>
      <c r="H1448">
        <f>MONTH(INDEX(orders!D:D,MATCH(A1448, orders!A:A,0)))</f>
        <v>12</v>
      </c>
      <c r="I1448" t="str">
        <f>VLOOKUP(VLOOKUP(B1448,products!A:F,6,0),categories!A:B,2,0)</f>
        <v>Meat &amp; Poultry</v>
      </c>
      <c r="J1448" t="str">
        <f>VLOOKUP(VLOOKUP(A1448,orders!A:B,2,0),customers!A:F,6,0)</f>
        <v>Spain</v>
      </c>
      <c r="K1448" t="str">
        <f>VLOOKUP(VLOOKUP(A1448,orders!A:C,3,0),employees!A:B,2,0)</f>
        <v>Margaret Peacock</v>
      </c>
    </row>
    <row r="1449" spans="1:11" x14ac:dyDescent="0.25">
      <c r="A1449">
        <v>10801</v>
      </c>
      <c r="B1449">
        <v>29</v>
      </c>
      <c r="C1449">
        <v>123.79</v>
      </c>
      <c r="D1449">
        <v>20</v>
      </c>
      <c r="E1449">
        <v>0.25</v>
      </c>
      <c r="F1449">
        <f t="shared" si="22"/>
        <v>1856.8500000000001</v>
      </c>
      <c r="G1449">
        <f>YEAR(VLOOKUP(A1449,orders!A:D,4,0))</f>
        <v>2014</v>
      </c>
      <c r="H1449">
        <f>MONTH(INDEX(orders!D:D,MATCH(A1449, orders!A:A,0)))</f>
        <v>12</v>
      </c>
      <c r="I1449" t="str">
        <f>VLOOKUP(VLOOKUP(B1449,products!A:F,6,0),categories!A:B,2,0)</f>
        <v>Meat &amp; Poultry</v>
      </c>
      <c r="J1449" t="str">
        <f>VLOOKUP(VLOOKUP(A1449,orders!A:B,2,0),customers!A:F,6,0)</f>
        <v>Spain</v>
      </c>
      <c r="K1449" t="str">
        <f>VLOOKUP(VLOOKUP(A1449,orders!A:C,3,0),employees!A:B,2,0)</f>
        <v>Margaret Peacock</v>
      </c>
    </row>
    <row r="1450" spans="1:11" x14ac:dyDescent="0.25">
      <c r="A1450">
        <v>10802</v>
      </c>
      <c r="B1450">
        <v>30</v>
      </c>
      <c r="C1450">
        <v>25.89</v>
      </c>
      <c r="D1450">
        <v>25</v>
      </c>
      <c r="E1450">
        <v>0.25</v>
      </c>
      <c r="F1450">
        <f t="shared" si="22"/>
        <v>485.4375</v>
      </c>
      <c r="G1450">
        <f>YEAR(VLOOKUP(A1450,orders!A:D,4,0))</f>
        <v>2014</v>
      </c>
      <c r="H1450">
        <f>MONTH(INDEX(orders!D:D,MATCH(A1450, orders!A:A,0)))</f>
        <v>12</v>
      </c>
      <c r="I1450" t="str">
        <f>VLOOKUP(VLOOKUP(B1450,products!A:F,6,0),categories!A:B,2,0)</f>
        <v>Seafood</v>
      </c>
      <c r="J1450" t="str">
        <f>VLOOKUP(VLOOKUP(A1450,orders!A:B,2,0),customers!A:F,6,0)</f>
        <v>Denmark</v>
      </c>
      <c r="K1450" t="str">
        <f>VLOOKUP(VLOOKUP(A1450,orders!A:C,3,0),employees!A:B,2,0)</f>
        <v>Margaret Peacock</v>
      </c>
    </row>
    <row r="1451" spans="1:11" x14ac:dyDescent="0.25">
      <c r="A1451">
        <v>10802</v>
      </c>
      <c r="B1451">
        <v>51</v>
      </c>
      <c r="C1451">
        <v>53</v>
      </c>
      <c r="D1451">
        <v>30</v>
      </c>
      <c r="E1451">
        <v>0.25</v>
      </c>
      <c r="F1451">
        <f t="shared" si="22"/>
        <v>1192.5</v>
      </c>
      <c r="G1451">
        <f>YEAR(VLOOKUP(A1451,orders!A:D,4,0))</f>
        <v>2014</v>
      </c>
      <c r="H1451">
        <f>MONTH(INDEX(orders!D:D,MATCH(A1451, orders!A:A,0)))</f>
        <v>12</v>
      </c>
      <c r="I1451" t="str">
        <f>VLOOKUP(VLOOKUP(B1451,products!A:F,6,0),categories!A:B,2,0)</f>
        <v>Produce</v>
      </c>
      <c r="J1451" t="str">
        <f>VLOOKUP(VLOOKUP(A1451,orders!A:B,2,0),customers!A:F,6,0)</f>
        <v>Denmark</v>
      </c>
      <c r="K1451" t="str">
        <f>VLOOKUP(VLOOKUP(A1451,orders!A:C,3,0),employees!A:B,2,0)</f>
        <v>Margaret Peacock</v>
      </c>
    </row>
    <row r="1452" spans="1:11" x14ac:dyDescent="0.25">
      <c r="A1452">
        <v>10802</v>
      </c>
      <c r="B1452">
        <v>55</v>
      </c>
      <c r="C1452">
        <v>24</v>
      </c>
      <c r="D1452">
        <v>60</v>
      </c>
      <c r="E1452">
        <v>0.25</v>
      </c>
      <c r="F1452">
        <f t="shared" si="22"/>
        <v>1080</v>
      </c>
      <c r="G1452">
        <f>YEAR(VLOOKUP(A1452,orders!A:D,4,0))</f>
        <v>2014</v>
      </c>
      <c r="H1452">
        <f>MONTH(INDEX(orders!D:D,MATCH(A1452, orders!A:A,0)))</f>
        <v>12</v>
      </c>
      <c r="I1452" t="str">
        <f>VLOOKUP(VLOOKUP(B1452,products!A:F,6,0),categories!A:B,2,0)</f>
        <v>Meat &amp; Poultry</v>
      </c>
      <c r="J1452" t="str">
        <f>VLOOKUP(VLOOKUP(A1452,orders!A:B,2,0),customers!A:F,6,0)</f>
        <v>Denmark</v>
      </c>
      <c r="K1452" t="str">
        <f>VLOOKUP(VLOOKUP(A1452,orders!A:C,3,0),employees!A:B,2,0)</f>
        <v>Margaret Peacock</v>
      </c>
    </row>
    <row r="1453" spans="1:11" x14ac:dyDescent="0.25">
      <c r="A1453">
        <v>10802</v>
      </c>
      <c r="B1453">
        <v>62</v>
      </c>
      <c r="C1453">
        <v>49.3</v>
      </c>
      <c r="D1453">
        <v>5</v>
      </c>
      <c r="E1453">
        <v>0.25</v>
      </c>
      <c r="F1453">
        <f t="shared" si="22"/>
        <v>184.875</v>
      </c>
      <c r="G1453">
        <f>YEAR(VLOOKUP(A1453,orders!A:D,4,0))</f>
        <v>2014</v>
      </c>
      <c r="H1453">
        <f>MONTH(INDEX(orders!D:D,MATCH(A1453, orders!A:A,0)))</f>
        <v>12</v>
      </c>
      <c r="I1453" t="str">
        <f>VLOOKUP(VLOOKUP(B1453,products!A:F,6,0),categories!A:B,2,0)</f>
        <v>Confections</v>
      </c>
      <c r="J1453" t="str">
        <f>VLOOKUP(VLOOKUP(A1453,orders!A:B,2,0),customers!A:F,6,0)</f>
        <v>Denmark</v>
      </c>
      <c r="K1453" t="str">
        <f>VLOOKUP(VLOOKUP(A1453,orders!A:C,3,0),employees!A:B,2,0)</f>
        <v>Margaret Peacock</v>
      </c>
    </row>
    <row r="1454" spans="1:11" x14ac:dyDescent="0.25">
      <c r="A1454">
        <v>10803</v>
      </c>
      <c r="B1454">
        <v>19</v>
      </c>
      <c r="C1454">
        <v>9.1999999999999993</v>
      </c>
      <c r="D1454">
        <v>24</v>
      </c>
      <c r="E1454">
        <v>0.05</v>
      </c>
      <c r="F1454">
        <f t="shared" si="22"/>
        <v>209.75999999999996</v>
      </c>
      <c r="G1454">
        <f>YEAR(VLOOKUP(A1454,orders!A:D,4,0))</f>
        <v>2014</v>
      </c>
      <c r="H1454">
        <f>MONTH(INDEX(orders!D:D,MATCH(A1454, orders!A:A,0)))</f>
        <v>12</v>
      </c>
      <c r="I1454" t="str">
        <f>VLOOKUP(VLOOKUP(B1454,products!A:F,6,0),categories!A:B,2,0)</f>
        <v>Confections</v>
      </c>
      <c r="J1454" t="str">
        <f>VLOOKUP(VLOOKUP(A1454,orders!A:B,2,0),customers!A:F,6,0)</f>
        <v>Brazil</v>
      </c>
      <c r="K1454" t="str">
        <f>VLOOKUP(VLOOKUP(A1454,orders!A:C,3,0),employees!A:B,2,0)</f>
        <v>Margaret Peacock</v>
      </c>
    </row>
    <row r="1455" spans="1:11" x14ac:dyDescent="0.25">
      <c r="A1455">
        <v>10803</v>
      </c>
      <c r="B1455">
        <v>25</v>
      </c>
      <c r="C1455">
        <v>14</v>
      </c>
      <c r="D1455">
        <v>15</v>
      </c>
      <c r="E1455">
        <v>0.05</v>
      </c>
      <c r="F1455">
        <f t="shared" si="22"/>
        <v>199.5</v>
      </c>
      <c r="G1455">
        <f>YEAR(VLOOKUP(A1455,orders!A:D,4,0))</f>
        <v>2014</v>
      </c>
      <c r="H1455">
        <f>MONTH(INDEX(orders!D:D,MATCH(A1455, orders!A:A,0)))</f>
        <v>12</v>
      </c>
      <c r="I1455" t="str">
        <f>VLOOKUP(VLOOKUP(B1455,products!A:F,6,0),categories!A:B,2,0)</f>
        <v>Confections</v>
      </c>
      <c r="J1455" t="str">
        <f>VLOOKUP(VLOOKUP(A1455,orders!A:B,2,0),customers!A:F,6,0)</f>
        <v>Brazil</v>
      </c>
      <c r="K1455" t="str">
        <f>VLOOKUP(VLOOKUP(A1455,orders!A:C,3,0),employees!A:B,2,0)</f>
        <v>Margaret Peacock</v>
      </c>
    </row>
    <row r="1456" spans="1:11" x14ac:dyDescent="0.25">
      <c r="A1456">
        <v>10803</v>
      </c>
      <c r="B1456">
        <v>59</v>
      </c>
      <c r="C1456">
        <v>55</v>
      </c>
      <c r="D1456">
        <v>15</v>
      </c>
      <c r="E1456">
        <v>0.05</v>
      </c>
      <c r="F1456">
        <f t="shared" si="22"/>
        <v>783.75</v>
      </c>
      <c r="G1456">
        <f>YEAR(VLOOKUP(A1456,orders!A:D,4,0))</f>
        <v>2014</v>
      </c>
      <c r="H1456">
        <f>MONTH(INDEX(orders!D:D,MATCH(A1456, orders!A:A,0)))</f>
        <v>12</v>
      </c>
      <c r="I1456" t="str">
        <f>VLOOKUP(VLOOKUP(B1456,products!A:F,6,0),categories!A:B,2,0)</f>
        <v>Dairy Products</v>
      </c>
      <c r="J1456" t="str">
        <f>VLOOKUP(VLOOKUP(A1456,orders!A:B,2,0),customers!A:F,6,0)</f>
        <v>Brazil</v>
      </c>
      <c r="K1456" t="str">
        <f>VLOOKUP(VLOOKUP(A1456,orders!A:C,3,0),employees!A:B,2,0)</f>
        <v>Margaret Peacock</v>
      </c>
    </row>
    <row r="1457" spans="1:11" x14ac:dyDescent="0.25">
      <c r="A1457">
        <v>10804</v>
      </c>
      <c r="B1457">
        <v>10</v>
      </c>
      <c r="C1457">
        <v>31</v>
      </c>
      <c r="D1457">
        <v>36</v>
      </c>
      <c r="E1457">
        <v>0</v>
      </c>
      <c r="F1457">
        <f t="shared" si="22"/>
        <v>1116</v>
      </c>
      <c r="G1457">
        <f>YEAR(VLOOKUP(A1457,orders!A:D,4,0))</f>
        <v>2014</v>
      </c>
      <c r="H1457">
        <f>MONTH(INDEX(orders!D:D,MATCH(A1457, orders!A:A,0)))</f>
        <v>12</v>
      </c>
      <c r="I1457" t="str">
        <f>VLOOKUP(VLOOKUP(B1457,products!A:F,6,0),categories!A:B,2,0)</f>
        <v>Seafood</v>
      </c>
      <c r="J1457" t="str">
        <f>VLOOKUP(VLOOKUP(A1457,orders!A:B,2,0),customers!A:F,6,0)</f>
        <v>UK</v>
      </c>
      <c r="K1457" t="str">
        <f>VLOOKUP(VLOOKUP(A1457,orders!A:C,3,0),employees!A:B,2,0)</f>
        <v>Michael Suyama</v>
      </c>
    </row>
    <row r="1458" spans="1:11" x14ac:dyDescent="0.25">
      <c r="A1458">
        <v>10804</v>
      </c>
      <c r="B1458">
        <v>28</v>
      </c>
      <c r="C1458">
        <v>45.6</v>
      </c>
      <c r="D1458">
        <v>24</v>
      </c>
      <c r="E1458">
        <v>0</v>
      </c>
      <c r="F1458">
        <f t="shared" si="22"/>
        <v>1094.4000000000001</v>
      </c>
      <c r="G1458">
        <f>YEAR(VLOOKUP(A1458,orders!A:D,4,0))</f>
        <v>2014</v>
      </c>
      <c r="H1458">
        <f>MONTH(INDEX(orders!D:D,MATCH(A1458, orders!A:A,0)))</f>
        <v>12</v>
      </c>
      <c r="I1458" t="str">
        <f>VLOOKUP(VLOOKUP(B1458,products!A:F,6,0),categories!A:B,2,0)</f>
        <v>Produce</v>
      </c>
      <c r="J1458" t="str">
        <f>VLOOKUP(VLOOKUP(A1458,orders!A:B,2,0),customers!A:F,6,0)</f>
        <v>UK</v>
      </c>
      <c r="K1458" t="str">
        <f>VLOOKUP(VLOOKUP(A1458,orders!A:C,3,0),employees!A:B,2,0)</f>
        <v>Michael Suyama</v>
      </c>
    </row>
    <row r="1459" spans="1:11" x14ac:dyDescent="0.25">
      <c r="A1459">
        <v>10804</v>
      </c>
      <c r="B1459">
        <v>49</v>
      </c>
      <c r="C1459">
        <v>20</v>
      </c>
      <c r="D1459">
        <v>4</v>
      </c>
      <c r="E1459">
        <v>0.15</v>
      </c>
      <c r="F1459">
        <f t="shared" si="22"/>
        <v>68</v>
      </c>
      <c r="G1459">
        <f>YEAR(VLOOKUP(A1459,orders!A:D,4,0))</f>
        <v>2014</v>
      </c>
      <c r="H1459">
        <f>MONTH(INDEX(orders!D:D,MATCH(A1459, orders!A:A,0)))</f>
        <v>12</v>
      </c>
      <c r="I1459" t="str">
        <f>VLOOKUP(VLOOKUP(B1459,products!A:F,6,0),categories!A:B,2,0)</f>
        <v>Confections</v>
      </c>
      <c r="J1459" t="str">
        <f>VLOOKUP(VLOOKUP(A1459,orders!A:B,2,0),customers!A:F,6,0)</f>
        <v>UK</v>
      </c>
      <c r="K1459" t="str">
        <f>VLOOKUP(VLOOKUP(A1459,orders!A:C,3,0),employees!A:B,2,0)</f>
        <v>Michael Suyama</v>
      </c>
    </row>
    <row r="1460" spans="1:11" x14ac:dyDescent="0.25">
      <c r="A1460">
        <v>10805</v>
      </c>
      <c r="B1460">
        <v>34</v>
      </c>
      <c r="C1460">
        <v>14</v>
      </c>
      <c r="D1460">
        <v>10</v>
      </c>
      <c r="E1460">
        <v>0</v>
      </c>
      <c r="F1460">
        <f t="shared" si="22"/>
        <v>140</v>
      </c>
      <c r="G1460">
        <f>YEAR(VLOOKUP(A1460,orders!A:D,4,0))</f>
        <v>2014</v>
      </c>
      <c r="H1460">
        <f>MONTH(INDEX(orders!D:D,MATCH(A1460, orders!A:A,0)))</f>
        <v>12</v>
      </c>
      <c r="I1460" t="str">
        <f>VLOOKUP(VLOOKUP(B1460,products!A:F,6,0),categories!A:B,2,0)</f>
        <v>Beverages</v>
      </c>
      <c r="J1460" t="str">
        <f>VLOOKUP(VLOOKUP(A1460,orders!A:B,2,0),customers!A:F,6,0)</f>
        <v>USA</v>
      </c>
      <c r="K1460" t="str">
        <f>VLOOKUP(VLOOKUP(A1460,orders!A:C,3,0),employees!A:B,2,0)</f>
        <v>Andrew Fuller</v>
      </c>
    </row>
    <row r="1461" spans="1:11" x14ac:dyDescent="0.25">
      <c r="A1461">
        <v>10805</v>
      </c>
      <c r="B1461">
        <v>38</v>
      </c>
      <c r="C1461">
        <v>263.5</v>
      </c>
      <c r="D1461">
        <v>10</v>
      </c>
      <c r="E1461">
        <v>0</v>
      </c>
      <c r="F1461">
        <f t="shared" si="22"/>
        <v>2635</v>
      </c>
      <c r="G1461">
        <f>YEAR(VLOOKUP(A1461,orders!A:D,4,0))</f>
        <v>2014</v>
      </c>
      <c r="H1461">
        <f>MONTH(INDEX(orders!D:D,MATCH(A1461, orders!A:A,0)))</f>
        <v>12</v>
      </c>
      <c r="I1461" t="str">
        <f>VLOOKUP(VLOOKUP(B1461,products!A:F,6,0),categories!A:B,2,0)</f>
        <v>Beverages</v>
      </c>
      <c r="J1461" t="str">
        <f>VLOOKUP(VLOOKUP(A1461,orders!A:B,2,0),customers!A:F,6,0)</f>
        <v>USA</v>
      </c>
      <c r="K1461" t="str">
        <f>VLOOKUP(VLOOKUP(A1461,orders!A:C,3,0),employees!A:B,2,0)</f>
        <v>Andrew Fuller</v>
      </c>
    </row>
    <row r="1462" spans="1:11" x14ac:dyDescent="0.25">
      <c r="A1462">
        <v>10806</v>
      </c>
      <c r="B1462">
        <v>2</v>
      </c>
      <c r="C1462">
        <v>19</v>
      </c>
      <c r="D1462">
        <v>20</v>
      </c>
      <c r="E1462">
        <v>0.25</v>
      </c>
      <c r="F1462">
        <f t="shared" si="22"/>
        <v>285</v>
      </c>
      <c r="G1462">
        <f>YEAR(VLOOKUP(A1462,orders!A:D,4,0))</f>
        <v>2014</v>
      </c>
      <c r="H1462">
        <f>MONTH(INDEX(orders!D:D,MATCH(A1462, orders!A:A,0)))</f>
        <v>12</v>
      </c>
      <c r="I1462" t="str">
        <f>VLOOKUP(VLOOKUP(B1462,products!A:F,6,0),categories!A:B,2,0)</f>
        <v>Beverages</v>
      </c>
      <c r="J1462" t="str">
        <f>VLOOKUP(VLOOKUP(A1462,orders!A:B,2,0),customers!A:F,6,0)</f>
        <v>France</v>
      </c>
      <c r="K1462" t="str">
        <f>VLOOKUP(VLOOKUP(A1462,orders!A:C,3,0),employees!A:B,2,0)</f>
        <v>Janet Leverling</v>
      </c>
    </row>
    <row r="1463" spans="1:11" x14ac:dyDescent="0.25">
      <c r="A1463">
        <v>10806</v>
      </c>
      <c r="B1463">
        <v>65</v>
      </c>
      <c r="C1463">
        <v>21.05</v>
      </c>
      <c r="D1463">
        <v>2</v>
      </c>
      <c r="E1463">
        <v>0</v>
      </c>
      <c r="F1463">
        <f t="shared" si="22"/>
        <v>42.1</v>
      </c>
      <c r="G1463">
        <f>YEAR(VLOOKUP(A1463,orders!A:D,4,0))</f>
        <v>2014</v>
      </c>
      <c r="H1463">
        <f>MONTH(INDEX(orders!D:D,MATCH(A1463, orders!A:A,0)))</f>
        <v>12</v>
      </c>
      <c r="I1463" t="str">
        <f>VLOOKUP(VLOOKUP(B1463,products!A:F,6,0),categories!A:B,2,0)</f>
        <v>Condiments</v>
      </c>
      <c r="J1463" t="str">
        <f>VLOOKUP(VLOOKUP(A1463,orders!A:B,2,0),customers!A:F,6,0)</f>
        <v>France</v>
      </c>
      <c r="K1463" t="str">
        <f>VLOOKUP(VLOOKUP(A1463,orders!A:C,3,0),employees!A:B,2,0)</f>
        <v>Janet Leverling</v>
      </c>
    </row>
    <row r="1464" spans="1:11" x14ac:dyDescent="0.25">
      <c r="A1464">
        <v>10806</v>
      </c>
      <c r="B1464">
        <v>74</v>
      </c>
      <c r="C1464">
        <v>10</v>
      </c>
      <c r="D1464">
        <v>15</v>
      </c>
      <c r="E1464">
        <v>0.25</v>
      </c>
      <c r="F1464">
        <f t="shared" si="22"/>
        <v>112.5</v>
      </c>
      <c r="G1464">
        <f>YEAR(VLOOKUP(A1464,orders!A:D,4,0))</f>
        <v>2014</v>
      </c>
      <c r="H1464">
        <f>MONTH(INDEX(orders!D:D,MATCH(A1464, orders!A:A,0)))</f>
        <v>12</v>
      </c>
      <c r="I1464" t="str">
        <f>VLOOKUP(VLOOKUP(B1464,products!A:F,6,0),categories!A:B,2,0)</f>
        <v>Produce</v>
      </c>
      <c r="J1464" t="str">
        <f>VLOOKUP(VLOOKUP(A1464,orders!A:B,2,0),customers!A:F,6,0)</f>
        <v>France</v>
      </c>
      <c r="K1464" t="str">
        <f>VLOOKUP(VLOOKUP(A1464,orders!A:C,3,0),employees!A:B,2,0)</f>
        <v>Janet Leverling</v>
      </c>
    </row>
    <row r="1465" spans="1:11" x14ac:dyDescent="0.25">
      <c r="A1465">
        <v>10807</v>
      </c>
      <c r="B1465">
        <v>40</v>
      </c>
      <c r="C1465">
        <v>18.399999999999999</v>
      </c>
      <c r="D1465">
        <v>1</v>
      </c>
      <c r="E1465">
        <v>0</v>
      </c>
      <c r="F1465">
        <f t="shared" si="22"/>
        <v>18.399999999999999</v>
      </c>
      <c r="G1465">
        <f>YEAR(VLOOKUP(A1465,orders!A:D,4,0))</f>
        <v>2014</v>
      </c>
      <c r="H1465">
        <f>MONTH(INDEX(orders!D:D,MATCH(A1465, orders!A:A,0)))</f>
        <v>12</v>
      </c>
      <c r="I1465" t="str">
        <f>VLOOKUP(VLOOKUP(B1465,products!A:F,6,0),categories!A:B,2,0)</f>
        <v>Seafood</v>
      </c>
      <c r="J1465" t="str">
        <f>VLOOKUP(VLOOKUP(A1465,orders!A:B,2,0),customers!A:F,6,0)</f>
        <v>Italy</v>
      </c>
      <c r="K1465" t="str">
        <f>VLOOKUP(VLOOKUP(A1465,orders!A:C,3,0),employees!A:B,2,0)</f>
        <v>Margaret Peacock</v>
      </c>
    </row>
    <row r="1466" spans="1:11" x14ac:dyDescent="0.25">
      <c r="A1466">
        <v>10808</v>
      </c>
      <c r="B1466">
        <v>56</v>
      </c>
      <c r="C1466">
        <v>38</v>
      </c>
      <c r="D1466">
        <v>20</v>
      </c>
      <c r="E1466">
        <v>0.15</v>
      </c>
      <c r="F1466">
        <f t="shared" si="22"/>
        <v>646</v>
      </c>
      <c r="G1466">
        <f>YEAR(VLOOKUP(A1466,orders!A:D,4,0))</f>
        <v>2015</v>
      </c>
      <c r="H1466">
        <f>MONTH(INDEX(orders!D:D,MATCH(A1466, orders!A:A,0)))</f>
        <v>1</v>
      </c>
      <c r="I1466" t="str">
        <f>VLOOKUP(VLOOKUP(B1466,products!A:F,6,0),categories!A:B,2,0)</f>
        <v>Grains &amp; Cereals</v>
      </c>
      <c r="J1466" t="str">
        <f>VLOOKUP(VLOOKUP(A1466,orders!A:B,2,0),customers!A:F,6,0)</f>
        <v>USA</v>
      </c>
      <c r="K1466" t="str">
        <f>VLOOKUP(VLOOKUP(A1466,orders!A:C,3,0),employees!A:B,2,0)</f>
        <v>Andrew Fuller</v>
      </c>
    </row>
    <row r="1467" spans="1:11" x14ac:dyDescent="0.25">
      <c r="A1467">
        <v>10808</v>
      </c>
      <c r="B1467">
        <v>76</v>
      </c>
      <c r="C1467">
        <v>18</v>
      </c>
      <c r="D1467">
        <v>50</v>
      </c>
      <c r="E1467">
        <v>0.15</v>
      </c>
      <c r="F1467">
        <f t="shared" si="22"/>
        <v>765</v>
      </c>
      <c r="G1467">
        <f>YEAR(VLOOKUP(A1467,orders!A:D,4,0))</f>
        <v>2015</v>
      </c>
      <c r="H1467">
        <f>MONTH(INDEX(orders!D:D,MATCH(A1467, orders!A:A,0)))</f>
        <v>1</v>
      </c>
      <c r="I1467" t="str">
        <f>VLOOKUP(VLOOKUP(B1467,products!A:F,6,0),categories!A:B,2,0)</f>
        <v>Beverages</v>
      </c>
      <c r="J1467" t="str">
        <f>VLOOKUP(VLOOKUP(A1467,orders!A:B,2,0),customers!A:F,6,0)</f>
        <v>USA</v>
      </c>
      <c r="K1467" t="str">
        <f>VLOOKUP(VLOOKUP(A1467,orders!A:C,3,0),employees!A:B,2,0)</f>
        <v>Andrew Fuller</v>
      </c>
    </row>
    <row r="1468" spans="1:11" x14ac:dyDescent="0.25">
      <c r="A1468">
        <v>10809</v>
      </c>
      <c r="B1468">
        <v>52</v>
      </c>
      <c r="C1468">
        <v>7</v>
      </c>
      <c r="D1468">
        <v>20</v>
      </c>
      <c r="E1468">
        <v>0</v>
      </c>
      <c r="F1468">
        <f t="shared" si="22"/>
        <v>140</v>
      </c>
      <c r="G1468">
        <f>YEAR(VLOOKUP(A1468,orders!A:D,4,0))</f>
        <v>2015</v>
      </c>
      <c r="H1468">
        <f>MONTH(INDEX(orders!D:D,MATCH(A1468, orders!A:A,0)))</f>
        <v>1</v>
      </c>
      <c r="I1468" t="str">
        <f>VLOOKUP(VLOOKUP(B1468,products!A:F,6,0),categories!A:B,2,0)</f>
        <v>Grains &amp; Cereals</v>
      </c>
      <c r="J1468" t="str">
        <f>VLOOKUP(VLOOKUP(A1468,orders!A:B,2,0),customers!A:F,6,0)</f>
        <v>Brazil</v>
      </c>
      <c r="K1468" t="str">
        <f>VLOOKUP(VLOOKUP(A1468,orders!A:C,3,0),employees!A:B,2,0)</f>
        <v>Robert King</v>
      </c>
    </row>
    <row r="1469" spans="1:11" x14ac:dyDescent="0.25">
      <c r="A1469">
        <v>10810</v>
      </c>
      <c r="B1469">
        <v>13</v>
      </c>
      <c r="C1469">
        <v>6</v>
      </c>
      <c r="D1469">
        <v>7</v>
      </c>
      <c r="E1469">
        <v>0</v>
      </c>
      <c r="F1469">
        <f t="shared" si="22"/>
        <v>42</v>
      </c>
      <c r="G1469">
        <f>YEAR(VLOOKUP(A1469,orders!A:D,4,0))</f>
        <v>2015</v>
      </c>
      <c r="H1469">
        <f>MONTH(INDEX(orders!D:D,MATCH(A1469, orders!A:A,0)))</f>
        <v>1</v>
      </c>
      <c r="I1469" t="str">
        <f>VLOOKUP(VLOOKUP(B1469,products!A:F,6,0),categories!A:B,2,0)</f>
        <v>Seafood</v>
      </c>
      <c r="J1469" t="str">
        <f>VLOOKUP(VLOOKUP(A1469,orders!A:B,2,0),customers!A:F,6,0)</f>
        <v>Canada</v>
      </c>
      <c r="K1469" t="str">
        <f>VLOOKUP(VLOOKUP(A1469,orders!A:C,3,0),employees!A:B,2,0)</f>
        <v>Andrew Fuller</v>
      </c>
    </row>
    <row r="1470" spans="1:11" x14ac:dyDescent="0.25">
      <c r="A1470">
        <v>10810</v>
      </c>
      <c r="B1470">
        <v>25</v>
      </c>
      <c r="C1470">
        <v>14</v>
      </c>
      <c r="D1470">
        <v>5</v>
      </c>
      <c r="E1470">
        <v>0</v>
      </c>
      <c r="F1470">
        <f t="shared" si="22"/>
        <v>70</v>
      </c>
      <c r="G1470">
        <f>YEAR(VLOOKUP(A1470,orders!A:D,4,0))</f>
        <v>2015</v>
      </c>
      <c r="H1470">
        <f>MONTH(INDEX(orders!D:D,MATCH(A1470, orders!A:A,0)))</f>
        <v>1</v>
      </c>
      <c r="I1470" t="str">
        <f>VLOOKUP(VLOOKUP(B1470,products!A:F,6,0),categories!A:B,2,0)</f>
        <v>Confections</v>
      </c>
      <c r="J1470" t="str">
        <f>VLOOKUP(VLOOKUP(A1470,orders!A:B,2,0),customers!A:F,6,0)</f>
        <v>Canada</v>
      </c>
      <c r="K1470" t="str">
        <f>VLOOKUP(VLOOKUP(A1470,orders!A:C,3,0),employees!A:B,2,0)</f>
        <v>Andrew Fuller</v>
      </c>
    </row>
    <row r="1471" spans="1:11" x14ac:dyDescent="0.25">
      <c r="A1471">
        <v>10810</v>
      </c>
      <c r="B1471">
        <v>70</v>
      </c>
      <c r="C1471">
        <v>15</v>
      </c>
      <c r="D1471">
        <v>5</v>
      </c>
      <c r="E1471">
        <v>0</v>
      </c>
      <c r="F1471">
        <f t="shared" si="22"/>
        <v>75</v>
      </c>
      <c r="G1471">
        <f>YEAR(VLOOKUP(A1471,orders!A:D,4,0))</f>
        <v>2015</v>
      </c>
      <c r="H1471">
        <f>MONTH(INDEX(orders!D:D,MATCH(A1471, orders!A:A,0)))</f>
        <v>1</v>
      </c>
      <c r="I1471" t="str">
        <f>VLOOKUP(VLOOKUP(B1471,products!A:F,6,0),categories!A:B,2,0)</f>
        <v>Beverages</v>
      </c>
      <c r="J1471" t="str">
        <f>VLOOKUP(VLOOKUP(A1471,orders!A:B,2,0),customers!A:F,6,0)</f>
        <v>Canada</v>
      </c>
      <c r="K1471" t="str">
        <f>VLOOKUP(VLOOKUP(A1471,orders!A:C,3,0),employees!A:B,2,0)</f>
        <v>Andrew Fuller</v>
      </c>
    </row>
    <row r="1472" spans="1:11" x14ac:dyDescent="0.25">
      <c r="A1472">
        <v>10811</v>
      </c>
      <c r="B1472">
        <v>19</v>
      </c>
      <c r="C1472">
        <v>9.1999999999999993</v>
      </c>
      <c r="D1472">
        <v>15</v>
      </c>
      <c r="E1472">
        <v>0</v>
      </c>
      <c r="F1472">
        <f t="shared" si="22"/>
        <v>138</v>
      </c>
      <c r="G1472">
        <f>YEAR(VLOOKUP(A1472,orders!A:D,4,0))</f>
        <v>2015</v>
      </c>
      <c r="H1472">
        <f>MONTH(INDEX(orders!D:D,MATCH(A1472, orders!A:A,0)))</f>
        <v>1</v>
      </c>
      <c r="I1472" t="str">
        <f>VLOOKUP(VLOOKUP(B1472,products!A:F,6,0),categories!A:B,2,0)</f>
        <v>Confections</v>
      </c>
      <c r="J1472" t="str">
        <f>VLOOKUP(VLOOKUP(A1472,orders!A:B,2,0),customers!A:F,6,0)</f>
        <v>Venezuela</v>
      </c>
      <c r="K1472" t="str">
        <f>VLOOKUP(VLOOKUP(A1472,orders!A:C,3,0),employees!A:B,2,0)</f>
        <v>Laura Callahan</v>
      </c>
    </row>
    <row r="1473" spans="1:11" x14ac:dyDescent="0.25">
      <c r="A1473">
        <v>10811</v>
      </c>
      <c r="B1473">
        <v>23</v>
      </c>
      <c r="C1473">
        <v>9</v>
      </c>
      <c r="D1473">
        <v>18</v>
      </c>
      <c r="E1473">
        <v>0</v>
      </c>
      <c r="F1473">
        <f t="shared" si="22"/>
        <v>162</v>
      </c>
      <c r="G1473">
        <f>YEAR(VLOOKUP(A1473,orders!A:D,4,0))</f>
        <v>2015</v>
      </c>
      <c r="H1473">
        <f>MONTH(INDEX(orders!D:D,MATCH(A1473, orders!A:A,0)))</f>
        <v>1</v>
      </c>
      <c r="I1473" t="str">
        <f>VLOOKUP(VLOOKUP(B1473,products!A:F,6,0),categories!A:B,2,0)</f>
        <v>Grains &amp; Cereals</v>
      </c>
      <c r="J1473" t="str">
        <f>VLOOKUP(VLOOKUP(A1473,orders!A:B,2,0),customers!A:F,6,0)</f>
        <v>Venezuela</v>
      </c>
      <c r="K1473" t="str">
        <f>VLOOKUP(VLOOKUP(A1473,orders!A:C,3,0),employees!A:B,2,0)</f>
        <v>Laura Callahan</v>
      </c>
    </row>
    <row r="1474" spans="1:11" x14ac:dyDescent="0.25">
      <c r="A1474">
        <v>10811</v>
      </c>
      <c r="B1474">
        <v>40</v>
      </c>
      <c r="C1474">
        <v>18.399999999999999</v>
      </c>
      <c r="D1474">
        <v>30</v>
      </c>
      <c r="E1474">
        <v>0</v>
      </c>
      <c r="F1474">
        <f t="shared" si="22"/>
        <v>552</v>
      </c>
      <c r="G1474">
        <f>YEAR(VLOOKUP(A1474,orders!A:D,4,0))</f>
        <v>2015</v>
      </c>
      <c r="H1474">
        <f>MONTH(INDEX(orders!D:D,MATCH(A1474, orders!A:A,0)))</f>
        <v>1</v>
      </c>
      <c r="I1474" t="str">
        <f>VLOOKUP(VLOOKUP(B1474,products!A:F,6,0),categories!A:B,2,0)</f>
        <v>Seafood</v>
      </c>
      <c r="J1474" t="str">
        <f>VLOOKUP(VLOOKUP(A1474,orders!A:B,2,0),customers!A:F,6,0)</f>
        <v>Venezuela</v>
      </c>
      <c r="K1474" t="str">
        <f>VLOOKUP(VLOOKUP(A1474,orders!A:C,3,0),employees!A:B,2,0)</f>
        <v>Laura Callahan</v>
      </c>
    </row>
    <row r="1475" spans="1:11" x14ac:dyDescent="0.25">
      <c r="A1475">
        <v>10812</v>
      </c>
      <c r="B1475">
        <v>31</v>
      </c>
      <c r="C1475">
        <v>12.5</v>
      </c>
      <c r="D1475">
        <v>16</v>
      </c>
      <c r="E1475">
        <v>0.1</v>
      </c>
      <c r="F1475">
        <f t="shared" ref="F1475:F1538" si="23">C1475*D1475*(1-E1475)</f>
        <v>180</v>
      </c>
      <c r="G1475">
        <f>YEAR(VLOOKUP(A1475,orders!A:D,4,0))</f>
        <v>2015</v>
      </c>
      <c r="H1475">
        <f>MONTH(INDEX(orders!D:D,MATCH(A1475, orders!A:A,0)))</f>
        <v>1</v>
      </c>
      <c r="I1475" t="str">
        <f>VLOOKUP(VLOOKUP(B1475,products!A:F,6,0),categories!A:B,2,0)</f>
        <v>Dairy Products</v>
      </c>
      <c r="J1475" t="str">
        <f>VLOOKUP(VLOOKUP(A1475,orders!A:B,2,0),customers!A:F,6,0)</f>
        <v>Italy</v>
      </c>
      <c r="K1475" t="str">
        <f>VLOOKUP(VLOOKUP(A1475,orders!A:C,3,0),employees!A:B,2,0)</f>
        <v>Steven Buchanan</v>
      </c>
    </row>
    <row r="1476" spans="1:11" x14ac:dyDescent="0.25">
      <c r="A1476">
        <v>10812</v>
      </c>
      <c r="B1476">
        <v>72</v>
      </c>
      <c r="C1476">
        <v>34.799999999999997</v>
      </c>
      <c r="D1476">
        <v>40</v>
      </c>
      <c r="E1476">
        <v>0.1</v>
      </c>
      <c r="F1476">
        <f t="shared" si="23"/>
        <v>1252.8</v>
      </c>
      <c r="G1476">
        <f>YEAR(VLOOKUP(A1476,orders!A:D,4,0))</f>
        <v>2015</v>
      </c>
      <c r="H1476">
        <f>MONTH(INDEX(orders!D:D,MATCH(A1476, orders!A:A,0)))</f>
        <v>1</v>
      </c>
      <c r="I1476" t="str">
        <f>VLOOKUP(VLOOKUP(B1476,products!A:F,6,0),categories!A:B,2,0)</f>
        <v>Dairy Products</v>
      </c>
      <c r="J1476" t="str">
        <f>VLOOKUP(VLOOKUP(A1476,orders!A:B,2,0),customers!A:F,6,0)</f>
        <v>Italy</v>
      </c>
      <c r="K1476" t="str">
        <f>VLOOKUP(VLOOKUP(A1476,orders!A:C,3,0),employees!A:B,2,0)</f>
        <v>Steven Buchanan</v>
      </c>
    </row>
    <row r="1477" spans="1:11" x14ac:dyDescent="0.25">
      <c r="A1477">
        <v>10812</v>
      </c>
      <c r="B1477">
        <v>77</v>
      </c>
      <c r="C1477">
        <v>13</v>
      </c>
      <c r="D1477">
        <v>20</v>
      </c>
      <c r="E1477">
        <v>0</v>
      </c>
      <c r="F1477">
        <f t="shared" si="23"/>
        <v>260</v>
      </c>
      <c r="G1477">
        <f>YEAR(VLOOKUP(A1477,orders!A:D,4,0))</f>
        <v>2015</v>
      </c>
      <c r="H1477">
        <f>MONTH(INDEX(orders!D:D,MATCH(A1477, orders!A:A,0)))</f>
        <v>1</v>
      </c>
      <c r="I1477" t="str">
        <f>VLOOKUP(VLOOKUP(B1477,products!A:F,6,0),categories!A:B,2,0)</f>
        <v>Condiments</v>
      </c>
      <c r="J1477" t="str">
        <f>VLOOKUP(VLOOKUP(A1477,orders!A:B,2,0),customers!A:F,6,0)</f>
        <v>Italy</v>
      </c>
      <c r="K1477" t="str">
        <f>VLOOKUP(VLOOKUP(A1477,orders!A:C,3,0),employees!A:B,2,0)</f>
        <v>Steven Buchanan</v>
      </c>
    </row>
    <row r="1478" spans="1:11" x14ac:dyDescent="0.25">
      <c r="A1478">
        <v>10813</v>
      </c>
      <c r="B1478">
        <v>2</v>
      </c>
      <c r="C1478">
        <v>19</v>
      </c>
      <c r="D1478">
        <v>12</v>
      </c>
      <c r="E1478">
        <v>0.2</v>
      </c>
      <c r="F1478">
        <f t="shared" si="23"/>
        <v>182.4</v>
      </c>
      <c r="G1478">
        <f>YEAR(VLOOKUP(A1478,orders!A:D,4,0))</f>
        <v>2015</v>
      </c>
      <c r="H1478">
        <f>MONTH(INDEX(orders!D:D,MATCH(A1478, orders!A:A,0)))</f>
        <v>1</v>
      </c>
      <c r="I1478" t="str">
        <f>VLOOKUP(VLOOKUP(B1478,products!A:F,6,0),categories!A:B,2,0)</f>
        <v>Beverages</v>
      </c>
      <c r="J1478" t="str">
        <f>VLOOKUP(VLOOKUP(A1478,orders!A:B,2,0),customers!A:F,6,0)</f>
        <v>Brazil</v>
      </c>
      <c r="K1478" t="str">
        <f>VLOOKUP(VLOOKUP(A1478,orders!A:C,3,0),employees!A:B,2,0)</f>
        <v>Nancy Davolio</v>
      </c>
    </row>
    <row r="1479" spans="1:11" x14ac:dyDescent="0.25">
      <c r="A1479">
        <v>10813</v>
      </c>
      <c r="B1479">
        <v>46</v>
      </c>
      <c r="C1479">
        <v>12</v>
      </c>
      <c r="D1479">
        <v>35</v>
      </c>
      <c r="E1479">
        <v>0</v>
      </c>
      <c r="F1479">
        <f t="shared" si="23"/>
        <v>420</v>
      </c>
      <c r="G1479">
        <f>YEAR(VLOOKUP(A1479,orders!A:D,4,0))</f>
        <v>2015</v>
      </c>
      <c r="H1479">
        <f>MONTH(INDEX(orders!D:D,MATCH(A1479, orders!A:A,0)))</f>
        <v>1</v>
      </c>
      <c r="I1479" t="str">
        <f>VLOOKUP(VLOOKUP(B1479,products!A:F,6,0),categories!A:B,2,0)</f>
        <v>Seafood</v>
      </c>
      <c r="J1479" t="str">
        <f>VLOOKUP(VLOOKUP(A1479,orders!A:B,2,0),customers!A:F,6,0)</f>
        <v>Brazil</v>
      </c>
      <c r="K1479" t="str">
        <f>VLOOKUP(VLOOKUP(A1479,orders!A:C,3,0),employees!A:B,2,0)</f>
        <v>Nancy Davolio</v>
      </c>
    </row>
    <row r="1480" spans="1:11" x14ac:dyDescent="0.25">
      <c r="A1480">
        <v>10814</v>
      </c>
      <c r="B1480">
        <v>41</v>
      </c>
      <c r="C1480">
        <v>9.65</v>
      </c>
      <c r="D1480">
        <v>20</v>
      </c>
      <c r="E1480">
        <v>0</v>
      </c>
      <c r="F1480">
        <f t="shared" si="23"/>
        <v>193</v>
      </c>
      <c r="G1480">
        <f>YEAR(VLOOKUP(A1480,orders!A:D,4,0))</f>
        <v>2015</v>
      </c>
      <c r="H1480">
        <f>MONTH(INDEX(orders!D:D,MATCH(A1480, orders!A:A,0)))</f>
        <v>1</v>
      </c>
      <c r="I1480" t="str">
        <f>VLOOKUP(VLOOKUP(B1480,products!A:F,6,0),categories!A:B,2,0)</f>
        <v>Seafood</v>
      </c>
      <c r="J1480" t="str">
        <f>VLOOKUP(VLOOKUP(A1480,orders!A:B,2,0),customers!A:F,6,0)</f>
        <v>France</v>
      </c>
      <c r="K1480" t="str">
        <f>VLOOKUP(VLOOKUP(A1480,orders!A:C,3,0),employees!A:B,2,0)</f>
        <v>Janet Leverling</v>
      </c>
    </row>
    <row r="1481" spans="1:11" x14ac:dyDescent="0.25">
      <c r="A1481">
        <v>10814</v>
      </c>
      <c r="B1481">
        <v>43</v>
      </c>
      <c r="C1481">
        <v>46</v>
      </c>
      <c r="D1481">
        <v>20</v>
      </c>
      <c r="E1481">
        <v>0.15</v>
      </c>
      <c r="F1481">
        <f t="shared" si="23"/>
        <v>782</v>
      </c>
      <c r="G1481">
        <f>YEAR(VLOOKUP(A1481,orders!A:D,4,0))</f>
        <v>2015</v>
      </c>
      <c r="H1481">
        <f>MONTH(INDEX(orders!D:D,MATCH(A1481, orders!A:A,0)))</f>
        <v>1</v>
      </c>
      <c r="I1481" t="str">
        <f>VLOOKUP(VLOOKUP(B1481,products!A:F,6,0),categories!A:B,2,0)</f>
        <v>Beverages</v>
      </c>
      <c r="J1481" t="str">
        <f>VLOOKUP(VLOOKUP(A1481,orders!A:B,2,0),customers!A:F,6,0)</f>
        <v>France</v>
      </c>
      <c r="K1481" t="str">
        <f>VLOOKUP(VLOOKUP(A1481,orders!A:C,3,0),employees!A:B,2,0)</f>
        <v>Janet Leverling</v>
      </c>
    </row>
    <row r="1482" spans="1:11" x14ac:dyDescent="0.25">
      <c r="A1482">
        <v>10814</v>
      </c>
      <c r="B1482">
        <v>48</v>
      </c>
      <c r="C1482">
        <v>12.75</v>
      </c>
      <c r="D1482">
        <v>8</v>
      </c>
      <c r="E1482">
        <v>0.15</v>
      </c>
      <c r="F1482">
        <f t="shared" si="23"/>
        <v>86.7</v>
      </c>
      <c r="G1482">
        <f>YEAR(VLOOKUP(A1482,orders!A:D,4,0))</f>
        <v>2015</v>
      </c>
      <c r="H1482">
        <f>MONTH(INDEX(orders!D:D,MATCH(A1482, orders!A:A,0)))</f>
        <v>1</v>
      </c>
      <c r="I1482" t="str">
        <f>VLOOKUP(VLOOKUP(B1482,products!A:F,6,0),categories!A:B,2,0)</f>
        <v>Confections</v>
      </c>
      <c r="J1482" t="str">
        <f>VLOOKUP(VLOOKUP(A1482,orders!A:B,2,0),customers!A:F,6,0)</f>
        <v>France</v>
      </c>
      <c r="K1482" t="str">
        <f>VLOOKUP(VLOOKUP(A1482,orders!A:C,3,0),employees!A:B,2,0)</f>
        <v>Janet Leverling</v>
      </c>
    </row>
    <row r="1483" spans="1:11" x14ac:dyDescent="0.25">
      <c r="A1483">
        <v>10814</v>
      </c>
      <c r="B1483">
        <v>61</v>
      </c>
      <c r="C1483">
        <v>28.5</v>
      </c>
      <c r="D1483">
        <v>30</v>
      </c>
      <c r="E1483">
        <v>0.15</v>
      </c>
      <c r="F1483">
        <f t="shared" si="23"/>
        <v>726.75</v>
      </c>
      <c r="G1483">
        <f>YEAR(VLOOKUP(A1483,orders!A:D,4,0))</f>
        <v>2015</v>
      </c>
      <c r="H1483">
        <f>MONTH(INDEX(orders!D:D,MATCH(A1483, orders!A:A,0)))</f>
        <v>1</v>
      </c>
      <c r="I1483" t="str">
        <f>VLOOKUP(VLOOKUP(B1483,products!A:F,6,0),categories!A:B,2,0)</f>
        <v>Condiments</v>
      </c>
      <c r="J1483" t="str">
        <f>VLOOKUP(VLOOKUP(A1483,orders!A:B,2,0),customers!A:F,6,0)</f>
        <v>France</v>
      </c>
      <c r="K1483" t="str">
        <f>VLOOKUP(VLOOKUP(A1483,orders!A:C,3,0),employees!A:B,2,0)</f>
        <v>Janet Leverling</v>
      </c>
    </row>
    <row r="1484" spans="1:11" x14ac:dyDescent="0.25">
      <c r="A1484">
        <v>10815</v>
      </c>
      <c r="B1484">
        <v>33</v>
      </c>
      <c r="C1484">
        <v>2.5</v>
      </c>
      <c r="D1484">
        <v>16</v>
      </c>
      <c r="E1484">
        <v>0</v>
      </c>
      <c r="F1484">
        <f t="shared" si="23"/>
        <v>40</v>
      </c>
      <c r="G1484">
        <f>YEAR(VLOOKUP(A1484,orders!A:D,4,0))</f>
        <v>2015</v>
      </c>
      <c r="H1484">
        <f>MONTH(INDEX(orders!D:D,MATCH(A1484, orders!A:A,0)))</f>
        <v>1</v>
      </c>
      <c r="I1484" t="str">
        <f>VLOOKUP(VLOOKUP(B1484,products!A:F,6,0),categories!A:B,2,0)</f>
        <v>Dairy Products</v>
      </c>
      <c r="J1484" t="str">
        <f>VLOOKUP(VLOOKUP(A1484,orders!A:B,2,0),customers!A:F,6,0)</f>
        <v>USA</v>
      </c>
      <c r="K1484" t="str">
        <f>VLOOKUP(VLOOKUP(A1484,orders!A:C,3,0),employees!A:B,2,0)</f>
        <v>Andrew Fuller</v>
      </c>
    </row>
    <row r="1485" spans="1:11" x14ac:dyDescent="0.25">
      <c r="A1485">
        <v>10816</v>
      </c>
      <c r="B1485">
        <v>38</v>
      </c>
      <c r="C1485">
        <v>263.5</v>
      </c>
      <c r="D1485">
        <v>30</v>
      </c>
      <c r="E1485">
        <v>0.05</v>
      </c>
      <c r="F1485">
        <f t="shared" si="23"/>
        <v>7509.75</v>
      </c>
      <c r="G1485">
        <f>YEAR(VLOOKUP(A1485,orders!A:D,4,0))</f>
        <v>2015</v>
      </c>
      <c r="H1485">
        <f>MONTH(INDEX(orders!D:D,MATCH(A1485, orders!A:A,0)))</f>
        <v>1</v>
      </c>
      <c r="I1485" t="str">
        <f>VLOOKUP(VLOOKUP(B1485,products!A:F,6,0),categories!A:B,2,0)</f>
        <v>Beverages</v>
      </c>
      <c r="J1485" t="str">
        <f>VLOOKUP(VLOOKUP(A1485,orders!A:B,2,0),customers!A:F,6,0)</f>
        <v>USA</v>
      </c>
      <c r="K1485" t="str">
        <f>VLOOKUP(VLOOKUP(A1485,orders!A:C,3,0),employees!A:B,2,0)</f>
        <v>Margaret Peacock</v>
      </c>
    </row>
    <row r="1486" spans="1:11" x14ac:dyDescent="0.25">
      <c r="A1486">
        <v>10816</v>
      </c>
      <c r="B1486">
        <v>62</v>
      </c>
      <c r="C1486">
        <v>49.3</v>
      </c>
      <c r="D1486">
        <v>20</v>
      </c>
      <c r="E1486">
        <v>0.05</v>
      </c>
      <c r="F1486">
        <f t="shared" si="23"/>
        <v>936.69999999999993</v>
      </c>
      <c r="G1486">
        <f>YEAR(VLOOKUP(A1486,orders!A:D,4,0))</f>
        <v>2015</v>
      </c>
      <c r="H1486">
        <f>MONTH(INDEX(orders!D:D,MATCH(A1486, orders!A:A,0)))</f>
        <v>1</v>
      </c>
      <c r="I1486" t="str">
        <f>VLOOKUP(VLOOKUP(B1486,products!A:F,6,0),categories!A:B,2,0)</f>
        <v>Confections</v>
      </c>
      <c r="J1486" t="str">
        <f>VLOOKUP(VLOOKUP(A1486,orders!A:B,2,0),customers!A:F,6,0)</f>
        <v>USA</v>
      </c>
      <c r="K1486" t="str">
        <f>VLOOKUP(VLOOKUP(A1486,orders!A:C,3,0),employees!A:B,2,0)</f>
        <v>Margaret Peacock</v>
      </c>
    </row>
    <row r="1487" spans="1:11" x14ac:dyDescent="0.25">
      <c r="A1487">
        <v>10817</v>
      </c>
      <c r="B1487">
        <v>26</v>
      </c>
      <c r="C1487">
        <v>31.23</v>
      </c>
      <c r="D1487">
        <v>40</v>
      </c>
      <c r="E1487">
        <v>0.15</v>
      </c>
      <c r="F1487">
        <f t="shared" si="23"/>
        <v>1061.82</v>
      </c>
      <c r="G1487">
        <f>YEAR(VLOOKUP(A1487,orders!A:D,4,0))</f>
        <v>2015</v>
      </c>
      <c r="H1487">
        <f>MONTH(INDEX(orders!D:D,MATCH(A1487, orders!A:A,0)))</f>
        <v>1</v>
      </c>
      <c r="I1487" t="str">
        <f>VLOOKUP(VLOOKUP(B1487,products!A:F,6,0),categories!A:B,2,0)</f>
        <v>Confections</v>
      </c>
      <c r="J1487" t="str">
        <f>VLOOKUP(VLOOKUP(A1487,orders!A:B,2,0),customers!A:F,6,0)</f>
        <v>Germany</v>
      </c>
      <c r="K1487" t="str">
        <f>VLOOKUP(VLOOKUP(A1487,orders!A:C,3,0),employees!A:B,2,0)</f>
        <v>Janet Leverling</v>
      </c>
    </row>
    <row r="1488" spans="1:11" x14ac:dyDescent="0.25">
      <c r="A1488">
        <v>10817</v>
      </c>
      <c r="B1488">
        <v>38</v>
      </c>
      <c r="C1488">
        <v>263.5</v>
      </c>
      <c r="D1488">
        <v>30</v>
      </c>
      <c r="E1488">
        <v>0</v>
      </c>
      <c r="F1488">
        <f t="shared" si="23"/>
        <v>7905</v>
      </c>
      <c r="G1488">
        <f>YEAR(VLOOKUP(A1488,orders!A:D,4,0))</f>
        <v>2015</v>
      </c>
      <c r="H1488">
        <f>MONTH(INDEX(orders!D:D,MATCH(A1488, orders!A:A,0)))</f>
        <v>1</v>
      </c>
      <c r="I1488" t="str">
        <f>VLOOKUP(VLOOKUP(B1488,products!A:F,6,0),categories!A:B,2,0)</f>
        <v>Beverages</v>
      </c>
      <c r="J1488" t="str">
        <f>VLOOKUP(VLOOKUP(A1488,orders!A:B,2,0),customers!A:F,6,0)</f>
        <v>Germany</v>
      </c>
      <c r="K1488" t="str">
        <f>VLOOKUP(VLOOKUP(A1488,orders!A:C,3,0),employees!A:B,2,0)</f>
        <v>Janet Leverling</v>
      </c>
    </row>
    <row r="1489" spans="1:11" x14ac:dyDescent="0.25">
      <c r="A1489">
        <v>10817</v>
      </c>
      <c r="B1489">
        <v>40</v>
      </c>
      <c r="C1489">
        <v>18.399999999999999</v>
      </c>
      <c r="D1489">
        <v>60</v>
      </c>
      <c r="E1489">
        <v>0.15</v>
      </c>
      <c r="F1489">
        <f t="shared" si="23"/>
        <v>938.4</v>
      </c>
      <c r="G1489">
        <f>YEAR(VLOOKUP(A1489,orders!A:D,4,0))</f>
        <v>2015</v>
      </c>
      <c r="H1489">
        <f>MONTH(INDEX(orders!D:D,MATCH(A1489, orders!A:A,0)))</f>
        <v>1</v>
      </c>
      <c r="I1489" t="str">
        <f>VLOOKUP(VLOOKUP(B1489,products!A:F,6,0),categories!A:B,2,0)</f>
        <v>Seafood</v>
      </c>
      <c r="J1489" t="str">
        <f>VLOOKUP(VLOOKUP(A1489,orders!A:B,2,0),customers!A:F,6,0)</f>
        <v>Germany</v>
      </c>
      <c r="K1489" t="str">
        <f>VLOOKUP(VLOOKUP(A1489,orders!A:C,3,0),employees!A:B,2,0)</f>
        <v>Janet Leverling</v>
      </c>
    </row>
    <row r="1490" spans="1:11" x14ac:dyDescent="0.25">
      <c r="A1490">
        <v>10817</v>
      </c>
      <c r="B1490">
        <v>62</v>
      </c>
      <c r="C1490">
        <v>49.3</v>
      </c>
      <c r="D1490">
        <v>25</v>
      </c>
      <c r="E1490">
        <v>0.15</v>
      </c>
      <c r="F1490">
        <f t="shared" si="23"/>
        <v>1047.625</v>
      </c>
      <c r="G1490">
        <f>YEAR(VLOOKUP(A1490,orders!A:D,4,0))</f>
        <v>2015</v>
      </c>
      <c r="H1490">
        <f>MONTH(INDEX(orders!D:D,MATCH(A1490, orders!A:A,0)))</f>
        <v>1</v>
      </c>
      <c r="I1490" t="str">
        <f>VLOOKUP(VLOOKUP(B1490,products!A:F,6,0),categories!A:B,2,0)</f>
        <v>Confections</v>
      </c>
      <c r="J1490" t="str">
        <f>VLOOKUP(VLOOKUP(A1490,orders!A:B,2,0),customers!A:F,6,0)</f>
        <v>Germany</v>
      </c>
      <c r="K1490" t="str">
        <f>VLOOKUP(VLOOKUP(A1490,orders!A:C,3,0),employees!A:B,2,0)</f>
        <v>Janet Leverling</v>
      </c>
    </row>
    <row r="1491" spans="1:11" x14ac:dyDescent="0.25">
      <c r="A1491">
        <v>10818</v>
      </c>
      <c r="B1491">
        <v>32</v>
      </c>
      <c r="C1491">
        <v>32</v>
      </c>
      <c r="D1491">
        <v>20</v>
      </c>
      <c r="E1491">
        <v>0</v>
      </c>
      <c r="F1491">
        <f t="shared" si="23"/>
        <v>640</v>
      </c>
      <c r="G1491">
        <f>YEAR(VLOOKUP(A1491,orders!A:D,4,0))</f>
        <v>2015</v>
      </c>
      <c r="H1491">
        <f>MONTH(INDEX(orders!D:D,MATCH(A1491, orders!A:A,0)))</f>
        <v>1</v>
      </c>
      <c r="I1491" t="str">
        <f>VLOOKUP(VLOOKUP(B1491,products!A:F,6,0),categories!A:B,2,0)</f>
        <v>Dairy Products</v>
      </c>
      <c r="J1491" t="str">
        <f>VLOOKUP(VLOOKUP(A1491,orders!A:B,2,0),customers!A:F,6,0)</f>
        <v>Italy</v>
      </c>
      <c r="K1491" t="str">
        <f>VLOOKUP(VLOOKUP(A1491,orders!A:C,3,0),employees!A:B,2,0)</f>
        <v>Robert King</v>
      </c>
    </row>
    <row r="1492" spans="1:11" x14ac:dyDescent="0.25">
      <c r="A1492">
        <v>10818</v>
      </c>
      <c r="B1492">
        <v>41</v>
      </c>
      <c r="C1492">
        <v>9.65</v>
      </c>
      <c r="D1492">
        <v>20</v>
      </c>
      <c r="E1492">
        <v>0</v>
      </c>
      <c r="F1492">
        <f t="shared" si="23"/>
        <v>193</v>
      </c>
      <c r="G1492">
        <f>YEAR(VLOOKUP(A1492,orders!A:D,4,0))</f>
        <v>2015</v>
      </c>
      <c r="H1492">
        <f>MONTH(INDEX(orders!D:D,MATCH(A1492, orders!A:A,0)))</f>
        <v>1</v>
      </c>
      <c r="I1492" t="str">
        <f>VLOOKUP(VLOOKUP(B1492,products!A:F,6,0),categories!A:B,2,0)</f>
        <v>Seafood</v>
      </c>
      <c r="J1492" t="str">
        <f>VLOOKUP(VLOOKUP(A1492,orders!A:B,2,0),customers!A:F,6,0)</f>
        <v>Italy</v>
      </c>
      <c r="K1492" t="str">
        <f>VLOOKUP(VLOOKUP(A1492,orders!A:C,3,0),employees!A:B,2,0)</f>
        <v>Robert King</v>
      </c>
    </row>
    <row r="1493" spans="1:11" x14ac:dyDescent="0.25">
      <c r="A1493">
        <v>10819</v>
      </c>
      <c r="B1493">
        <v>43</v>
      </c>
      <c r="C1493">
        <v>46</v>
      </c>
      <c r="D1493">
        <v>7</v>
      </c>
      <c r="E1493">
        <v>0</v>
      </c>
      <c r="F1493">
        <f t="shared" si="23"/>
        <v>322</v>
      </c>
      <c r="G1493">
        <f>YEAR(VLOOKUP(A1493,orders!A:D,4,0))</f>
        <v>2015</v>
      </c>
      <c r="H1493">
        <f>MONTH(INDEX(orders!D:D,MATCH(A1493, orders!A:A,0)))</f>
        <v>1</v>
      </c>
      <c r="I1493" t="str">
        <f>VLOOKUP(VLOOKUP(B1493,products!A:F,6,0),categories!A:B,2,0)</f>
        <v>Beverages</v>
      </c>
      <c r="J1493" t="str">
        <f>VLOOKUP(VLOOKUP(A1493,orders!A:B,2,0),customers!A:F,6,0)</f>
        <v>Argentina</v>
      </c>
      <c r="K1493" t="str">
        <f>VLOOKUP(VLOOKUP(A1493,orders!A:C,3,0),employees!A:B,2,0)</f>
        <v>Andrew Fuller</v>
      </c>
    </row>
    <row r="1494" spans="1:11" x14ac:dyDescent="0.25">
      <c r="A1494">
        <v>10819</v>
      </c>
      <c r="B1494">
        <v>75</v>
      </c>
      <c r="C1494">
        <v>7.75</v>
      </c>
      <c r="D1494">
        <v>20</v>
      </c>
      <c r="E1494">
        <v>0</v>
      </c>
      <c r="F1494">
        <f t="shared" si="23"/>
        <v>155</v>
      </c>
      <c r="G1494">
        <f>YEAR(VLOOKUP(A1494,orders!A:D,4,0))</f>
        <v>2015</v>
      </c>
      <c r="H1494">
        <f>MONTH(INDEX(orders!D:D,MATCH(A1494, orders!A:A,0)))</f>
        <v>1</v>
      </c>
      <c r="I1494" t="str">
        <f>VLOOKUP(VLOOKUP(B1494,products!A:F,6,0),categories!A:B,2,0)</f>
        <v>Beverages</v>
      </c>
      <c r="J1494" t="str">
        <f>VLOOKUP(VLOOKUP(A1494,orders!A:B,2,0),customers!A:F,6,0)</f>
        <v>Argentina</v>
      </c>
      <c r="K1494" t="str">
        <f>VLOOKUP(VLOOKUP(A1494,orders!A:C,3,0),employees!A:B,2,0)</f>
        <v>Andrew Fuller</v>
      </c>
    </row>
    <row r="1495" spans="1:11" x14ac:dyDescent="0.25">
      <c r="A1495">
        <v>10820</v>
      </c>
      <c r="B1495">
        <v>56</v>
      </c>
      <c r="C1495">
        <v>38</v>
      </c>
      <c r="D1495">
        <v>30</v>
      </c>
      <c r="E1495">
        <v>0</v>
      </c>
      <c r="F1495">
        <f t="shared" si="23"/>
        <v>1140</v>
      </c>
      <c r="G1495">
        <f>YEAR(VLOOKUP(A1495,orders!A:D,4,0))</f>
        <v>2015</v>
      </c>
      <c r="H1495">
        <f>MONTH(INDEX(orders!D:D,MATCH(A1495, orders!A:A,0)))</f>
        <v>1</v>
      </c>
      <c r="I1495" t="str">
        <f>VLOOKUP(VLOOKUP(B1495,products!A:F,6,0),categories!A:B,2,0)</f>
        <v>Grains &amp; Cereals</v>
      </c>
      <c r="J1495" t="str">
        <f>VLOOKUP(VLOOKUP(A1495,orders!A:B,2,0),customers!A:F,6,0)</f>
        <v>USA</v>
      </c>
      <c r="K1495" t="str">
        <f>VLOOKUP(VLOOKUP(A1495,orders!A:C,3,0),employees!A:B,2,0)</f>
        <v>Janet Leverling</v>
      </c>
    </row>
    <row r="1496" spans="1:11" x14ac:dyDescent="0.25">
      <c r="A1496">
        <v>10821</v>
      </c>
      <c r="B1496">
        <v>35</v>
      </c>
      <c r="C1496">
        <v>18</v>
      </c>
      <c r="D1496">
        <v>20</v>
      </c>
      <c r="E1496">
        <v>0</v>
      </c>
      <c r="F1496">
        <f t="shared" si="23"/>
        <v>360</v>
      </c>
      <c r="G1496">
        <f>YEAR(VLOOKUP(A1496,orders!A:D,4,0))</f>
        <v>2015</v>
      </c>
      <c r="H1496">
        <f>MONTH(INDEX(orders!D:D,MATCH(A1496, orders!A:A,0)))</f>
        <v>1</v>
      </c>
      <c r="I1496" t="str">
        <f>VLOOKUP(VLOOKUP(B1496,products!A:F,6,0),categories!A:B,2,0)</f>
        <v>Beverages</v>
      </c>
      <c r="J1496" t="str">
        <f>VLOOKUP(VLOOKUP(A1496,orders!A:B,2,0),customers!A:F,6,0)</f>
        <v>USA</v>
      </c>
      <c r="K1496" t="str">
        <f>VLOOKUP(VLOOKUP(A1496,orders!A:C,3,0),employees!A:B,2,0)</f>
        <v>Nancy Davolio</v>
      </c>
    </row>
    <row r="1497" spans="1:11" x14ac:dyDescent="0.25">
      <c r="A1497">
        <v>10821</v>
      </c>
      <c r="B1497">
        <v>51</v>
      </c>
      <c r="C1497">
        <v>53</v>
      </c>
      <c r="D1497">
        <v>6</v>
      </c>
      <c r="E1497">
        <v>0</v>
      </c>
      <c r="F1497">
        <f t="shared" si="23"/>
        <v>318</v>
      </c>
      <c r="G1497">
        <f>YEAR(VLOOKUP(A1497,orders!A:D,4,0))</f>
        <v>2015</v>
      </c>
      <c r="H1497">
        <f>MONTH(INDEX(orders!D:D,MATCH(A1497, orders!A:A,0)))</f>
        <v>1</v>
      </c>
      <c r="I1497" t="str">
        <f>VLOOKUP(VLOOKUP(B1497,products!A:F,6,0),categories!A:B,2,0)</f>
        <v>Produce</v>
      </c>
      <c r="J1497" t="str">
        <f>VLOOKUP(VLOOKUP(A1497,orders!A:B,2,0),customers!A:F,6,0)</f>
        <v>USA</v>
      </c>
      <c r="K1497" t="str">
        <f>VLOOKUP(VLOOKUP(A1497,orders!A:C,3,0),employees!A:B,2,0)</f>
        <v>Nancy Davolio</v>
      </c>
    </row>
    <row r="1498" spans="1:11" x14ac:dyDescent="0.25">
      <c r="A1498">
        <v>10822</v>
      </c>
      <c r="B1498">
        <v>62</v>
      </c>
      <c r="C1498">
        <v>49.3</v>
      </c>
      <c r="D1498">
        <v>3</v>
      </c>
      <c r="E1498">
        <v>0</v>
      </c>
      <c r="F1498">
        <f t="shared" si="23"/>
        <v>147.89999999999998</v>
      </c>
      <c r="G1498">
        <f>YEAR(VLOOKUP(A1498,orders!A:D,4,0))</f>
        <v>2015</v>
      </c>
      <c r="H1498">
        <f>MONTH(INDEX(orders!D:D,MATCH(A1498, orders!A:A,0)))</f>
        <v>1</v>
      </c>
      <c r="I1498" t="str">
        <f>VLOOKUP(VLOOKUP(B1498,products!A:F,6,0),categories!A:B,2,0)</f>
        <v>Confections</v>
      </c>
      <c r="J1498" t="str">
        <f>VLOOKUP(VLOOKUP(A1498,orders!A:B,2,0),customers!A:F,6,0)</f>
        <v>USA</v>
      </c>
      <c r="K1498" t="str">
        <f>VLOOKUP(VLOOKUP(A1498,orders!A:C,3,0),employees!A:B,2,0)</f>
        <v>Michael Suyama</v>
      </c>
    </row>
    <row r="1499" spans="1:11" x14ac:dyDescent="0.25">
      <c r="A1499">
        <v>10822</v>
      </c>
      <c r="B1499">
        <v>70</v>
      </c>
      <c r="C1499">
        <v>15</v>
      </c>
      <c r="D1499">
        <v>6</v>
      </c>
      <c r="E1499">
        <v>0</v>
      </c>
      <c r="F1499">
        <f t="shared" si="23"/>
        <v>90</v>
      </c>
      <c r="G1499">
        <f>YEAR(VLOOKUP(A1499,orders!A:D,4,0))</f>
        <v>2015</v>
      </c>
      <c r="H1499">
        <f>MONTH(INDEX(orders!D:D,MATCH(A1499, orders!A:A,0)))</f>
        <v>1</v>
      </c>
      <c r="I1499" t="str">
        <f>VLOOKUP(VLOOKUP(B1499,products!A:F,6,0),categories!A:B,2,0)</f>
        <v>Beverages</v>
      </c>
      <c r="J1499" t="str">
        <f>VLOOKUP(VLOOKUP(A1499,orders!A:B,2,0),customers!A:F,6,0)</f>
        <v>USA</v>
      </c>
      <c r="K1499" t="str">
        <f>VLOOKUP(VLOOKUP(A1499,orders!A:C,3,0),employees!A:B,2,0)</f>
        <v>Michael Suyama</v>
      </c>
    </row>
    <row r="1500" spans="1:11" x14ac:dyDescent="0.25">
      <c r="A1500">
        <v>10823</v>
      </c>
      <c r="B1500">
        <v>11</v>
      </c>
      <c r="C1500">
        <v>21</v>
      </c>
      <c r="D1500">
        <v>20</v>
      </c>
      <c r="E1500">
        <v>0.1</v>
      </c>
      <c r="F1500">
        <f t="shared" si="23"/>
        <v>378</v>
      </c>
      <c r="G1500">
        <f>YEAR(VLOOKUP(A1500,orders!A:D,4,0))</f>
        <v>2015</v>
      </c>
      <c r="H1500">
        <f>MONTH(INDEX(orders!D:D,MATCH(A1500, orders!A:A,0)))</f>
        <v>1</v>
      </c>
      <c r="I1500" t="str">
        <f>VLOOKUP(VLOOKUP(B1500,products!A:F,6,0),categories!A:B,2,0)</f>
        <v>Dairy Products</v>
      </c>
      <c r="J1500" t="str">
        <f>VLOOKUP(VLOOKUP(A1500,orders!A:B,2,0),customers!A:F,6,0)</f>
        <v>Venezuela</v>
      </c>
      <c r="K1500" t="str">
        <f>VLOOKUP(VLOOKUP(A1500,orders!A:C,3,0),employees!A:B,2,0)</f>
        <v>Steven Buchanan</v>
      </c>
    </row>
    <row r="1501" spans="1:11" x14ac:dyDescent="0.25">
      <c r="A1501">
        <v>10823</v>
      </c>
      <c r="B1501">
        <v>57</v>
      </c>
      <c r="C1501">
        <v>19.5</v>
      </c>
      <c r="D1501">
        <v>15</v>
      </c>
      <c r="E1501">
        <v>0</v>
      </c>
      <c r="F1501">
        <f t="shared" si="23"/>
        <v>292.5</v>
      </c>
      <c r="G1501">
        <f>YEAR(VLOOKUP(A1501,orders!A:D,4,0))</f>
        <v>2015</v>
      </c>
      <c r="H1501">
        <f>MONTH(INDEX(orders!D:D,MATCH(A1501, orders!A:A,0)))</f>
        <v>1</v>
      </c>
      <c r="I1501" t="str">
        <f>VLOOKUP(VLOOKUP(B1501,products!A:F,6,0),categories!A:B,2,0)</f>
        <v>Grains &amp; Cereals</v>
      </c>
      <c r="J1501" t="str">
        <f>VLOOKUP(VLOOKUP(A1501,orders!A:B,2,0),customers!A:F,6,0)</f>
        <v>Venezuela</v>
      </c>
      <c r="K1501" t="str">
        <f>VLOOKUP(VLOOKUP(A1501,orders!A:C,3,0),employees!A:B,2,0)</f>
        <v>Steven Buchanan</v>
      </c>
    </row>
    <row r="1502" spans="1:11" x14ac:dyDescent="0.25">
      <c r="A1502">
        <v>10823</v>
      </c>
      <c r="B1502">
        <v>59</v>
      </c>
      <c r="C1502">
        <v>55</v>
      </c>
      <c r="D1502">
        <v>40</v>
      </c>
      <c r="E1502">
        <v>0.1</v>
      </c>
      <c r="F1502">
        <f t="shared" si="23"/>
        <v>1980</v>
      </c>
      <c r="G1502">
        <f>YEAR(VLOOKUP(A1502,orders!A:D,4,0))</f>
        <v>2015</v>
      </c>
      <c r="H1502">
        <f>MONTH(INDEX(orders!D:D,MATCH(A1502, orders!A:A,0)))</f>
        <v>1</v>
      </c>
      <c r="I1502" t="str">
        <f>VLOOKUP(VLOOKUP(B1502,products!A:F,6,0),categories!A:B,2,0)</f>
        <v>Dairy Products</v>
      </c>
      <c r="J1502" t="str">
        <f>VLOOKUP(VLOOKUP(A1502,orders!A:B,2,0),customers!A:F,6,0)</f>
        <v>Venezuela</v>
      </c>
      <c r="K1502" t="str">
        <f>VLOOKUP(VLOOKUP(A1502,orders!A:C,3,0),employees!A:B,2,0)</f>
        <v>Steven Buchanan</v>
      </c>
    </row>
    <row r="1503" spans="1:11" x14ac:dyDescent="0.25">
      <c r="A1503">
        <v>10823</v>
      </c>
      <c r="B1503">
        <v>77</v>
      </c>
      <c r="C1503">
        <v>13</v>
      </c>
      <c r="D1503">
        <v>15</v>
      </c>
      <c r="E1503">
        <v>0.1</v>
      </c>
      <c r="F1503">
        <f t="shared" si="23"/>
        <v>175.5</v>
      </c>
      <c r="G1503">
        <f>YEAR(VLOOKUP(A1503,orders!A:D,4,0))</f>
        <v>2015</v>
      </c>
      <c r="H1503">
        <f>MONTH(INDEX(orders!D:D,MATCH(A1503, orders!A:A,0)))</f>
        <v>1</v>
      </c>
      <c r="I1503" t="str">
        <f>VLOOKUP(VLOOKUP(B1503,products!A:F,6,0),categories!A:B,2,0)</f>
        <v>Condiments</v>
      </c>
      <c r="J1503" t="str">
        <f>VLOOKUP(VLOOKUP(A1503,orders!A:B,2,0),customers!A:F,6,0)</f>
        <v>Venezuela</v>
      </c>
      <c r="K1503" t="str">
        <f>VLOOKUP(VLOOKUP(A1503,orders!A:C,3,0),employees!A:B,2,0)</f>
        <v>Steven Buchanan</v>
      </c>
    </row>
    <row r="1504" spans="1:11" x14ac:dyDescent="0.25">
      <c r="A1504">
        <v>10824</v>
      </c>
      <c r="B1504">
        <v>41</v>
      </c>
      <c r="C1504">
        <v>9.65</v>
      </c>
      <c r="D1504">
        <v>12</v>
      </c>
      <c r="E1504">
        <v>0</v>
      </c>
      <c r="F1504">
        <f t="shared" si="23"/>
        <v>115.80000000000001</v>
      </c>
      <c r="G1504">
        <f>YEAR(VLOOKUP(A1504,orders!A:D,4,0))</f>
        <v>2015</v>
      </c>
      <c r="H1504">
        <f>MONTH(INDEX(orders!D:D,MATCH(A1504, orders!A:A,0)))</f>
        <v>1</v>
      </c>
      <c r="I1504" t="str">
        <f>VLOOKUP(VLOOKUP(B1504,products!A:F,6,0),categories!A:B,2,0)</f>
        <v>Seafood</v>
      </c>
      <c r="J1504" t="str">
        <f>VLOOKUP(VLOOKUP(A1504,orders!A:B,2,0),customers!A:F,6,0)</f>
        <v>Sweden</v>
      </c>
      <c r="K1504" t="str">
        <f>VLOOKUP(VLOOKUP(A1504,orders!A:C,3,0),employees!A:B,2,0)</f>
        <v>Laura Callahan</v>
      </c>
    </row>
    <row r="1505" spans="1:11" x14ac:dyDescent="0.25">
      <c r="A1505">
        <v>10824</v>
      </c>
      <c r="B1505">
        <v>70</v>
      </c>
      <c r="C1505">
        <v>15</v>
      </c>
      <c r="D1505">
        <v>9</v>
      </c>
      <c r="E1505">
        <v>0</v>
      </c>
      <c r="F1505">
        <f t="shared" si="23"/>
        <v>135</v>
      </c>
      <c r="G1505">
        <f>YEAR(VLOOKUP(A1505,orders!A:D,4,0))</f>
        <v>2015</v>
      </c>
      <c r="H1505">
        <f>MONTH(INDEX(orders!D:D,MATCH(A1505, orders!A:A,0)))</f>
        <v>1</v>
      </c>
      <c r="I1505" t="str">
        <f>VLOOKUP(VLOOKUP(B1505,products!A:F,6,0),categories!A:B,2,0)</f>
        <v>Beverages</v>
      </c>
      <c r="J1505" t="str">
        <f>VLOOKUP(VLOOKUP(A1505,orders!A:B,2,0),customers!A:F,6,0)</f>
        <v>Sweden</v>
      </c>
      <c r="K1505" t="str">
        <f>VLOOKUP(VLOOKUP(A1505,orders!A:C,3,0),employees!A:B,2,0)</f>
        <v>Laura Callahan</v>
      </c>
    </row>
    <row r="1506" spans="1:11" x14ac:dyDescent="0.25">
      <c r="A1506">
        <v>10825</v>
      </c>
      <c r="B1506">
        <v>26</v>
      </c>
      <c r="C1506">
        <v>31.23</v>
      </c>
      <c r="D1506">
        <v>12</v>
      </c>
      <c r="E1506">
        <v>0</v>
      </c>
      <c r="F1506">
        <f t="shared" si="23"/>
        <v>374.76</v>
      </c>
      <c r="G1506">
        <f>YEAR(VLOOKUP(A1506,orders!A:D,4,0))</f>
        <v>2015</v>
      </c>
      <c r="H1506">
        <f>MONTH(INDEX(orders!D:D,MATCH(A1506, orders!A:A,0)))</f>
        <v>1</v>
      </c>
      <c r="I1506" t="str">
        <f>VLOOKUP(VLOOKUP(B1506,products!A:F,6,0),categories!A:B,2,0)</f>
        <v>Confections</v>
      </c>
      <c r="J1506" t="str">
        <f>VLOOKUP(VLOOKUP(A1506,orders!A:B,2,0),customers!A:F,6,0)</f>
        <v>Germany</v>
      </c>
      <c r="K1506" t="str">
        <f>VLOOKUP(VLOOKUP(A1506,orders!A:C,3,0),employees!A:B,2,0)</f>
        <v>Nancy Davolio</v>
      </c>
    </row>
    <row r="1507" spans="1:11" x14ac:dyDescent="0.25">
      <c r="A1507">
        <v>10825</v>
      </c>
      <c r="B1507">
        <v>53</v>
      </c>
      <c r="C1507">
        <v>32.799999999999997</v>
      </c>
      <c r="D1507">
        <v>20</v>
      </c>
      <c r="E1507">
        <v>0</v>
      </c>
      <c r="F1507">
        <f t="shared" si="23"/>
        <v>656</v>
      </c>
      <c r="G1507">
        <f>YEAR(VLOOKUP(A1507,orders!A:D,4,0))</f>
        <v>2015</v>
      </c>
      <c r="H1507">
        <f>MONTH(INDEX(orders!D:D,MATCH(A1507, orders!A:A,0)))</f>
        <v>1</v>
      </c>
      <c r="I1507" t="str">
        <f>VLOOKUP(VLOOKUP(B1507,products!A:F,6,0),categories!A:B,2,0)</f>
        <v>Meat &amp; Poultry</v>
      </c>
      <c r="J1507" t="str">
        <f>VLOOKUP(VLOOKUP(A1507,orders!A:B,2,0),customers!A:F,6,0)</f>
        <v>Germany</v>
      </c>
      <c r="K1507" t="str">
        <f>VLOOKUP(VLOOKUP(A1507,orders!A:C,3,0),employees!A:B,2,0)</f>
        <v>Nancy Davolio</v>
      </c>
    </row>
    <row r="1508" spans="1:11" x14ac:dyDescent="0.25">
      <c r="A1508">
        <v>10826</v>
      </c>
      <c r="B1508">
        <v>31</v>
      </c>
      <c r="C1508">
        <v>12.5</v>
      </c>
      <c r="D1508">
        <v>35</v>
      </c>
      <c r="E1508">
        <v>0</v>
      </c>
      <c r="F1508">
        <f t="shared" si="23"/>
        <v>437.5</v>
      </c>
      <c r="G1508">
        <f>YEAR(VLOOKUP(A1508,orders!A:D,4,0))</f>
        <v>2015</v>
      </c>
      <c r="H1508">
        <f>MONTH(INDEX(orders!D:D,MATCH(A1508, orders!A:A,0)))</f>
        <v>1</v>
      </c>
      <c r="I1508" t="str">
        <f>VLOOKUP(VLOOKUP(B1508,products!A:F,6,0),categories!A:B,2,0)</f>
        <v>Dairy Products</v>
      </c>
      <c r="J1508" t="str">
        <f>VLOOKUP(VLOOKUP(A1508,orders!A:B,2,0),customers!A:F,6,0)</f>
        <v>France</v>
      </c>
      <c r="K1508" t="str">
        <f>VLOOKUP(VLOOKUP(A1508,orders!A:C,3,0),employees!A:B,2,0)</f>
        <v>Michael Suyama</v>
      </c>
    </row>
    <row r="1509" spans="1:11" x14ac:dyDescent="0.25">
      <c r="A1509">
        <v>10826</v>
      </c>
      <c r="B1509">
        <v>57</v>
      </c>
      <c r="C1509">
        <v>19.5</v>
      </c>
      <c r="D1509">
        <v>15</v>
      </c>
      <c r="E1509">
        <v>0</v>
      </c>
      <c r="F1509">
        <f t="shared" si="23"/>
        <v>292.5</v>
      </c>
      <c r="G1509">
        <f>YEAR(VLOOKUP(A1509,orders!A:D,4,0))</f>
        <v>2015</v>
      </c>
      <c r="H1509">
        <f>MONTH(INDEX(orders!D:D,MATCH(A1509, orders!A:A,0)))</f>
        <v>1</v>
      </c>
      <c r="I1509" t="str">
        <f>VLOOKUP(VLOOKUP(B1509,products!A:F,6,0),categories!A:B,2,0)</f>
        <v>Grains &amp; Cereals</v>
      </c>
      <c r="J1509" t="str">
        <f>VLOOKUP(VLOOKUP(A1509,orders!A:B,2,0),customers!A:F,6,0)</f>
        <v>France</v>
      </c>
      <c r="K1509" t="str">
        <f>VLOOKUP(VLOOKUP(A1509,orders!A:C,3,0),employees!A:B,2,0)</f>
        <v>Michael Suyama</v>
      </c>
    </row>
    <row r="1510" spans="1:11" x14ac:dyDescent="0.25">
      <c r="A1510">
        <v>10827</v>
      </c>
      <c r="B1510">
        <v>10</v>
      </c>
      <c r="C1510">
        <v>31</v>
      </c>
      <c r="D1510">
        <v>15</v>
      </c>
      <c r="E1510">
        <v>0</v>
      </c>
      <c r="F1510">
        <f t="shared" si="23"/>
        <v>465</v>
      </c>
      <c r="G1510">
        <f>YEAR(VLOOKUP(A1510,orders!A:D,4,0))</f>
        <v>2015</v>
      </c>
      <c r="H1510">
        <f>MONTH(INDEX(orders!D:D,MATCH(A1510, orders!A:A,0)))</f>
        <v>1</v>
      </c>
      <c r="I1510" t="str">
        <f>VLOOKUP(VLOOKUP(B1510,products!A:F,6,0),categories!A:B,2,0)</f>
        <v>Seafood</v>
      </c>
      <c r="J1510" t="str">
        <f>VLOOKUP(VLOOKUP(A1510,orders!A:B,2,0),customers!A:F,6,0)</f>
        <v>France</v>
      </c>
      <c r="K1510" t="str">
        <f>VLOOKUP(VLOOKUP(A1510,orders!A:C,3,0),employees!A:B,2,0)</f>
        <v>Nancy Davolio</v>
      </c>
    </row>
    <row r="1511" spans="1:11" x14ac:dyDescent="0.25">
      <c r="A1511">
        <v>10827</v>
      </c>
      <c r="B1511">
        <v>39</v>
      </c>
      <c r="C1511">
        <v>18</v>
      </c>
      <c r="D1511">
        <v>21</v>
      </c>
      <c r="E1511">
        <v>0</v>
      </c>
      <c r="F1511">
        <f t="shared" si="23"/>
        <v>378</v>
      </c>
      <c r="G1511">
        <f>YEAR(VLOOKUP(A1511,orders!A:D,4,0))</f>
        <v>2015</v>
      </c>
      <c r="H1511">
        <f>MONTH(INDEX(orders!D:D,MATCH(A1511, orders!A:A,0)))</f>
        <v>1</v>
      </c>
      <c r="I1511" t="str">
        <f>VLOOKUP(VLOOKUP(B1511,products!A:F,6,0),categories!A:B,2,0)</f>
        <v>Beverages</v>
      </c>
      <c r="J1511" t="str">
        <f>VLOOKUP(VLOOKUP(A1511,orders!A:B,2,0),customers!A:F,6,0)</f>
        <v>France</v>
      </c>
      <c r="K1511" t="str">
        <f>VLOOKUP(VLOOKUP(A1511,orders!A:C,3,0),employees!A:B,2,0)</f>
        <v>Nancy Davolio</v>
      </c>
    </row>
    <row r="1512" spans="1:11" x14ac:dyDescent="0.25">
      <c r="A1512">
        <v>10828</v>
      </c>
      <c r="B1512">
        <v>20</v>
      </c>
      <c r="C1512">
        <v>81</v>
      </c>
      <c r="D1512">
        <v>5</v>
      </c>
      <c r="E1512">
        <v>0</v>
      </c>
      <c r="F1512">
        <f t="shared" si="23"/>
        <v>405</v>
      </c>
      <c r="G1512">
        <f>YEAR(VLOOKUP(A1512,orders!A:D,4,0))</f>
        <v>2015</v>
      </c>
      <c r="H1512">
        <f>MONTH(INDEX(orders!D:D,MATCH(A1512, orders!A:A,0)))</f>
        <v>1</v>
      </c>
      <c r="I1512" t="str">
        <f>VLOOKUP(VLOOKUP(B1512,products!A:F,6,0),categories!A:B,2,0)</f>
        <v>Confections</v>
      </c>
      <c r="J1512" t="str">
        <f>VLOOKUP(VLOOKUP(A1512,orders!A:B,2,0),customers!A:F,6,0)</f>
        <v>Argentina</v>
      </c>
      <c r="K1512" t="str">
        <f>VLOOKUP(VLOOKUP(A1512,orders!A:C,3,0),employees!A:B,2,0)</f>
        <v>Anne Dodsworth</v>
      </c>
    </row>
    <row r="1513" spans="1:11" x14ac:dyDescent="0.25">
      <c r="A1513">
        <v>10828</v>
      </c>
      <c r="B1513">
        <v>38</v>
      </c>
      <c r="C1513">
        <v>263.5</v>
      </c>
      <c r="D1513">
        <v>2</v>
      </c>
      <c r="E1513">
        <v>0</v>
      </c>
      <c r="F1513">
        <f t="shared" si="23"/>
        <v>527</v>
      </c>
      <c r="G1513">
        <f>YEAR(VLOOKUP(A1513,orders!A:D,4,0))</f>
        <v>2015</v>
      </c>
      <c r="H1513">
        <f>MONTH(INDEX(orders!D:D,MATCH(A1513, orders!A:A,0)))</f>
        <v>1</v>
      </c>
      <c r="I1513" t="str">
        <f>VLOOKUP(VLOOKUP(B1513,products!A:F,6,0),categories!A:B,2,0)</f>
        <v>Beverages</v>
      </c>
      <c r="J1513" t="str">
        <f>VLOOKUP(VLOOKUP(A1513,orders!A:B,2,0),customers!A:F,6,0)</f>
        <v>Argentina</v>
      </c>
      <c r="K1513" t="str">
        <f>VLOOKUP(VLOOKUP(A1513,orders!A:C,3,0),employees!A:B,2,0)</f>
        <v>Anne Dodsworth</v>
      </c>
    </row>
    <row r="1514" spans="1:11" x14ac:dyDescent="0.25">
      <c r="A1514">
        <v>10829</v>
      </c>
      <c r="B1514">
        <v>2</v>
      </c>
      <c r="C1514">
        <v>19</v>
      </c>
      <c r="D1514">
        <v>10</v>
      </c>
      <c r="E1514">
        <v>0</v>
      </c>
      <c r="F1514">
        <f t="shared" si="23"/>
        <v>190</v>
      </c>
      <c r="G1514">
        <f>YEAR(VLOOKUP(A1514,orders!A:D,4,0))</f>
        <v>2015</v>
      </c>
      <c r="H1514">
        <f>MONTH(INDEX(orders!D:D,MATCH(A1514, orders!A:A,0)))</f>
        <v>1</v>
      </c>
      <c r="I1514" t="str">
        <f>VLOOKUP(VLOOKUP(B1514,products!A:F,6,0),categories!A:B,2,0)</f>
        <v>Beverages</v>
      </c>
      <c r="J1514" t="str">
        <f>VLOOKUP(VLOOKUP(A1514,orders!A:B,2,0),customers!A:F,6,0)</f>
        <v>UK</v>
      </c>
      <c r="K1514" t="str">
        <f>VLOOKUP(VLOOKUP(A1514,orders!A:C,3,0),employees!A:B,2,0)</f>
        <v>Anne Dodsworth</v>
      </c>
    </row>
    <row r="1515" spans="1:11" x14ac:dyDescent="0.25">
      <c r="A1515">
        <v>10829</v>
      </c>
      <c r="B1515">
        <v>8</v>
      </c>
      <c r="C1515">
        <v>40</v>
      </c>
      <c r="D1515">
        <v>20</v>
      </c>
      <c r="E1515">
        <v>0</v>
      </c>
      <c r="F1515">
        <f t="shared" si="23"/>
        <v>800</v>
      </c>
      <c r="G1515">
        <f>YEAR(VLOOKUP(A1515,orders!A:D,4,0))</f>
        <v>2015</v>
      </c>
      <c r="H1515">
        <f>MONTH(INDEX(orders!D:D,MATCH(A1515, orders!A:A,0)))</f>
        <v>1</v>
      </c>
      <c r="I1515" t="str">
        <f>VLOOKUP(VLOOKUP(B1515,products!A:F,6,0),categories!A:B,2,0)</f>
        <v>Condiments</v>
      </c>
      <c r="J1515" t="str">
        <f>VLOOKUP(VLOOKUP(A1515,orders!A:B,2,0),customers!A:F,6,0)</f>
        <v>UK</v>
      </c>
      <c r="K1515" t="str">
        <f>VLOOKUP(VLOOKUP(A1515,orders!A:C,3,0),employees!A:B,2,0)</f>
        <v>Anne Dodsworth</v>
      </c>
    </row>
    <row r="1516" spans="1:11" x14ac:dyDescent="0.25">
      <c r="A1516">
        <v>10829</v>
      </c>
      <c r="B1516">
        <v>13</v>
      </c>
      <c r="C1516">
        <v>6</v>
      </c>
      <c r="D1516">
        <v>10</v>
      </c>
      <c r="E1516">
        <v>0</v>
      </c>
      <c r="F1516">
        <f t="shared" si="23"/>
        <v>60</v>
      </c>
      <c r="G1516">
        <f>YEAR(VLOOKUP(A1516,orders!A:D,4,0))</f>
        <v>2015</v>
      </c>
      <c r="H1516">
        <f>MONTH(INDEX(orders!D:D,MATCH(A1516, orders!A:A,0)))</f>
        <v>1</v>
      </c>
      <c r="I1516" t="str">
        <f>VLOOKUP(VLOOKUP(B1516,products!A:F,6,0),categories!A:B,2,0)</f>
        <v>Seafood</v>
      </c>
      <c r="J1516" t="str">
        <f>VLOOKUP(VLOOKUP(A1516,orders!A:B,2,0),customers!A:F,6,0)</f>
        <v>UK</v>
      </c>
      <c r="K1516" t="str">
        <f>VLOOKUP(VLOOKUP(A1516,orders!A:C,3,0),employees!A:B,2,0)</f>
        <v>Anne Dodsworth</v>
      </c>
    </row>
    <row r="1517" spans="1:11" x14ac:dyDescent="0.25">
      <c r="A1517">
        <v>10829</v>
      </c>
      <c r="B1517">
        <v>60</v>
      </c>
      <c r="C1517">
        <v>34</v>
      </c>
      <c r="D1517">
        <v>21</v>
      </c>
      <c r="E1517">
        <v>0</v>
      </c>
      <c r="F1517">
        <f t="shared" si="23"/>
        <v>714</v>
      </c>
      <c r="G1517">
        <f>YEAR(VLOOKUP(A1517,orders!A:D,4,0))</f>
        <v>2015</v>
      </c>
      <c r="H1517">
        <f>MONTH(INDEX(orders!D:D,MATCH(A1517, orders!A:A,0)))</f>
        <v>1</v>
      </c>
      <c r="I1517" t="str">
        <f>VLOOKUP(VLOOKUP(B1517,products!A:F,6,0),categories!A:B,2,0)</f>
        <v>Dairy Products</v>
      </c>
      <c r="J1517" t="str">
        <f>VLOOKUP(VLOOKUP(A1517,orders!A:B,2,0),customers!A:F,6,0)</f>
        <v>UK</v>
      </c>
      <c r="K1517" t="str">
        <f>VLOOKUP(VLOOKUP(A1517,orders!A:C,3,0),employees!A:B,2,0)</f>
        <v>Anne Dodsworth</v>
      </c>
    </row>
    <row r="1518" spans="1:11" x14ac:dyDescent="0.25">
      <c r="A1518">
        <v>10830</v>
      </c>
      <c r="B1518">
        <v>6</v>
      </c>
      <c r="C1518">
        <v>25</v>
      </c>
      <c r="D1518">
        <v>6</v>
      </c>
      <c r="E1518">
        <v>0</v>
      </c>
      <c r="F1518">
        <f t="shared" si="23"/>
        <v>150</v>
      </c>
      <c r="G1518">
        <f>YEAR(VLOOKUP(A1518,orders!A:D,4,0))</f>
        <v>2015</v>
      </c>
      <c r="H1518">
        <f>MONTH(INDEX(orders!D:D,MATCH(A1518, orders!A:A,0)))</f>
        <v>1</v>
      </c>
      <c r="I1518" t="str">
        <f>VLOOKUP(VLOOKUP(B1518,products!A:F,6,0),categories!A:B,2,0)</f>
        <v>Condiments</v>
      </c>
      <c r="J1518" t="str">
        <f>VLOOKUP(VLOOKUP(A1518,orders!A:B,2,0),customers!A:F,6,0)</f>
        <v>Brazil</v>
      </c>
      <c r="K1518" t="str">
        <f>VLOOKUP(VLOOKUP(A1518,orders!A:C,3,0),employees!A:B,2,0)</f>
        <v>Margaret Peacock</v>
      </c>
    </row>
    <row r="1519" spans="1:11" x14ac:dyDescent="0.25">
      <c r="A1519">
        <v>10830</v>
      </c>
      <c r="B1519">
        <v>39</v>
      </c>
      <c r="C1519">
        <v>18</v>
      </c>
      <c r="D1519">
        <v>28</v>
      </c>
      <c r="E1519">
        <v>0</v>
      </c>
      <c r="F1519">
        <f t="shared" si="23"/>
        <v>504</v>
      </c>
      <c r="G1519">
        <f>YEAR(VLOOKUP(A1519,orders!A:D,4,0))</f>
        <v>2015</v>
      </c>
      <c r="H1519">
        <f>MONTH(INDEX(orders!D:D,MATCH(A1519, orders!A:A,0)))</f>
        <v>1</v>
      </c>
      <c r="I1519" t="str">
        <f>VLOOKUP(VLOOKUP(B1519,products!A:F,6,0),categories!A:B,2,0)</f>
        <v>Beverages</v>
      </c>
      <c r="J1519" t="str">
        <f>VLOOKUP(VLOOKUP(A1519,orders!A:B,2,0),customers!A:F,6,0)</f>
        <v>Brazil</v>
      </c>
      <c r="K1519" t="str">
        <f>VLOOKUP(VLOOKUP(A1519,orders!A:C,3,0),employees!A:B,2,0)</f>
        <v>Margaret Peacock</v>
      </c>
    </row>
    <row r="1520" spans="1:11" x14ac:dyDescent="0.25">
      <c r="A1520">
        <v>10830</v>
      </c>
      <c r="B1520">
        <v>60</v>
      </c>
      <c r="C1520">
        <v>34</v>
      </c>
      <c r="D1520">
        <v>30</v>
      </c>
      <c r="E1520">
        <v>0</v>
      </c>
      <c r="F1520">
        <f t="shared" si="23"/>
        <v>1020</v>
      </c>
      <c r="G1520">
        <f>YEAR(VLOOKUP(A1520,orders!A:D,4,0))</f>
        <v>2015</v>
      </c>
      <c r="H1520">
        <f>MONTH(INDEX(orders!D:D,MATCH(A1520, orders!A:A,0)))</f>
        <v>1</v>
      </c>
      <c r="I1520" t="str">
        <f>VLOOKUP(VLOOKUP(B1520,products!A:F,6,0),categories!A:B,2,0)</f>
        <v>Dairy Products</v>
      </c>
      <c r="J1520" t="str">
        <f>VLOOKUP(VLOOKUP(A1520,orders!A:B,2,0),customers!A:F,6,0)</f>
        <v>Brazil</v>
      </c>
      <c r="K1520" t="str">
        <f>VLOOKUP(VLOOKUP(A1520,orders!A:C,3,0),employees!A:B,2,0)</f>
        <v>Margaret Peacock</v>
      </c>
    </row>
    <row r="1521" spans="1:11" x14ac:dyDescent="0.25">
      <c r="A1521">
        <v>10830</v>
      </c>
      <c r="B1521">
        <v>68</v>
      </c>
      <c r="C1521">
        <v>12.5</v>
      </c>
      <c r="D1521">
        <v>24</v>
      </c>
      <c r="E1521">
        <v>0</v>
      </c>
      <c r="F1521">
        <f t="shared" si="23"/>
        <v>300</v>
      </c>
      <c r="G1521">
        <f>YEAR(VLOOKUP(A1521,orders!A:D,4,0))</f>
        <v>2015</v>
      </c>
      <c r="H1521">
        <f>MONTH(INDEX(orders!D:D,MATCH(A1521, orders!A:A,0)))</f>
        <v>1</v>
      </c>
      <c r="I1521" t="str">
        <f>VLOOKUP(VLOOKUP(B1521,products!A:F,6,0),categories!A:B,2,0)</f>
        <v>Confections</v>
      </c>
      <c r="J1521" t="str">
        <f>VLOOKUP(VLOOKUP(A1521,orders!A:B,2,0),customers!A:F,6,0)</f>
        <v>Brazil</v>
      </c>
      <c r="K1521" t="str">
        <f>VLOOKUP(VLOOKUP(A1521,orders!A:C,3,0),employees!A:B,2,0)</f>
        <v>Margaret Peacock</v>
      </c>
    </row>
    <row r="1522" spans="1:11" x14ac:dyDescent="0.25">
      <c r="A1522">
        <v>10831</v>
      </c>
      <c r="B1522">
        <v>19</v>
      </c>
      <c r="C1522">
        <v>9.1999999999999993</v>
      </c>
      <c r="D1522">
        <v>2</v>
      </c>
      <c r="E1522">
        <v>0</v>
      </c>
      <c r="F1522">
        <f t="shared" si="23"/>
        <v>18.399999999999999</v>
      </c>
      <c r="G1522">
        <f>YEAR(VLOOKUP(A1522,orders!A:D,4,0))</f>
        <v>2015</v>
      </c>
      <c r="H1522">
        <f>MONTH(INDEX(orders!D:D,MATCH(A1522, orders!A:A,0)))</f>
        <v>1</v>
      </c>
      <c r="I1522" t="str">
        <f>VLOOKUP(VLOOKUP(B1522,products!A:F,6,0),categories!A:B,2,0)</f>
        <v>Confections</v>
      </c>
      <c r="J1522" t="str">
        <f>VLOOKUP(VLOOKUP(A1522,orders!A:B,2,0),customers!A:F,6,0)</f>
        <v>Norway</v>
      </c>
      <c r="K1522" t="str">
        <f>VLOOKUP(VLOOKUP(A1522,orders!A:C,3,0),employees!A:B,2,0)</f>
        <v>Janet Leverling</v>
      </c>
    </row>
    <row r="1523" spans="1:11" x14ac:dyDescent="0.25">
      <c r="A1523">
        <v>10831</v>
      </c>
      <c r="B1523">
        <v>35</v>
      </c>
      <c r="C1523">
        <v>18</v>
      </c>
      <c r="D1523">
        <v>8</v>
      </c>
      <c r="E1523">
        <v>0</v>
      </c>
      <c r="F1523">
        <f t="shared" si="23"/>
        <v>144</v>
      </c>
      <c r="G1523">
        <f>YEAR(VLOOKUP(A1523,orders!A:D,4,0))</f>
        <v>2015</v>
      </c>
      <c r="H1523">
        <f>MONTH(INDEX(orders!D:D,MATCH(A1523, orders!A:A,0)))</f>
        <v>1</v>
      </c>
      <c r="I1523" t="str">
        <f>VLOOKUP(VLOOKUP(B1523,products!A:F,6,0),categories!A:B,2,0)</f>
        <v>Beverages</v>
      </c>
      <c r="J1523" t="str">
        <f>VLOOKUP(VLOOKUP(A1523,orders!A:B,2,0),customers!A:F,6,0)</f>
        <v>Norway</v>
      </c>
      <c r="K1523" t="str">
        <f>VLOOKUP(VLOOKUP(A1523,orders!A:C,3,0),employees!A:B,2,0)</f>
        <v>Janet Leverling</v>
      </c>
    </row>
    <row r="1524" spans="1:11" x14ac:dyDescent="0.25">
      <c r="A1524">
        <v>10831</v>
      </c>
      <c r="B1524">
        <v>38</v>
      </c>
      <c r="C1524">
        <v>263.5</v>
      </c>
      <c r="D1524">
        <v>8</v>
      </c>
      <c r="E1524">
        <v>0</v>
      </c>
      <c r="F1524">
        <f t="shared" si="23"/>
        <v>2108</v>
      </c>
      <c r="G1524">
        <f>YEAR(VLOOKUP(A1524,orders!A:D,4,0))</f>
        <v>2015</v>
      </c>
      <c r="H1524">
        <f>MONTH(INDEX(orders!D:D,MATCH(A1524, orders!A:A,0)))</f>
        <v>1</v>
      </c>
      <c r="I1524" t="str">
        <f>VLOOKUP(VLOOKUP(B1524,products!A:F,6,0),categories!A:B,2,0)</f>
        <v>Beverages</v>
      </c>
      <c r="J1524" t="str">
        <f>VLOOKUP(VLOOKUP(A1524,orders!A:B,2,0),customers!A:F,6,0)</f>
        <v>Norway</v>
      </c>
      <c r="K1524" t="str">
        <f>VLOOKUP(VLOOKUP(A1524,orders!A:C,3,0),employees!A:B,2,0)</f>
        <v>Janet Leverling</v>
      </c>
    </row>
    <row r="1525" spans="1:11" x14ac:dyDescent="0.25">
      <c r="A1525">
        <v>10831</v>
      </c>
      <c r="B1525">
        <v>43</v>
      </c>
      <c r="C1525">
        <v>46</v>
      </c>
      <c r="D1525">
        <v>9</v>
      </c>
      <c r="E1525">
        <v>0</v>
      </c>
      <c r="F1525">
        <f t="shared" si="23"/>
        <v>414</v>
      </c>
      <c r="G1525">
        <f>YEAR(VLOOKUP(A1525,orders!A:D,4,0))</f>
        <v>2015</v>
      </c>
      <c r="H1525">
        <f>MONTH(INDEX(orders!D:D,MATCH(A1525, orders!A:A,0)))</f>
        <v>1</v>
      </c>
      <c r="I1525" t="str">
        <f>VLOOKUP(VLOOKUP(B1525,products!A:F,6,0),categories!A:B,2,0)</f>
        <v>Beverages</v>
      </c>
      <c r="J1525" t="str">
        <f>VLOOKUP(VLOOKUP(A1525,orders!A:B,2,0),customers!A:F,6,0)</f>
        <v>Norway</v>
      </c>
      <c r="K1525" t="str">
        <f>VLOOKUP(VLOOKUP(A1525,orders!A:C,3,0),employees!A:B,2,0)</f>
        <v>Janet Leverling</v>
      </c>
    </row>
    <row r="1526" spans="1:11" x14ac:dyDescent="0.25">
      <c r="A1526">
        <v>10832</v>
      </c>
      <c r="B1526">
        <v>13</v>
      </c>
      <c r="C1526">
        <v>6</v>
      </c>
      <c r="D1526">
        <v>3</v>
      </c>
      <c r="E1526">
        <v>0.2</v>
      </c>
      <c r="F1526">
        <f t="shared" si="23"/>
        <v>14.4</v>
      </c>
      <c r="G1526">
        <f>YEAR(VLOOKUP(A1526,orders!A:D,4,0))</f>
        <v>2015</v>
      </c>
      <c r="H1526">
        <f>MONTH(INDEX(orders!D:D,MATCH(A1526, orders!A:A,0)))</f>
        <v>1</v>
      </c>
      <c r="I1526" t="str">
        <f>VLOOKUP(VLOOKUP(B1526,products!A:F,6,0),categories!A:B,2,0)</f>
        <v>Seafood</v>
      </c>
      <c r="J1526" t="str">
        <f>VLOOKUP(VLOOKUP(A1526,orders!A:B,2,0),customers!A:F,6,0)</f>
        <v>France</v>
      </c>
      <c r="K1526" t="str">
        <f>VLOOKUP(VLOOKUP(A1526,orders!A:C,3,0),employees!A:B,2,0)</f>
        <v>Andrew Fuller</v>
      </c>
    </row>
    <row r="1527" spans="1:11" x14ac:dyDescent="0.25">
      <c r="A1527">
        <v>10832</v>
      </c>
      <c r="B1527">
        <v>25</v>
      </c>
      <c r="C1527">
        <v>14</v>
      </c>
      <c r="D1527">
        <v>10</v>
      </c>
      <c r="E1527">
        <v>0.2</v>
      </c>
      <c r="F1527">
        <f t="shared" si="23"/>
        <v>112</v>
      </c>
      <c r="G1527">
        <f>YEAR(VLOOKUP(A1527,orders!A:D,4,0))</f>
        <v>2015</v>
      </c>
      <c r="H1527">
        <f>MONTH(INDEX(orders!D:D,MATCH(A1527, orders!A:A,0)))</f>
        <v>1</v>
      </c>
      <c r="I1527" t="str">
        <f>VLOOKUP(VLOOKUP(B1527,products!A:F,6,0),categories!A:B,2,0)</f>
        <v>Confections</v>
      </c>
      <c r="J1527" t="str">
        <f>VLOOKUP(VLOOKUP(A1527,orders!A:B,2,0),customers!A:F,6,0)</f>
        <v>France</v>
      </c>
      <c r="K1527" t="str">
        <f>VLOOKUP(VLOOKUP(A1527,orders!A:C,3,0),employees!A:B,2,0)</f>
        <v>Andrew Fuller</v>
      </c>
    </row>
    <row r="1528" spans="1:11" x14ac:dyDescent="0.25">
      <c r="A1528">
        <v>10832</v>
      </c>
      <c r="B1528">
        <v>44</v>
      </c>
      <c r="C1528">
        <v>19.45</v>
      </c>
      <c r="D1528">
        <v>16</v>
      </c>
      <c r="E1528">
        <v>0.2</v>
      </c>
      <c r="F1528">
        <f t="shared" si="23"/>
        <v>248.96</v>
      </c>
      <c r="G1528">
        <f>YEAR(VLOOKUP(A1528,orders!A:D,4,0))</f>
        <v>2015</v>
      </c>
      <c r="H1528">
        <f>MONTH(INDEX(orders!D:D,MATCH(A1528, orders!A:A,0)))</f>
        <v>1</v>
      </c>
      <c r="I1528" t="str">
        <f>VLOOKUP(VLOOKUP(B1528,products!A:F,6,0),categories!A:B,2,0)</f>
        <v>Condiments</v>
      </c>
      <c r="J1528" t="str">
        <f>VLOOKUP(VLOOKUP(A1528,orders!A:B,2,0),customers!A:F,6,0)</f>
        <v>France</v>
      </c>
      <c r="K1528" t="str">
        <f>VLOOKUP(VLOOKUP(A1528,orders!A:C,3,0),employees!A:B,2,0)</f>
        <v>Andrew Fuller</v>
      </c>
    </row>
    <row r="1529" spans="1:11" x14ac:dyDescent="0.25">
      <c r="A1529">
        <v>10832</v>
      </c>
      <c r="B1529">
        <v>64</v>
      </c>
      <c r="C1529">
        <v>33.25</v>
      </c>
      <c r="D1529">
        <v>3</v>
      </c>
      <c r="E1529">
        <v>0</v>
      </c>
      <c r="F1529">
        <f t="shared" si="23"/>
        <v>99.75</v>
      </c>
      <c r="G1529">
        <f>YEAR(VLOOKUP(A1529,orders!A:D,4,0))</f>
        <v>2015</v>
      </c>
      <c r="H1529">
        <f>MONTH(INDEX(orders!D:D,MATCH(A1529, orders!A:A,0)))</f>
        <v>1</v>
      </c>
      <c r="I1529" t="str">
        <f>VLOOKUP(VLOOKUP(B1529,products!A:F,6,0),categories!A:B,2,0)</f>
        <v>Grains &amp; Cereals</v>
      </c>
      <c r="J1529" t="str">
        <f>VLOOKUP(VLOOKUP(A1529,orders!A:B,2,0),customers!A:F,6,0)</f>
        <v>France</v>
      </c>
      <c r="K1529" t="str">
        <f>VLOOKUP(VLOOKUP(A1529,orders!A:C,3,0),employees!A:B,2,0)</f>
        <v>Andrew Fuller</v>
      </c>
    </row>
    <row r="1530" spans="1:11" x14ac:dyDescent="0.25">
      <c r="A1530">
        <v>10833</v>
      </c>
      <c r="B1530">
        <v>7</v>
      </c>
      <c r="C1530">
        <v>30</v>
      </c>
      <c r="D1530">
        <v>20</v>
      </c>
      <c r="E1530">
        <v>0.1</v>
      </c>
      <c r="F1530">
        <f t="shared" si="23"/>
        <v>540</v>
      </c>
      <c r="G1530">
        <f>YEAR(VLOOKUP(A1530,orders!A:D,4,0))</f>
        <v>2015</v>
      </c>
      <c r="H1530">
        <f>MONTH(INDEX(orders!D:D,MATCH(A1530, orders!A:A,0)))</f>
        <v>1</v>
      </c>
      <c r="I1530" t="str">
        <f>VLOOKUP(VLOOKUP(B1530,products!A:F,6,0),categories!A:B,2,0)</f>
        <v>Produce</v>
      </c>
      <c r="J1530" t="str">
        <f>VLOOKUP(VLOOKUP(A1530,orders!A:B,2,0),customers!A:F,6,0)</f>
        <v>Germany</v>
      </c>
      <c r="K1530" t="str">
        <f>VLOOKUP(VLOOKUP(A1530,orders!A:C,3,0),employees!A:B,2,0)</f>
        <v>Michael Suyama</v>
      </c>
    </row>
    <row r="1531" spans="1:11" x14ac:dyDescent="0.25">
      <c r="A1531">
        <v>10833</v>
      </c>
      <c r="B1531">
        <v>31</v>
      </c>
      <c r="C1531">
        <v>12.5</v>
      </c>
      <c r="D1531">
        <v>9</v>
      </c>
      <c r="E1531">
        <v>0.1</v>
      </c>
      <c r="F1531">
        <f t="shared" si="23"/>
        <v>101.25</v>
      </c>
      <c r="G1531">
        <f>YEAR(VLOOKUP(A1531,orders!A:D,4,0))</f>
        <v>2015</v>
      </c>
      <c r="H1531">
        <f>MONTH(INDEX(orders!D:D,MATCH(A1531, orders!A:A,0)))</f>
        <v>1</v>
      </c>
      <c r="I1531" t="str">
        <f>VLOOKUP(VLOOKUP(B1531,products!A:F,6,0),categories!A:B,2,0)</f>
        <v>Dairy Products</v>
      </c>
      <c r="J1531" t="str">
        <f>VLOOKUP(VLOOKUP(A1531,orders!A:B,2,0),customers!A:F,6,0)</f>
        <v>Germany</v>
      </c>
      <c r="K1531" t="str">
        <f>VLOOKUP(VLOOKUP(A1531,orders!A:C,3,0),employees!A:B,2,0)</f>
        <v>Michael Suyama</v>
      </c>
    </row>
    <row r="1532" spans="1:11" x14ac:dyDescent="0.25">
      <c r="A1532">
        <v>10833</v>
      </c>
      <c r="B1532">
        <v>53</v>
      </c>
      <c r="C1532">
        <v>32.799999999999997</v>
      </c>
      <c r="D1532">
        <v>9</v>
      </c>
      <c r="E1532">
        <v>0.1</v>
      </c>
      <c r="F1532">
        <f t="shared" si="23"/>
        <v>265.68</v>
      </c>
      <c r="G1532">
        <f>YEAR(VLOOKUP(A1532,orders!A:D,4,0))</f>
        <v>2015</v>
      </c>
      <c r="H1532">
        <f>MONTH(INDEX(orders!D:D,MATCH(A1532, orders!A:A,0)))</f>
        <v>1</v>
      </c>
      <c r="I1532" t="str">
        <f>VLOOKUP(VLOOKUP(B1532,products!A:F,6,0),categories!A:B,2,0)</f>
        <v>Meat &amp; Poultry</v>
      </c>
      <c r="J1532" t="str">
        <f>VLOOKUP(VLOOKUP(A1532,orders!A:B,2,0),customers!A:F,6,0)</f>
        <v>Germany</v>
      </c>
      <c r="K1532" t="str">
        <f>VLOOKUP(VLOOKUP(A1532,orders!A:C,3,0),employees!A:B,2,0)</f>
        <v>Michael Suyama</v>
      </c>
    </row>
    <row r="1533" spans="1:11" x14ac:dyDescent="0.25">
      <c r="A1533">
        <v>10834</v>
      </c>
      <c r="B1533">
        <v>29</v>
      </c>
      <c r="C1533">
        <v>123.79</v>
      </c>
      <c r="D1533">
        <v>8</v>
      </c>
      <c r="E1533">
        <v>0.05</v>
      </c>
      <c r="F1533">
        <f t="shared" si="23"/>
        <v>940.80399999999997</v>
      </c>
      <c r="G1533">
        <f>YEAR(VLOOKUP(A1533,orders!A:D,4,0))</f>
        <v>2015</v>
      </c>
      <c r="H1533">
        <f>MONTH(INDEX(orders!D:D,MATCH(A1533, orders!A:A,0)))</f>
        <v>1</v>
      </c>
      <c r="I1533" t="str">
        <f>VLOOKUP(VLOOKUP(B1533,products!A:F,6,0),categories!A:B,2,0)</f>
        <v>Meat &amp; Poultry</v>
      </c>
      <c r="J1533" t="str">
        <f>VLOOKUP(VLOOKUP(A1533,orders!A:B,2,0),customers!A:F,6,0)</f>
        <v>Brazil</v>
      </c>
      <c r="K1533" t="str">
        <f>VLOOKUP(VLOOKUP(A1533,orders!A:C,3,0),employees!A:B,2,0)</f>
        <v>Nancy Davolio</v>
      </c>
    </row>
    <row r="1534" spans="1:11" x14ac:dyDescent="0.25">
      <c r="A1534">
        <v>10834</v>
      </c>
      <c r="B1534">
        <v>30</v>
      </c>
      <c r="C1534">
        <v>25.89</v>
      </c>
      <c r="D1534">
        <v>20</v>
      </c>
      <c r="E1534">
        <v>0.05</v>
      </c>
      <c r="F1534">
        <f t="shared" si="23"/>
        <v>491.90999999999991</v>
      </c>
      <c r="G1534">
        <f>YEAR(VLOOKUP(A1534,orders!A:D,4,0))</f>
        <v>2015</v>
      </c>
      <c r="H1534">
        <f>MONTH(INDEX(orders!D:D,MATCH(A1534, orders!A:A,0)))</f>
        <v>1</v>
      </c>
      <c r="I1534" t="str">
        <f>VLOOKUP(VLOOKUP(B1534,products!A:F,6,0),categories!A:B,2,0)</f>
        <v>Seafood</v>
      </c>
      <c r="J1534" t="str">
        <f>VLOOKUP(VLOOKUP(A1534,orders!A:B,2,0),customers!A:F,6,0)</f>
        <v>Brazil</v>
      </c>
      <c r="K1534" t="str">
        <f>VLOOKUP(VLOOKUP(A1534,orders!A:C,3,0),employees!A:B,2,0)</f>
        <v>Nancy Davolio</v>
      </c>
    </row>
    <row r="1535" spans="1:11" x14ac:dyDescent="0.25">
      <c r="A1535">
        <v>10835</v>
      </c>
      <c r="B1535">
        <v>59</v>
      </c>
      <c r="C1535">
        <v>55</v>
      </c>
      <c r="D1535">
        <v>15</v>
      </c>
      <c r="E1535">
        <v>0</v>
      </c>
      <c r="F1535">
        <f t="shared" si="23"/>
        <v>825</v>
      </c>
      <c r="G1535">
        <f>YEAR(VLOOKUP(A1535,orders!A:D,4,0))</f>
        <v>2015</v>
      </c>
      <c r="H1535">
        <f>MONTH(INDEX(orders!D:D,MATCH(A1535, orders!A:A,0)))</f>
        <v>1</v>
      </c>
      <c r="I1535" t="str">
        <f>VLOOKUP(VLOOKUP(B1535,products!A:F,6,0),categories!A:B,2,0)</f>
        <v>Dairy Products</v>
      </c>
      <c r="J1535" t="str">
        <f>VLOOKUP(VLOOKUP(A1535,orders!A:B,2,0),customers!A:F,6,0)</f>
        <v>Germany</v>
      </c>
      <c r="K1535" t="str">
        <f>VLOOKUP(VLOOKUP(A1535,orders!A:C,3,0),employees!A:B,2,0)</f>
        <v>Nancy Davolio</v>
      </c>
    </row>
    <row r="1536" spans="1:11" x14ac:dyDescent="0.25">
      <c r="A1536">
        <v>10835</v>
      </c>
      <c r="B1536">
        <v>77</v>
      </c>
      <c r="C1536">
        <v>13</v>
      </c>
      <c r="D1536">
        <v>2</v>
      </c>
      <c r="E1536">
        <v>0.2</v>
      </c>
      <c r="F1536">
        <f t="shared" si="23"/>
        <v>20.8</v>
      </c>
      <c r="G1536">
        <f>YEAR(VLOOKUP(A1536,orders!A:D,4,0))</f>
        <v>2015</v>
      </c>
      <c r="H1536">
        <f>MONTH(INDEX(orders!D:D,MATCH(A1536, orders!A:A,0)))</f>
        <v>1</v>
      </c>
      <c r="I1536" t="str">
        <f>VLOOKUP(VLOOKUP(B1536,products!A:F,6,0),categories!A:B,2,0)</f>
        <v>Condiments</v>
      </c>
      <c r="J1536" t="str">
        <f>VLOOKUP(VLOOKUP(A1536,orders!A:B,2,0),customers!A:F,6,0)</f>
        <v>Germany</v>
      </c>
      <c r="K1536" t="str">
        <f>VLOOKUP(VLOOKUP(A1536,orders!A:C,3,0),employees!A:B,2,0)</f>
        <v>Nancy Davolio</v>
      </c>
    </row>
    <row r="1537" spans="1:11" x14ac:dyDescent="0.25">
      <c r="A1537">
        <v>10836</v>
      </c>
      <c r="B1537">
        <v>22</v>
      </c>
      <c r="C1537">
        <v>21</v>
      </c>
      <c r="D1537">
        <v>52</v>
      </c>
      <c r="E1537">
        <v>0</v>
      </c>
      <c r="F1537">
        <f t="shared" si="23"/>
        <v>1092</v>
      </c>
      <c r="G1537">
        <f>YEAR(VLOOKUP(A1537,orders!A:D,4,0))</f>
        <v>2015</v>
      </c>
      <c r="H1537">
        <f>MONTH(INDEX(orders!D:D,MATCH(A1537, orders!A:A,0)))</f>
        <v>1</v>
      </c>
      <c r="I1537" t="str">
        <f>VLOOKUP(VLOOKUP(B1537,products!A:F,6,0),categories!A:B,2,0)</f>
        <v>Grains &amp; Cereals</v>
      </c>
      <c r="J1537" t="str">
        <f>VLOOKUP(VLOOKUP(A1537,orders!A:B,2,0),customers!A:F,6,0)</f>
        <v>Austria</v>
      </c>
      <c r="K1537" t="str">
        <f>VLOOKUP(VLOOKUP(A1537,orders!A:C,3,0),employees!A:B,2,0)</f>
        <v>Robert King</v>
      </c>
    </row>
    <row r="1538" spans="1:11" x14ac:dyDescent="0.25">
      <c r="A1538">
        <v>10836</v>
      </c>
      <c r="B1538">
        <v>35</v>
      </c>
      <c r="C1538">
        <v>18</v>
      </c>
      <c r="D1538">
        <v>6</v>
      </c>
      <c r="E1538">
        <v>0</v>
      </c>
      <c r="F1538">
        <f t="shared" si="23"/>
        <v>108</v>
      </c>
      <c r="G1538">
        <f>YEAR(VLOOKUP(A1538,orders!A:D,4,0))</f>
        <v>2015</v>
      </c>
      <c r="H1538">
        <f>MONTH(INDEX(orders!D:D,MATCH(A1538, orders!A:A,0)))</f>
        <v>1</v>
      </c>
      <c r="I1538" t="str">
        <f>VLOOKUP(VLOOKUP(B1538,products!A:F,6,0),categories!A:B,2,0)</f>
        <v>Beverages</v>
      </c>
      <c r="J1538" t="str">
        <f>VLOOKUP(VLOOKUP(A1538,orders!A:B,2,0),customers!A:F,6,0)</f>
        <v>Austria</v>
      </c>
      <c r="K1538" t="str">
        <f>VLOOKUP(VLOOKUP(A1538,orders!A:C,3,0),employees!A:B,2,0)</f>
        <v>Robert King</v>
      </c>
    </row>
    <row r="1539" spans="1:11" x14ac:dyDescent="0.25">
      <c r="A1539">
        <v>10836</v>
      </c>
      <c r="B1539">
        <v>57</v>
      </c>
      <c r="C1539">
        <v>19.5</v>
      </c>
      <c r="D1539">
        <v>24</v>
      </c>
      <c r="E1539">
        <v>0</v>
      </c>
      <c r="F1539">
        <f t="shared" ref="F1539:F1602" si="24">C1539*D1539*(1-E1539)</f>
        <v>468</v>
      </c>
      <c r="G1539">
        <f>YEAR(VLOOKUP(A1539,orders!A:D,4,0))</f>
        <v>2015</v>
      </c>
      <c r="H1539">
        <f>MONTH(INDEX(orders!D:D,MATCH(A1539, orders!A:A,0)))</f>
        <v>1</v>
      </c>
      <c r="I1539" t="str">
        <f>VLOOKUP(VLOOKUP(B1539,products!A:F,6,0),categories!A:B,2,0)</f>
        <v>Grains &amp; Cereals</v>
      </c>
      <c r="J1539" t="str">
        <f>VLOOKUP(VLOOKUP(A1539,orders!A:B,2,0),customers!A:F,6,0)</f>
        <v>Austria</v>
      </c>
      <c r="K1539" t="str">
        <f>VLOOKUP(VLOOKUP(A1539,orders!A:C,3,0),employees!A:B,2,0)</f>
        <v>Robert King</v>
      </c>
    </row>
    <row r="1540" spans="1:11" x14ac:dyDescent="0.25">
      <c r="A1540">
        <v>10836</v>
      </c>
      <c r="B1540">
        <v>60</v>
      </c>
      <c r="C1540">
        <v>34</v>
      </c>
      <c r="D1540">
        <v>60</v>
      </c>
      <c r="E1540">
        <v>0</v>
      </c>
      <c r="F1540">
        <f t="shared" si="24"/>
        <v>2040</v>
      </c>
      <c r="G1540">
        <f>YEAR(VLOOKUP(A1540,orders!A:D,4,0))</f>
        <v>2015</v>
      </c>
      <c r="H1540">
        <f>MONTH(INDEX(orders!D:D,MATCH(A1540, orders!A:A,0)))</f>
        <v>1</v>
      </c>
      <c r="I1540" t="str">
        <f>VLOOKUP(VLOOKUP(B1540,products!A:F,6,0),categories!A:B,2,0)</f>
        <v>Dairy Products</v>
      </c>
      <c r="J1540" t="str">
        <f>VLOOKUP(VLOOKUP(A1540,orders!A:B,2,0),customers!A:F,6,0)</f>
        <v>Austria</v>
      </c>
      <c r="K1540" t="str">
        <f>VLOOKUP(VLOOKUP(A1540,orders!A:C,3,0),employees!A:B,2,0)</f>
        <v>Robert King</v>
      </c>
    </row>
    <row r="1541" spans="1:11" x14ac:dyDescent="0.25">
      <c r="A1541">
        <v>10836</v>
      </c>
      <c r="B1541">
        <v>64</v>
      </c>
      <c r="C1541">
        <v>33.25</v>
      </c>
      <c r="D1541">
        <v>30</v>
      </c>
      <c r="E1541">
        <v>0</v>
      </c>
      <c r="F1541">
        <f t="shared" si="24"/>
        <v>997.5</v>
      </c>
      <c r="G1541">
        <f>YEAR(VLOOKUP(A1541,orders!A:D,4,0))</f>
        <v>2015</v>
      </c>
      <c r="H1541">
        <f>MONTH(INDEX(orders!D:D,MATCH(A1541, orders!A:A,0)))</f>
        <v>1</v>
      </c>
      <c r="I1541" t="str">
        <f>VLOOKUP(VLOOKUP(B1541,products!A:F,6,0),categories!A:B,2,0)</f>
        <v>Grains &amp; Cereals</v>
      </c>
      <c r="J1541" t="str">
        <f>VLOOKUP(VLOOKUP(A1541,orders!A:B,2,0),customers!A:F,6,0)</f>
        <v>Austria</v>
      </c>
      <c r="K1541" t="str">
        <f>VLOOKUP(VLOOKUP(A1541,orders!A:C,3,0),employees!A:B,2,0)</f>
        <v>Robert King</v>
      </c>
    </row>
    <row r="1542" spans="1:11" x14ac:dyDescent="0.25">
      <c r="A1542">
        <v>10837</v>
      </c>
      <c r="B1542">
        <v>13</v>
      </c>
      <c r="C1542">
        <v>6</v>
      </c>
      <c r="D1542">
        <v>6</v>
      </c>
      <c r="E1542">
        <v>0</v>
      </c>
      <c r="F1542">
        <f t="shared" si="24"/>
        <v>36</v>
      </c>
      <c r="G1542">
        <f>YEAR(VLOOKUP(A1542,orders!A:D,4,0))</f>
        <v>2015</v>
      </c>
      <c r="H1542">
        <f>MONTH(INDEX(orders!D:D,MATCH(A1542, orders!A:A,0)))</f>
        <v>1</v>
      </c>
      <c r="I1542" t="str">
        <f>VLOOKUP(VLOOKUP(B1542,products!A:F,6,0),categories!A:B,2,0)</f>
        <v>Seafood</v>
      </c>
      <c r="J1542" t="str">
        <f>VLOOKUP(VLOOKUP(A1542,orders!A:B,2,0),customers!A:F,6,0)</f>
        <v>Sweden</v>
      </c>
      <c r="K1542" t="str">
        <f>VLOOKUP(VLOOKUP(A1542,orders!A:C,3,0),employees!A:B,2,0)</f>
        <v>Anne Dodsworth</v>
      </c>
    </row>
    <row r="1543" spans="1:11" x14ac:dyDescent="0.25">
      <c r="A1543">
        <v>10837</v>
      </c>
      <c r="B1543">
        <v>40</v>
      </c>
      <c r="C1543">
        <v>18.399999999999999</v>
      </c>
      <c r="D1543">
        <v>25</v>
      </c>
      <c r="E1543">
        <v>0</v>
      </c>
      <c r="F1543">
        <f t="shared" si="24"/>
        <v>459.99999999999994</v>
      </c>
      <c r="G1543">
        <f>YEAR(VLOOKUP(A1543,orders!A:D,4,0))</f>
        <v>2015</v>
      </c>
      <c r="H1543">
        <f>MONTH(INDEX(orders!D:D,MATCH(A1543, orders!A:A,0)))</f>
        <v>1</v>
      </c>
      <c r="I1543" t="str">
        <f>VLOOKUP(VLOOKUP(B1543,products!A:F,6,0),categories!A:B,2,0)</f>
        <v>Seafood</v>
      </c>
      <c r="J1543" t="str">
        <f>VLOOKUP(VLOOKUP(A1543,orders!A:B,2,0),customers!A:F,6,0)</f>
        <v>Sweden</v>
      </c>
      <c r="K1543" t="str">
        <f>VLOOKUP(VLOOKUP(A1543,orders!A:C,3,0),employees!A:B,2,0)</f>
        <v>Anne Dodsworth</v>
      </c>
    </row>
    <row r="1544" spans="1:11" x14ac:dyDescent="0.25">
      <c r="A1544">
        <v>10837</v>
      </c>
      <c r="B1544">
        <v>47</v>
      </c>
      <c r="C1544">
        <v>9.5</v>
      </c>
      <c r="D1544">
        <v>40</v>
      </c>
      <c r="E1544">
        <v>0.25</v>
      </c>
      <c r="F1544">
        <f t="shared" si="24"/>
        <v>285</v>
      </c>
      <c r="G1544">
        <f>YEAR(VLOOKUP(A1544,orders!A:D,4,0))</f>
        <v>2015</v>
      </c>
      <c r="H1544">
        <f>MONTH(INDEX(orders!D:D,MATCH(A1544, orders!A:A,0)))</f>
        <v>1</v>
      </c>
      <c r="I1544" t="str">
        <f>VLOOKUP(VLOOKUP(B1544,products!A:F,6,0),categories!A:B,2,0)</f>
        <v>Confections</v>
      </c>
      <c r="J1544" t="str">
        <f>VLOOKUP(VLOOKUP(A1544,orders!A:B,2,0),customers!A:F,6,0)</f>
        <v>Sweden</v>
      </c>
      <c r="K1544" t="str">
        <f>VLOOKUP(VLOOKUP(A1544,orders!A:C,3,0),employees!A:B,2,0)</f>
        <v>Anne Dodsworth</v>
      </c>
    </row>
    <row r="1545" spans="1:11" x14ac:dyDescent="0.25">
      <c r="A1545">
        <v>10837</v>
      </c>
      <c r="B1545">
        <v>76</v>
      </c>
      <c r="C1545">
        <v>18</v>
      </c>
      <c r="D1545">
        <v>21</v>
      </c>
      <c r="E1545">
        <v>0.25</v>
      </c>
      <c r="F1545">
        <f t="shared" si="24"/>
        <v>283.5</v>
      </c>
      <c r="G1545">
        <f>YEAR(VLOOKUP(A1545,orders!A:D,4,0))</f>
        <v>2015</v>
      </c>
      <c r="H1545">
        <f>MONTH(INDEX(orders!D:D,MATCH(A1545, orders!A:A,0)))</f>
        <v>1</v>
      </c>
      <c r="I1545" t="str">
        <f>VLOOKUP(VLOOKUP(B1545,products!A:F,6,0),categories!A:B,2,0)</f>
        <v>Beverages</v>
      </c>
      <c r="J1545" t="str">
        <f>VLOOKUP(VLOOKUP(A1545,orders!A:B,2,0),customers!A:F,6,0)</f>
        <v>Sweden</v>
      </c>
      <c r="K1545" t="str">
        <f>VLOOKUP(VLOOKUP(A1545,orders!A:C,3,0),employees!A:B,2,0)</f>
        <v>Anne Dodsworth</v>
      </c>
    </row>
    <row r="1546" spans="1:11" x14ac:dyDescent="0.25">
      <c r="A1546">
        <v>10838</v>
      </c>
      <c r="B1546">
        <v>1</v>
      </c>
      <c r="C1546">
        <v>18</v>
      </c>
      <c r="D1546">
        <v>4</v>
      </c>
      <c r="E1546">
        <v>0.25</v>
      </c>
      <c r="F1546">
        <f t="shared" si="24"/>
        <v>54</v>
      </c>
      <c r="G1546">
        <f>YEAR(VLOOKUP(A1546,orders!A:D,4,0))</f>
        <v>2015</v>
      </c>
      <c r="H1546">
        <f>MONTH(INDEX(orders!D:D,MATCH(A1546, orders!A:A,0)))</f>
        <v>1</v>
      </c>
      <c r="I1546" t="str">
        <f>VLOOKUP(VLOOKUP(B1546,products!A:F,6,0),categories!A:B,2,0)</f>
        <v>Beverages</v>
      </c>
      <c r="J1546" t="str">
        <f>VLOOKUP(VLOOKUP(A1546,orders!A:B,2,0),customers!A:F,6,0)</f>
        <v>Venezuela</v>
      </c>
      <c r="K1546" t="str">
        <f>VLOOKUP(VLOOKUP(A1546,orders!A:C,3,0),employees!A:B,2,0)</f>
        <v>Janet Leverling</v>
      </c>
    </row>
    <row r="1547" spans="1:11" x14ac:dyDescent="0.25">
      <c r="A1547">
        <v>10838</v>
      </c>
      <c r="B1547">
        <v>18</v>
      </c>
      <c r="C1547">
        <v>62.5</v>
      </c>
      <c r="D1547">
        <v>25</v>
      </c>
      <c r="E1547">
        <v>0.25</v>
      </c>
      <c r="F1547">
        <f t="shared" si="24"/>
        <v>1171.875</v>
      </c>
      <c r="G1547">
        <f>YEAR(VLOOKUP(A1547,orders!A:D,4,0))</f>
        <v>2015</v>
      </c>
      <c r="H1547">
        <f>MONTH(INDEX(orders!D:D,MATCH(A1547, orders!A:A,0)))</f>
        <v>1</v>
      </c>
      <c r="I1547" t="str">
        <f>VLOOKUP(VLOOKUP(B1547,products!A:F,6,0),categories!A:B,2,0)</f>
        <v>Seafood</v>
      </c>
      <c r="J1547" t="str">
        <f>VLOOKUP(VLOOKUP(A1547,orders!A:B,2,0),customers!A:F,6,0)</f>
        <v>Venezuela</v>
      </c>
      <c r="K1547" t="str">
        <f>VLOOKUP(VLOOKUP(A1547,orders!A:C,3,0),employees!A:B,2,0)</f>
        <v>Janet Leverling</v>
      </c>
    </row>
    <row r="1548" spans="1:11" x14ac:dyDescent="0.25">
      <c r="A1548">
        <v>10838</v>
      </c>
      <c r="B1548">
        <v>36</v>
      </c>
      <c r="C1548">
        <v>19</v>
      </c>
      <c r="D1548">
        <v>50</v>
      </c>
      <c r="E1548">
        <v>0.25</v>
      </c>
      <c r="F1548">
        <f t="shared" si="24"/>
        <v>712.5</v>
      </c>
      <c r="G1548">
        <f>YEAR(VLOOKUP(A1548,orders!A:D,4,0))</f>
        <v>2015</v>
      </c>
      <c r="H1548">
        <f>MONTH(INDEX(orders!D:D,MATCH(A1548, orders!A:A,0)))</f>
        <v>1</v>
      </c>
      <c r="I1548" t="str">
        <f>VLOOKUP(VLOOKUP(B1548,products!A:F,6,0),categories!A:B,2,0)</f>
        <v>Seafood</v>
      </c>
      <c r="J1548" t="str">
        <f>VLOOKUP(VLOOKUP(A1548,orders!A:B,2,0),customers!A:F,6,0)</f>
        <v>Venezuela</v>
      </c>
      <c r="K1548" t="str">
        <f>VLOOKUP(VLOOKUP(A1548,orders!A:C,3,0),employees!A:B,2,0)</f>
        <v>Janet Leverling</v>
      </c>
    </row>
    <row r="1549" spans="1:11" x14ac:dyDescent="0.25">
      <c r="A1549">
        <v>10839</v>
      </c>
      <c r="B1549">
        <v>58</v>
      </c>
      <c r="C1549">
        <v>13.25</v>
      </c>
      <c r="D1549">
        <v>30</v>
      </c>
      <c r="E1549">
        <v>0.1</v>
      </c>
      <c r="F1549">
        <f t="shared" si="24"/>
        <v>357.75</v>
      </c>
      <c r="G1549">
        <f>YEAR(VLOOKUP(A1549,orders!A:D,4,0))</f>
        <v>2015</v>
      </c>
      <c r="H1549">
        <f>MONTH(INDEX(orders!D:D,MATCH(A1549, orders!A:A,0)))</f>
        <v>1</v>
      </c>
      <c r="I1549" t="str">
        <f>VLOOKUP(VLOOKUP(B1549,products!A:F,6,0),categories!A:B,2,0)</f>
        <v>Seafood</v>
      </c>
      <c r="J1549" t="str">
        <f>VLOOKUP(VLOOKUP(A1549,orders!A:B,2,0),customers!A:F,6,0)</f>
        <v>Brazil</v>
      </c>
      <c r="K1549" t="str">
        <f>VLOOKUP(VLOOKUP(A1549,orders!A:C,3,0),employees!A:B,2,0)</f>
        <v>Janet Leverling</v>
      </c>
    </row>
    <row r="1550" spans="1:11" x14ac:dyDescent="0.25">
      <c r="A1550">
        <v>10839</v>
      </c>
      <c r="B1550">
        <v>72</v>
      </c>
      <c r="C1550">
        <v>34.799999999999997</v>
      </c>
      <c r="D1550">
        <v>15</v>
      </c>
      <c r="E1550">
        <v>0.1</v>
      </c>
      <c r="F1550">
        <f t="shared" si="24"/>
        <v>469.8</v>
      </c>
      <c r="G1550">
        <f>YEAR(VLOOKUP(A1550,orders!A:D,4,0))</f>
        <v>2015</v>
      </c>
      <c r="H1550">
        <f>MONTH(INDEX(orders!D:D,MATCH(A1550, orders!A:A,0)))</f>
        <v>1</v>
      </c>
      <c r="I1550" t="str">
        <f>VLOOKUP(VLOOKUP(B1550,products!A:F,6,0),categories!A:B,2,0)</f>
        <v>Dairy Products</v>
      </c>
      <c r="J1550" t="str">
        <f>VLOOKUP(VLOOKUP(A1550,orders!A:B,2,0),customers!A:F,6,0)</f>
        <v>Brazil</v>
      </c>
      <c r="K1550" t="str">
        <f>VLOOKUP(VLOOKUP(A1550,orders!A:C,3,0),employees!A:B,2,0)</f>
        <v>Janet Leverling</v>
      </c>
    </row>
    <row r="1551" spans="1:11" x14ac:dyDescent="0.25">
      <c r="A1551">
        <v>10840</v>
      </c>
      <c r="B1551">
        <v>25</v>
      </c>
      <c r="C1551">
        <v>14</v>
      </c>
      <c r="D1551">
        <v>6</v>
      </c>
      <c r="E1551">
        <v>0.2</v>
      </c>
      <c r="F1551">
        <f t="shared" si="24"/>
        <v>67.2</v>
      </c>
      <c r="G1551">
        <f>YEAR(VLOOKUP(A1551,orders!A:D,4,0))</f>
        <v>2015</v>
      </c>
      <c r="H1551">
        <f>MONTH(INDEX(orders!D:D,MATCH(A1551, orders!A:A,0)))</f>
        <v>1</v>
      </c>
      <c r="I1551" t="str">
        <f>VLOOKUP(VLOOKUP(B1551,products!A:F,6,0),categories!A:B,2,0)</f>
        <v>Confections</v>
      </c>
      <c r="J1551" t="str">
        <f>VLOOKUP(VLOOKUP(A1551,orders!A:B,2,0),customers!A:F,6,0)</f>
        <v>Venezuela</v>
      </c>
      <c r="K1551" t="str">
        <f>VLOOKUP(VLOOKUP(A1551,orders!A:C,3,0),employees!A:B,2,0)</f>
        <v>Margaret Peacock</v>
      </c>
    </row>
    <row r="1552" spans="1:11" x14ac:dyDescent="0.25">
      <c r="A1552">
        <v>10840</v>
      </c>
      <c r="B1552">
        <v>39</v>
      </c>
      <c r="C1552">
        <v>18</v>
      </c>
      <c r="D1552">
        <v>10</v>
      </c>
      <c r="E1552">
        <v>0.2</v>
      </c>
      <c r="F1552">
        <f t="shared" si="24"/>
        <v>144</v>
      </c>
      <c r="G1552">
        <f>YEAR(VLOOKUP(A1552,orders!A:D,4,0))</f>
        <v>2015</v>
      </c>
      <c r="H1552">
        <f>MONTH(INDEX(orders!D:D,MATCH(A1552, orders!A:A,0)))</f>
        <v>1</v>
      </c>
      <c r="I1552" t="str">
        <f>VLOOKUP(VLOOKUP(B1552,products!A:F,6,0),categories!A:B,2,0)</f>
        <v>Beverages</v>
      </c>
      <c r="J1552" t="str">
        <f>VLOOKUP(VLOOKUP(A1552,orders!A:B,2,0),customers!A:F,6,0)</f>
        <v>Venezuela</v>
      </c>
      <c r="K1552" t="str">
        <f>VLOOKUP(VLOOKUP(A1552,orders!A:C,3,0),employees!A:B,2,0)</f>
        <v>Margaret Peacock</v>
      </c>
    </row>
    <row r="1553" spans="1:11" x14ac:dyDescent="0.25">
      <c r="A1553">
        <v>10841</v>
      </c>
      <c r="B1553">
        <v>10</v>
      </c>
      <c r="C1553">
        <v>31</v>
      </c>
      <c r="D1553">
        <v>16</v>
      </c>
      <c r="E1553">
        <v>0</v>
      </c>
      <c r="F1553">
        <f t="shared" si="24"/>
        <v>496</v>
      </c>
      <c r="G1553">
        <f>YEAR(VLOOKUP(A1553,orders!A:D,4,0))</f>
        <v>2015</v>
      </c>
      <c r="H1553">
        <f>MONTH(INDEX(orders!D:D,MATCH(A1553, orders!A:A,0)))</f>
        <v>1</v>
      </c>
      <c r="I1553" t="str">
        <f>VLOOKUP(VLOOKUP(B1553,products!A:F,6,0),categories!A:B,2,0)</f>
        <v>Seafood</v>
      </c>
      <c r="J1553" t="str">
        <f>VLOOKUP(VLOOKUP(A1553,orders!A:B,2,0),customers!A:F,6,0)</f>
        <v>Belgium</v>
      </c>
      <c r="K1553" t="str">
        <f>VLOOKUP(VLOOKUP(A1553,orders!A:C,3,0),employees!A:B,2,0)</f>
        <v>Steven Buchanan</v>
      </c>
    </row>
    <row r="1554" spans="1:11" x14ac:dyDescent="0.25">
      <c r="A1554">
        <v>10841</v>
      </c>
      <c r="B1554">
        <v>56</v>
      </c>
      <c r="C1554">
        <v>38</v>
      </c>
      <c r="D1554">
        <v>30</v>
      </c>
      <c r="E1554">
        <v>0</v>
      </c>
      <c r="F1554">
        <f t="shared" si="24"/>
        <v>1140</v>
      </c>
      <c r="G1554">
        <f>YEAR(VLOOKUP(A1554,orders!A:D,4,0))</f>
        <v>2015</v>
      </c>
      <c r="H1554">
        <f>MONTH(INDEX(orders!D:D,MATCH(A1554, orders!A:A,0)))</f>
        <v>1</v>
      </c>
      <c r="I1554" t="str">
        <f>VLOOKUP(VLOOKUP(B1554,products!A:F,6,0),categories!A:B,2,0)</f>
        <v>Grains &amp; Cereals</v>
      </c>
      <c r="J1554" t="str">
        <f>VLOOKUP(VLOOKUP(A1554,orders!A:B,2,0),customers!A:F,6,0)</f>
        <v>Belgium</v>
      </c>
      <c r="K1554" t="str">
        <f>VLOOKUP(VLOOKUP(A1554,orders!A:C,3,0),employees!A:B,2,0)</f>
        <v>Steven Buchanan</v>
      </c>
    </row>
    <row r="1555" spans="1:11" x14ac:dyDescent="0.25">
      <c r="A1555">
        <v>10841</v>
      </c>
      <c r="B1555">
        <v>59</v>
      </c>
      <c r="C1555">
        <v>55</v>
      </c>
      <c r="D1555">
        <v>50</v>
      </c>
      <c r="E1555">
        <v>0</v>
      </c>
      <c r="F1555">
        <f t="shared" si="24"/>
        <v>2750</v>
      </c>
      <c r="G1555">
        <f>YEAR(VLOOKUP(A1555,orders!A:D,4,0))</f>
        <v>2015</v>
      </c>
      <c r="H1555">
        <f>MONTH(INDEX(orders!D:D,MATCH(A1555, orders!A:A,0)))</f>
        <v>1</v>
      </c>
      <c r="I1555" t="str">
        <f>VLOOKUP(VLOOKUP(B1555,products!A:F,6,0),categories!A:B,2,0)</f>
        <v>Dairy Products</v>
      </c>
      <c r="J1555" t="str">
        <f>VLOOKUP(VLOOKUP(A1555,orders!A:B,2,0),customers!A:F,6,0)</f>
        <v>Belgium</v>
      </c>
      <c r="K1555" t="str">
        <f>VLOOKUP(VLOOKUP(A1555,orders!A:C,3,0),employees!A:B,2,0)</f>
        <v>Steven Buchanan</v>
      </c>
    </row>
    <row r="1556" spans="1:11" x14ac:dyDescent="0.25">
      <c r="A1556">
        <v>10841</v>
      </c>
      <c r="B1556">
        <v>77</v>
      </c>
      <c r="C1556">
        <v>13</v>
      </c>
      <c r="D1556">
        <v>15</v>
      </c>
      <c r="E1556">
        <v>0</v>
      </c>
      <c r="F1556">
        <f t="shared" si="24"/>
        <v>195</v>
      </c>
      <c r="G1556">
        <f>YEAR(VLOOKUP(A1556,orders!A:D,4,0))</f>
        <v>2015</v>
      </c>
      <c r="H1556">
        <f>MONTH(INDEX(orders!D:D,MATCH(A1556, orders!A:A,0)))</f>
        <v>1</v>
      </c>
      <c r="I1556" t="str">
        <f>VLOOKUP(VLOOKUP(B1556,products!A:F,6,0),categories!A:B,2,0)</f>
        <v>Condiments</v>
      </c>
      <c r="J1556" t="str">
        <f>VLOOKUP(VLOOKUP(A1556,orders!A:B,2,0),customers!A:F,6,0)</f>
        <v>Belgium</v>
      </c>
      <c r="K1556" t="str">
        <f>VLOOKUP(VLOOKUP(A1556,orders!A:C,3,0),employees!A:B,2,0)</f>
        <v>Steven Buchanan</v>
      </c>
    </row>
    <row r="1557" spans="1:11" x14ac:dyDescent="0.25">
      <c r="A1557">
        <v>10842</v>
      </c>
      <c r="B1557">
        <v>11</v>
      </c>
      <c r="C1557">
        <v>21</v>
      </c>
      <c r="D1557">
        <v>15</v>
      </c>
      <c r="E1557">
        <v>0</v>
      </c>
      <c r="F1557">
        <f t="shared" si="24"/>
        <v>315</v>
      </c>
      <c r="G1557">
        <f>YEAR(VLOOKUP(A1557,orders!A:D,4,0))</f>
        <v>2015</v>
      </c>
      <c r="H1557">
        <f>MONTH(INDEX(orders!D:D,MATCH(A1557, orders!A:A,0)))</f>
        <v>1</v>
      </c>
      <c r="I1557" t="str">
        <f>VLOOKUP(VLOOKUP(B1557,products!A:F,6,0),categories!A:B,2,0)</f>
        <v>Dairy Products</v>
      </c>
      <c r="J1557" t="str">
        <f>VLOOKUP(VLOOKUP(A1557,orders!A:B,2,0),customers!A:F,6,0)</f>
        <v>Mexico</v>
      </c>
      <c r="K1557" t="str">
        <f>VLOOKUP(VLOOKUP(A1557,orders!A:C,3,0),employees!A:B,2,0)</f>
        <v>Nancy Davolio</v>
      </c>
    </row>
    <row r="1558" spans="1:11" x14ac:dyDescent="0.25">
      <c r="A1558">
        <v>10842</v>
      </c>
      <c r="B1558">
        <v>43</v>
      </c>
      <c r="C1558">
        <v>46</v>
      </c>
      <c r="D1558">
        <v>5</v>
      </c>
      <c r="E1558">
        <v>0</v>
      </c>
      <c r="F1558">
        <f t="shared" si="24"/>
        <v>230</v>
      </c>
      <c r="G1558">
        <f>YEAR(VLOOKUP(A1558,orders!A:D,4,0))</f>
        <v>2015</v>
      </c>
      <c r="H1558">
        <f>MONTH(INDEX(orders!D:D,MATCH(A1558, orders!A:A,0)))</f>
        <v>1</v>
      </c>
      <c r="I1558" t="str">
        <f>VLOOKUP(VLOOKUP(B1558,products!A:F,6,0),categories!A:B,2,0)</f>
        <v>Beverages</v>
      </c>
      <c r="J1558" t="str">
        <f>VLOOKUP(VLOOKUP(A1558,orders!A:B,2,0),customers!A:F,6,0)</f>
        <v>Mexico</v>
      </c>
      <c r="K1558" t="str">
        <f>VLOOKUP(VLOOKUP(A1558,orders!A:C,3,0),employees!A:B,2,0)</f>
        <v>Nancy Davolio</v>
      </c>
    </row>
    <row r="1559" spans="1:11" x14ac:dyDescent="0.25">
      <c r="A1559">
        <v>10842</v>
      </c>
      <c r="B1559">
        <v>68</v>
      </c>
      <c r="C1559">
        <v>12.5</v>
      </c>
      <c r="D1559">
        <v>20</v>
      </c>
      <c r="E1559">
        <v>0</v>
      </c>
      <c r="F1559">
        <f t="shared" si="24"/>
        <v>250</v>
      </c>
      <c r="G1559">
        <f>YEAR(VLOOKUP(A1559,orders!A:D,4,0))</f>
        <v>2015</v>
      </c>
      <c r="H1559">
        <f>MONTH(INDEX(orders!D:D,MATCH(A1559, orders!A:A,0)))</f>
        <v>1</v>
      </c>
      <c r="I1559" t="str">
        <f>VLOOKUP(VLOOKUP(B1559,products!A:F,6,0),categories!A:B,2,0)</f>
        <v>Confections</v>
      </c>
      <c r="J1559" t="str">
        <f>VLOOKUP(VLOOKUP(A1559,orders!A:B,2,0),customers!A:F,6,0)</f>
        <v>Mexico</v>
      </c>
      <c r="K1559" t="str">
        <f>VLOOKUP(VLOOKUP(A1559,orders!A:C,3,0),employees!A:B,2,0)</f>
        <v>Nancy Davolio</v>
      </c>
    </row>
    <row r="1560" spans="1:11" x14ac:dyDescent="0.25">
      <c r="A1560">
        <v>10842</v>
      </c>
      <c r="B1560">
        <v>70</v>
      </c>
      <c r="C1560">
        <v>15</v>
      </c>
      <c r="D1560">
        <v>12</v>
      </c>
      <c r="E1560">
        <v>0</v>
      </c>
      <c r="F1560">
        <f t="shared" si="24"/>
        <v>180</v>
      </c>
      <c r="G1560">
        <f>YEAR(VLOOKUP(A1560,orders!A:D,4,0))</f>
        <v>2015</v>
      </c>
      <c r="H1560">
        <f>MONTH(INDEX(orders!D:D,MATCH(A1560, orders!A:A,0)))</f>
        <v>1</v>
      </c>
      <c r="I1560" t="str">
        <f>VLOOKUP(VLOOKUP(B1560,products!A:F,6,0),categories!A:B,2,0)</f>
        <v>Beverages</v>
      </c>
      <c r="J1560" t="str">
        <f>VLOOKUP(VLOOKUP(A1560,orders!A:B,2,0),customers!A:F,6,0)</f>
        <v>Mexico</v>
      </c>
      <c r="K1560" t="str">
        <f>VLOOKUP(VLOOKUP(A1560,orders!A:C,3,0),employees!A:B,2,0)</f>
        <v>Nancy Davolio</v>
      </c>
    </row>
    <row r="1561" spans="1:11" x14ac:dyDescent="0.25">
      <c r="A1561">
        <v>10843</v>
      </c>
      <c r="B1561">
        <v>51</v>
      </c>
      <c r="C1561">
        <v>53</v>
      </c>
      <c r="D1561">
        <v>4</v>
      </c>
      <c r="E1561">
        <v>0.25</v>
      </c>
      <c r="F1561">
        <f t="shared" si="24"/>
        <v>159</v>
      </c>
      <c r="G1561">
        <f>YEAR(VLOOKUP(A1561,orders!A:D,4,0))</f>
        <v>2015</v>
      </c>
      <c r="H1561">
        <f>MONTH(INDEX(orders!D:D,MATCH(A1561, orders!A:A,0)))</f>
        <v>1</v>
      </c>
      <c r="I1561" t="str">
        <f>VLOOKUP(VLOOKUP(B1561,products!A:F,6,0),categories!A:B,2,0)</f>
        <v>Produce</v>
      </c>
      <c r="J1561" t="str">
        <f>VLOOKUP(VLOOKUP(A1561,orders!A:B,2,0),customers!A:F,6,0)</f>
        <v>France</v>
      </c>
      <c r="K1561" t="str">
        <f>VLOOKUP(VLOOKUP(A1561,orders!A:C,3,0),employees!A:B,2,0)</f>
        <v>Margaret Peacock</v>
      </c>
    </row>
    <row r="1562" spans="1:11" x14ac:dyDescent="0.25">
      <c r="A1562">
        <v>10844</v>
      </c>
      <c r="B1562">
        <v>22</v>
      </c>
      <c r="C1562">
        <v>21</v>
      </c>
      <c r="D1562">
        <v>35</v>
      </c>
      <c r="E1562">
        <v>0</v>
      </c>
      <c r="F1562">
        <f t="shared" si="24"/>
        <v>735</v>
      </c>
      <c r="G1562">
        <f>YEAR(VLOOKUP(A1562,orders!A:D,4,0))</f>
        <v>2015</v>
      </c>
      <c r="H1562">
        <f>MONTH(INDEX(orders!D:D,MATCH(A1562, orders!A:A,0)))</f>
        <v>1</v>
      </c>
      <c r="I1562" t="str">
        <f>VLOOKUP(VLOOKUP(B1562,products!A:F,6,0),categories!A:B,2,0)</f>
        <v>Grains &amp; Cereals</v>
      </c>
      <c r="J1562" t="str">
        <f>VLOOKUP(VLOOKUP(A1562,orders!A:B,2,0),customers!A:F,6,0)</f>
        <v>Austria</v>
      </c>
      <c r="K1562" t="str">
        <f>VLOOKUP(VLOOKUP(A1562,orders!A:C,3,0),employees!A:B,2,0)</f>
        <v>Laura Callahan</v>
      </c>
    </row>
    <row r="1563" spans="1:11" x14ac:dyDescent="0.25">
      <c r="A1563">
        <v>10845</v>
      </c>
      <c r="B1563">
        <v>23</v>
      </c>
      <c r="C1563">
        <v>9</v>
      </c>
      <c r="D1563">
        <v>70</v>
      </c>
      <c r="E1563">
        <v>0.1</v>
      </c>
      <c r="F1563">
        <f t="shared" si="24"/>
        <v>567</v>
      </c>
      <c r="G1563">
        <f>YEAR(VLOOKUP(A1563,orders!A:D,4,0))</f>
        <v>2015</v>
      </c>
      <c r="H1563">
        <f>MONTH(INDEX(orders!D:D,MATCH(A1563, orders!A:A,0)))</f>
        <v>1</v>
      </c>
      <c r="I1563" t="str">
        <f>VLOOKUP(VLOOKUP(B1563,products!A:F,6,0),categories!A:B,2,0)</f>
        <v>Grains &amp; Cereals</v>
      </c>
      <c r="J1563" t="str">
        <f>VLOOKUP(VLOOKUP(A1563,orders!A:B,2,0),customers!A:F,6,0)</f>
        <v>Germany</v>
      </c>
      <c r="K1563" t="str">
        <f>VLOOKUP(VLOOKUP(A1563,orders!A:C,3,0),employees!A:B,2,0)</f>
        <v>Laura Callahan</v>
      </c>
    </row>
    <row r="1564" spans="1:11" x14ac:dyDescent="0.25">
      <c r="A1564">
        <v>10845</v>
      </c>
      <c r="B1564">
        <v>35</v>
      </c>
      <c r="C1564">
        <v>18</v>
      </c>
      <c r="D1564">
        <v>25</v>
      </c>
      <c r="E1564">
        <v>0.1</v>
      </c>
      <c r="F1564">
        <f t="shared" si="24"/>
        <v>405</v>
      </c>
      <c r="G1564">
        <f>YEAR(VLOOKUP(A1564,orders!A:D,4,0))</f>
        <v>2015</v>
      </c>
      <c r="H1564">
        <f>MONTH(INDEX(orders!D:D,MATCH(A1564, orders!A:A,0)))</f>
        <v>1</v>
      </c>
      <c r="I1564" t="str">
        <f>VLOOKUP(VLOOKUP(B1564,products!A:F,6,0),categories!A:B,2,0)</f>
        <v>Beverages</v>
      </c>
      <c r="J1564" t="str">
        <f>VLOOKUP(VLOOKUP(A1564,orders!A:B,2,0),customers!A:F,6,0)</f>
        <v>Germany</v>
      </c>
      <c r="K1564" t="str">
        <f>VLOOKUP(VLOOKUP(A1564,orders!A:C,3,0),employees!A:B,2,0)</f>
        <v>Laura Callahan</v>
      </c>
    </row>
    <row r="1565" spans="1:11" x14ac:dyDescent="0.25">
      <c r="A1565">
        <v>10845</v>
      </c>
      <c r="B1565">
        <v>42</v>
      </c>
      <c r="C1565">
        <v>14</v>
      </c>
      <c r="D1565">
        <v>42</v>
      </c>
      <c r="E1565">
        <v>0.1</v>
      </c>
      <c r="F1565">
        <f t="shared" si="24"/>
        <v>529.20000000000005</v>
      </c>
      <c r="G1565">
        <f>YEAR(VLOOKUP(A1565,orders!A:D,4,0))</f>
        <v>2015</v>
      </c>
      <c r="H1565">
        <f>MONTH(INDEX(orders!D:D,MATCH(A1565, orders!A:A,0)))</f>
        <v>1</v>
      </c>
      <c r="I1565" t="str">
        <f>VLOOKUP(VLOOKUP(B1565,products!A:F,6,0),categories!A:B,2,0)</f>
        <v>Grains &amp; Cereals</v>
      </c>
      <c r="J1565" t="str">
        <f>VLOOKUP(VLOOKUP(A1565,orders!A:B,2,0),customers!A:F,6,0)</f>
        <v>Germany</v>
      </c>
      <c r="K1565" t="str">
        <f>VLOOKUP(VLOOKUP(A1565,orders!A:C,3,0),employees!A:B,2,0)</f>
        <v>Laura Callahan</v>
      </c>
    </row>
    <row r="1566" spans="1:11" x14ac:dyDescent="0.25">
      <c r="A1566">
        <v>10845</v>
      </c>
      <c r="B1566">
        <v>58</v>
      </c>
      <c r="C1566">
        <v>13.25</v>
      </c>
      <c r="D1566">
        <v>60</v>
      </c>
      <c r="E1566">
        <v>0.1</v>
      </c>
      <c r="F1566">
        <f t="shared" si="24"/>
        <v>715.5</v>
      </c>
      <c r="G1566">
        <f>YEAR(VLOOKUP(A1566,orders!A:D,4,0))</f>
        <v>2015</v>
      </c>
      <c r="H1566">
        <f>MONTH(INDEX(orders!D:D,MATCH(A1566, orders!A:A,0)))</f>
        <v>1</v>
      </c>
      <c r="I1566" t="str">
        <f>VLOOKUP(VLOOKUP(B1566,products!A:F,6,0),categories!A:B,2,0)</f>
        <v>Seafood</v>
      </c>
      <c r="J1566" t="str">
        <f>VLOOKUP(VLOOKUP(A1566,orders!A:B,2,0),customers!A:F,6,0)</f>
        <v>Germany</v>
      </c>
      <c r="K1566" t="str">
        <f>VLOOKUP(VLOOKUP(A1566,orders!A:C,3,0),employees!A:B,2,0)</f>
        <v>Laura Callahan</v>
      </c>
    </row>
    <row r="1567" spans="1:11" x14ac:dyDescent="0.25">
      <c r="A1567">
        <v>10845</v>
      </c>
      <c r="B1567">
        <v>64</v>
      </c>
      <c r="C1567">
        <v>33.25</v>
      </c>
      <c r="D1567">
        <v>48</v>
      </c>
      <c r="E1567">
        <v>0</v>
      </c>
      <c r="F1567">
        <f t="shared" si="24"/>
        <v>1596</v>
      </c>
      <c r="G1567">
        <f>YEAR(VLOOKUP(A1567,orders!A:D,4,0))</f>
        <v>2015</v>
      </c>
      <c r="H1567">
        <f>MONTH(INDEX(orders!D:D,MATCH(A1567, orders!A:A,0)))</f>
        <v>1</v>
      </c>
      <c r="I1567" t="str">
        <f>VLOOKUP(VLOOKUP(B1567,products!A:F,6,0),categories!A:B,2,0)</f>
        <v>Grains &amp; Cereals</v>
      </c>
      <c r="J1567" t="str">
        <f>VLOOKUP(VLOOKUP(A1567,orders!A:B,2,0),customers!A:F,6,0)</f>
        <v>Germany</v>
      </c>
      <c r="K1567" t="str">
        <f>VLOOKUP(VLOOKUP(A1567,orders!A:C,3,0),employees!A:B,2,0)</f>
        <v>Laura Callahan</v>
      </c>
    </row>
    <row r="1568" spans="1:11" x14ac:dyDescent="0.25">
      <c r="A1568">
        <v>10846</v>
      </c>
      <c r="B1568">
        <v>4</v>
      </c>
      <c r="C1568">
        <v>22</v>
      </c>
      <c r="D1568">
        <v>21</v>
      </c>
      <c r="E1568">
        <v>0</v>
      </c>
      <c r="F1568">
        <f t="shared" si="24"/>
        <v>462</v>
      </c>
      <c r="G1568">
        <f>YEAR(VLOOKUP(A1568,orders!A:D,4,0))</f>
        <v>2015</v>
      </c>
      <c r="H1568">
        <f>MONTH(INDEX(orders!D:D,MATCH(A1568, orders!A:A,0)))</f>
        <v>1</v>
      </c>
      <c r="I1568" t="str">
        <f>VLOOKUP(VLOOKUP(B1568,products!A:F,6,0),categories!A:B,2,0)</f>
        <v>Condiments</v>
      </c>
      <c r="J1568" t="str">
        <f>VLOOKUP(VLOOKUP(A1568,orders!A:B,2,0),customers!A:F,6,0)</f>
        <v>Belgium</v>
      </c>
      <c r="K1568" t="str">
        <f>VLOOKUP(VLOOKUP(A1568,orders!A:C,3,0),employees!A:B,2,0)</f>
        <v>Andrew Fuller</v>
      </c>
    </row>
    <row r="1569" spans="1:11" x14ac:dyDescent="0.25">
      <c r="A1569">
        <v>10846</v>
      </c>
      <c r="B1569">
        <v>70</v>
      </c>
      <c r="C1569">
        <v>15</v>
      </c>
      <c r="D1569">
        <v>30</v>
      </c>
      <c r="E1569">
        <v>0</v>
      </c>
      <c r="F1569">
        <f t="shared" si="24"/>
        <v>450</v>
      </c>
      <c r="G1569">
        <f>YEAR(VLOOKUP(A1569,orders!A:D,4,0))</f>
        <v>2015</v>
      </c>
      <c r="H1569">
        <f>MONTH(INDEX(orders!D:D,MATCH(A1569, orders!A:A,0)))</f>
        <v>1</v>
      </c>
      <c r="I1569" t="str">
        <f>VLOOKUP(VLOOKUP(B1569,products!A:F,6,0),categories!A:B,2,0)</f>
        <v>Beverages</v>
      </c>
      <c r="J1569" t="str">
        <f>VLOOKUP(VLOOKUP(A1569,orders!A:B,2,0),customers!A:F,6,0)</f>
        <v>Belgium</v>
      </c>
      <c r="K1569" t="str">
        <f>VLOOKUP(VLOOKUP(A1569,orders!A:C,3,0),employees!A:B,2,0)</f>
        <v>Andrew Fuller</v>
      </c>
    </row>
    <row r="1570" spans="1:11" x14ac:dyDescent="0.25">
      <c r="A1570">
        <v>10846</v>
      </c>
      <c r="B1570">
        <v>74</v>
      </c>
      <c r="C1570">
        <v>10</v>
      </c>
      <c r="D1570">
        <v>20</v>
      </c>
      <c r="E1570">
        <v>0</v>
      </c>
      <c r="F1570">
        <f t="shared" si="24"/>
        <v>200</v>
      </c>
      <c r="G1570">
        <f>YEAR(VLOOKUP(A1570,orders!A:D,4,0))</f>
        <v>2015</v>
      </c>
      <c r="H1570">
        <f>MONTH(INDEX(orders!D:D,MATCH(A1570, orders!A:A,0)))</f>
        <v>1</v>
      </c>
      <c r="I1570" t="str">
        <f>VLOOKUP(VLOOKUP(B1570,products!A:F,6,0),categories!A:B,2,0)</f>
        <v>Produce</v>
      </c>
      <c r="J1570" t="str">
        <f>VLOOKUP(VLOOKUP(A1570,orders!A:B,2,0),customers!A:F,6,0)</f>
        <v>Belgium</v>
      </c>
      <c r="K1570" t="str">
        <f>VLOOKUP(VLOOKUP(A1570,orders!A:C,3,0),employees!A:B,2,0)</f>
        <v>Andrew Fuller</v>
      </c>
    </row>
    <row r="1571" spans="1:11" x14ac:dyDescent="0.25">
      <c r="A1571">
        <v>10847</v>
      </c>
      <c r="B1571">
        <v>1</v>
      </c>
      <c r="C1571">
        <v>18</v>
      </c>
      <c r="D1571">
        <v>80</v>
      </c>
      <c r="E1571">
        <v>0.2</v>
      </c>
      <c r="F1571">
        <f t="shared" si="24"/>
        <v>1152</v>
      </c>
      <c r="G1571">
        <f>YEAR(VLOOKUP(A1571,orders!A:D,4,0))</f>
        <v>2015</v>
      </c>
      <c r="H1571">
        <f>MONTH(INDEX(orders!D:D,MATCH(A1571, orders!A:A,0)))</f>
        <v>1</v>
      </c>
      <c r="I1571" t="str">
        <f>VLOOKUP(VLOOKUP(B1571,products!A:F,6,0),categories!A:B,2,0)</f>
        <v>Beverages</v>
      </c>
      <c r="J1571" t="str">
        <f>VLOOKUP(VLOOKUP(A1571,orders!A:B,2,0),customers!A:F,6,0)</f>
        <v>USA</v>
      </c>
      <c r="K1571" t="str">
        <f>VLOOKUP(VLOOKUP(A1571,orders!A:C,3,0),employees!A:B,2,0)</f>
        <v>Margaret Peacock</v>
      </c>
    </row>
    <row r="1572" spans="1:11" x14ac:dyDescent="0.25">
      <c r="A1572">
        <v>10847</v>
      </c>
      <c r="B1572">
        <v>19</v>
      </c>
      <c r="C1572">
        <v>9.1999999999999993</v>
      </c>
      <c r="D1572">
        <v>12</v>
      </c>
      <c r="E1572">
        <v>0.2</v>
      </c>
      <c r="F1572">
        <f t="shared" si="24"/>
        <v>88.32</v>
      </c>
      <c r="G1572">
        <f>YEAR(VLOOKUP(A1572,orders!A:D,4,0))</f>
        <v>2015</v>
      </c>
      <c r="H1572">
        <f>MONTH(INDEX(orders!D:D,MATCH(A1572, orders!A:A,0)))</f>
        <v>1</v>
      </c>
      <c r="I1572" t="str">
        <f>VLOOKUP(VLOOKUP(B1572,products!A:F,6,0),categories!A:B,2,0)</f>
        <v>Confections</v>
      </c>
      <c r="J1572" t="str">
        <f>VLOOKUP(VLOOKUP(A1572,orders!A:B,2,0),customers!A:F,6,0)</f>
        <v>USA</v>
      </c>
      <c r="K1572" t="str">
        <f>VLOOKUP(VLOOKUP(A1572,orders!A:C,3,0),employees!A:B,2,0)</f>
        <v>Margaret Peacock</v>
      </c>
    </row>
    <row r="1573" spans="1:11" x14ac:dyDescent="0.25">
      <c r="A1573">
        <v>10847</v>
      </c>
      <c r="B1573">
        <v>37</v>
      </c>
      <c r="C1573">
        <v>26</v>
      </c>
      <c r="D1573">
        <v>60</v>
      </c>
      <c r="E1573">
        <v>0.2</v>
      </c>
      <c r="F1573">
        <f t="shared" si="24"/>
        <v>1248</v>
      </c>
      <c r="G1573">
        <f>YEAR(VLOOKUP(A1573,orders!A:D,4,0))</f>
        <v>2015</v>
      </c>
      <c r="H1573">
        <f>MONTH(INDEX(orders!D:D,MATCH(A1573, orders!A:A,0)))</f>
        <v>1</v>
      </c>
      <c r="I1573" t="str">
        <f>VLOOKUP(VLOOKUP(B1573,products!A:F,6,0),categories!A:B,2,0)</f>
        <v>Seafood</v>
      </c>
      <c r="J1573" t="str">
        <f>VLOOKUP(VLOOKUP(A1573,orders!A:B,2,0),customers!A:F,6,0)</f>
        <v>USA</v>
      </c>
      <c r="K1573" t="str">
        <f>VLOOKUP(VLOOKUP(A1573,orders!A:C,3,0),employees!A:B,2,0)</f>
        <v>Margaret Peacock</v>
      </c>
    </row>
    <row r="1574" spans="1:11" x14ac:dyDescent="0.25">
      <c r="A1574">
        <v>10847</v>
      </c>
      <c r="B1574">
        <v>45</v>
      </c>
      <c r="C1574">
        <v>9.5</v>
      </c>
      <c r="D1574">
        <v>36</v>
      </c>
      <c r="E1574">
        <v>0.2</v>
      </c>
      <c r="F1574">
        <f t="shared" si="24"/>
        <v>273.60000000000002</v>
      </c>
      <c r="G1574">
        <f>YEAR(VLOOKUP(A1574,orders!A:D,4,0))</f>
        <v>2015</v>
      </c>
      <c r="H1574">
        <f>MONTH(INDEX(orders!D:D,MATCH(A1574, orders!A:A,0)))</f>
        <v>1</v>
      </c>
      <c r="I1574" t="str">
        <f>VLOOKUP(VLOOKUP(B1574,products!A:F,6,0),categories!A:B,2,0)</f>
        <v>Seafood</v>
      </c>
      <c r="J1574" t="str">
        <f>VLOOKUP(VLOOKUP(A1574,orders!A:B,2,0),customers!A:F,6,0)</f>
        <v>USA</v>
      </c>
      <c r="K1574" t="str">
        <f>VLOOKUP(VLOOKUP(A1574,orders!A:C,3,0),employees!A:B,2,0)</f>
        <v>Margaret Peacock</v>
      </c>
    </row>
    <row r="1575" spans="1:11" x14ac:dyDescent="0.25">
      <c r="A1575">
        <v>10847</v>
      </c>
      <c r="B1575">
        <v>60</v>
      </c>
      <c r="C1575">
        <v>34</v>
      </c>
      <c r="D1575">
        <v>45</v>
      </c>
      <c r="E1575">
        <v>0.2</v>
      </c>
      <c r="F1575">
        <f t="shared" si="24"/>
        <v>1224</v>
      </c>
      <c r="G1575">
        <f>YEAR(VLOOKUP(A1575,orders!A:D,4,0))</f>
        <v>2015</v>
      </c>
      <c r="H1575">
        <f>MONTH(INDEX(orders!D:D,MATCH(A1575, orders!A:A,0)))</f>
        <v>1</v>
      </c>
      <c r="I1575" t="str">
        <f>VLOOKUP(VLOOKUP(B1575,products!A:F,6,0),categories!A:B,2,0)</f>
        <v>Dairy Products</v>
      </c>
      <c r="J1575" t="str">
        <f>VLOOKUP(VLOOKUP(A1575,orders!A:B,2,0),customers!A:F,6,0)</f>
        <v>USA</v>
      </c>
      <c r="K1575" t="str">
        <f>VLOOKUP(VLOOKUP(A1575,orders!A:C,3,0),employees!A:B,2,0)</f>
        <v>Margaret Peacock</v>
      </c>
    </row>
    <row r="1576" spans="1:11" x14ac:dyDescent="0.25">
      <c r="A1576">
        <v>10847</v>
      </c>
      <c r="B1576">
        <v>71</v>
      </c>
      <c r="C1576">
        <v>21.5</v>
      </c>
      <c r="D1576">
        <v>55</v>
      </c>
      <c r="E1576">
        <v>0.2</v>
      </c>
      <c r="F1576">
        <f t="shared" si="24"/>
        <v>946</v>
      </c>
      <c r="G1576">
        <f>YEAR(VLOOKUP(A1576,orders!A:D,4,0))</f>
        <v>2015</v>
      </c>
      <c r="H1576">
        <f>MONTH(INDEX(orders!D:D,MATCH(A1576, orders!A:A,0)))</f>
        <v>1</v>
      </c>
      <c r="I1576" t="str">
        <f>VLOOKUP(VLOOKUP(B1576,products!A:F,6,0),categories!A:B,2,0)</f>
        <v>Dairy Products</v>
      </c>
      <c r="J1576" t="str">
        <f>VLOOKUP(VLOOKUP(A1576,orders!A:B,2,0),customers!A:F,6,0)</f>
        <v>USA</v>
      </c>
      <c r="K1576" t="str">
        <f>VLOOKUP(VLOOKUP(A1576,orders!A:C,3,0),employees!A:B,2,0)</f>
        <v>Margaret Peacock</v>
      </c>
    </row>
    <row r="1577" spans="1:11" x14ac:dyDescent="0.25">
      <c r="A1577">
        <v>10848</v>
      </c>
      <c r="B1577">
        <v>5</v>
      </c>
      <c r="C1577">
        <v>21.35</v>
      </c>
      <c r="D1577">
        <v>30</v>
      </c>
      <c r="E1577">
        <v>0</v>
      </c>
      <c r="F1577">
        <f t="shared" si="24"/>
        <v>640.5</v>
      </c>
      <c r="G1577">
        <f>YEAR(VLOOKUP(A1577,orders!A:D,4,0))</f>
        <v>2015</v>
      </c>
      <c r="H1577">
        <f>MONTH(INDEX(orders!D:D,MATCH(A1577, orders!A:A,0)))</f>
        <v>1</v>
      </c>
      <c r="I1577" t="str">
        <f>VLOOKUP(VLOOKUP(B1577,products!A:F,6,0),categories!A:B,2,0)</f>
        <v>Condiments</v>
      </c>
      <c r="J1577" t="str">
        <f>VLOOKUP(VLOOKUP(A1577,orders!A:B,2,0),customers!A:F,6,0)</f>
        <v>UK</v>
      </c>
      <c r="K1577" t="str">
        <f>VLOOKUP(VLOOKUP(A1577,orders!A:C,3,0),employees!A:B,2,0)</f>
        <v>Robert King</v>
      </c>
    </row>
    <row r="1578" spans="1:11" x14ac:dyDescent="0.25">
      <c r="A1578">
        <v>10848</v>
      </c>
      <c r="B1578">
        <v>9</v>
      </c>
      <c r="C1578">
        <v>97</v>
      </c>
      <c r="D1578">
        <v>3</v>
      </c>
      <c r="E1578">
        <v>0</v>
      </c>
      <c r="F1578">
        <f t="shared" si="24"/>
        <v>291</v>
      </c>
      <c r="G1578">
        <f>YEAR(VLOOKUP(A1578,orders!A:D,4,0))</f>
        <v>2015</v>
      </c>
      <c r="H1578">
        <f>MONTH(INDEX(orders!D:D,MATCH(A1578, orders!A:A,0)))</f>
        <v>1</v>
      </c>
      <c r="I1578" t="str">
        <f>VLOOKUP(VLOOKUP(B1578,products!A:F,6,0),categories!A:B,2,0)</f>
        <v>Meat &amp; Poultry</v>
      </c>
      <c r="J1578" t="str">
        <f>VLOOKUP(VLOOKUP(A1578,orders!A:B,2,0),customers!A:F,6,0)</f>
        <v>UK</v>
      </c>
      <c r="K1578" t="str">
        <f>VLOOKUP(VLOOKUP(A1578,orders!A:C,3,0),employees!A:B,2,0)</f>
        <v>Robert King</v>
      </c>
    </row>
    <row r="1579" spans="1:11" x14ac:dyDescent="0.25">
      <c r="A1579">
        <v>10849</v>
      </c>
      <c r="B1579">
        <v>3</v>
      </c>
      <c r="C1579">
        <v>10</v>
      </c>
      <c r="D1579">
        <v>49</v>
      </c>
      <c r="E1579">
        <v>0</v>
      </c>
      <c r="F1579">
        <f t="shared" si="24"/>
        <v>490</v>
      </c>
      <c r="G1579">
        <f>YEAR(VLOOKUP(A1579,orders!A:D,4,0))</f>
        <v>2015</v>
      </c>
      <c r="H1579">
        <f>MONTH(INDEX(orders!D:D,MATCH(A1579, orders!A:A,0)))</f>
        <v>1</v>
      </c>
      <c r="I1579" t="str">
        <f>VLOOKUP(VLOOKUP(B1579,products!A:F,6,0),categories!A:B,2,0)</f>
        <v>Condiments</v>
      </c>
      <c r="J1579" t="str">
        <f>VLOOKUP(VLOOKUP(A1579,orders!A:B,2,0),customers!A:F,6,0)</f>
        <v>Germany</v>
      </c>
      <c r="K1579" t="str">
        <f>VLOOKUP(VLOOKUP(A1579,orders!A:C,3,0),employees!A:B,2,0)</f>
        <v>Anne Dodsworth</v>
      </c>
    </row>
    <row r="1580" spans="1:11" x14ac:dyDescent="0.25">
      <c r="A1580">
        <v>10849</v>
      </c>
      <c r="B1580">
        <v>26</v>
      </c>
      <c r="C1580">
        <v>31.23</v>
      </c>
      <c r="D1580">
        <v>18</v>
      </c>
      <c r="E1580">
        <v>0.15</v>
      </c>
      <c r="F1580">
        <f t="shared" si="24"/>
        <v>477.81899999999996</v>
      </c>
      <c r="G1580">
        <f>YEAR(VLOOKUP(A1580,orders!A:D,4,0))</f>
        <v>2015</v>
      </c>
      <c r="H1580">
        <f>MONTH(INDEX(orders!D:D,MATCH(A1580, orders!A:A,0)))</f>
        <v>1</v>
      </c>
      <c r="I1580" t="str">
        <f>VLOOKUP(VLOOKUP(B1580,products!A:F,6,0),categories!A:B,2,0)</f>
        <v>Confections</v>
      </c>
      <c r="J1580" t="str">
        <f>VLOOKUP(VLOOKUP(A1580,orders!A:B,2,0),customers!A:F,6,0)</f>
        <v>Germany</v>
      </c>
      <c r="K1580" t="str">
        <f>VLOOKUP(VLOOKUP(A1580,orders!A:C,3,0),employees!A:B,2,0)</f>
        <v>Anne Dodsworth</v>
      </c>
    </row>
    <row r="1581" spans="1:11" x14ac:dyDescent="0.25">
      <c r="A1581">
        <v>10850</v>
      </c>
      <c r="B1581">
        <v>25</v>
      </c>
      <c r="C1581">
        <v>14</v>
      </c>
      <c r="D1581">
        <v>20</v>
      </c>
      <c r="E1581">
        <v>0.15</v>
      </c>
      <c r="F1581">
        <f t="shared" si="24"/>
        <v>238</v>
      </c>
      <c r="G1581">
        <f>YEAR(VLOOKUP(A1581,orders!A:D,4,0))</f>
        <v>2015</v>
      </c>
      <c r="H1581">
        <f>MONTH(INDEX(orders!D:D,MATCH(A1581, orders!A:A,0)))</f>
        <v>1</v>
      </c>
      <c r="I1581" t="str">
        <f>VLOOKUP(VLOOKUP(B1581,products!A:F,6,0),categories!A:B,2,0)</f>
        <v>Confections</v>
      </c>
      <c r="J1581" t="str">
        <f>VLOOKUP(VLOOKUP(A1581,orders!A:B,2,0),customers!A:F,6,0)</f>
        <v>France</v>
      </c>
      <c r="K1581" t="str">
        <f>VLOOKUP(VLOOKUP(A1581,orders!A:C,3,0),employees!A:B,2,0)</f>
        <v>Nancy Davolio</v>
      </c>
    </row>
    <row r="1582" spans="1:11" x14ac:dyDescent="0.25">
      <c r="A1582">
        <v>10850</v>
      </c>
      <c r="B1582">
        <v>33</v>
      </c>
      <c r="C1582">
        <v>2.5</v>
      </c>
      <c r="D1582">
        <v>4</v>
      </c>
      <c r="E1582">
        <v>0.15</v>
      </c>
      <c r="F1582">
        <f t="shared" si="24"/>
        <v>8.5</v>
      </c>
      <c r="G1582">
        <f>YEAR(VLOOKUP(A1582,orders!A:D,4,0))</f>
        <v>2015</v>
      </c>
      <c r="H1582">
        <f>MONTH(INDEX(orders!D:D,MATCH(A1582, orders!A:A,0)))</f>
        <v>1</v>
      </c>
      <c r="I1582" t="str">
        <f>VLOOKUP(VLOOKUP(B1582,products!A:F,6,0),categories!A:B,2,0)</f>
        <v>Dairy Products</v>
      </c>
      <c r="J1582" t="str">
        <f>VLOOKUP(VLOOKUP(A1582,orders!A:B,2,0),customers!A:F,6,0)</f>
        <v>France</v>
      </c>
      <c r="K1582" t="str">
        <f>VLOOKUP(VLOOKUP(A1582,orders!A:C,3,0),employees!A:B,2,0)</f>
        <v>Nancy Davolio</v>
      </c>
    </row>
    <row r="1583" spans="1:11" x14ac:dyDescent="0.25">
      <c r="A1583">
        <v>10850</v>
      </c>
      <c r="B1583">
        <v>70</v>
      </c>
      <c r="C1583">
        <v>15</v>
      </c>
      <c r="D1583">
        <v>30</v>
      </c>
      <c r="E1583">
        <v>0.15</v>
      </c>
      <c r="F1583">
        <f t="shared" si="24"/>
        <v>382.5</v>
      </c>
      <c r="G1583">
        <f>YEAR(VLOOKUP(A1583,orders!A:D,4,0))</f>
        <v>2015</v>
      </c>
      <c r="H1583">
        <f>MONTH(INDEX(orders!D:D,MATCH(A1583, orders!A:A,0)))</f>
        <v>1</v>
      </c>
      <c r="I1583" t="str">
        <f>VLOOKUP(VLOOKUP(B1583,products!A:F,6,0),categories!A:B,2,0)</f>
        <v>Beverages</v>
      </c>
      <c r="J1583" t="str">
        <f>VLOOKUP(VLOOKUP(A1583,orders!A:B,2,0),customers!A:F,6,0)</f>
        <v>France</v>
      </c>
      <c r="K1583" t="str">
        <f>VLOOKUP(VLOOKUP(A1583,orders!A:C,3,0),employees!A:B,2,0)</f>
        <v>Nancy Davolio</v>
      </c>
    </row>
    <row r="1584" spans="1:11" x14ac:dyDescent="0.25">
      <c r="A1584">
        <v>10851</v>
      </c>
      <c r="B1584">
        <v>2</v>
      </c>
      <c r="C1584">
        <v>19</v>
      </c>
      <c r="D1584">
        <v>5</v>
      </c>
      <c r="E1584">
        <v>0.05</v>
      </c>
      <c r="F1584">
        <f t="shared" si="24"/>
        <v>90.25</v>
      </c>
      <c r="G1584">
        <f>YEAR(VLOOKUP(A1584,orders!A:D,4,0))</f>
        <v>2015</v>
      </c>
      <c r="H1584">
        <f>MONTH(INDEX(orders!D:D,MATCH(A1584, orders!A:A,0)))</f>
        <v>1</v>
      </c>
      <c r="I1584" t="str">
        <f>VLOOKUP(VLOOKUP(B1584,products!A:F,6,0),categories!A:B,2,0)</f>
        <v>Beverages</v>
      </c>
      <c r="J1584" t="str">
        <f>VLOOKUP(VLOOKUP(A1584,orders!A:B,2,0),customers!A:F,6,0)</f>
        <v>Brazil</v>
      </c>
      <c r="K1584" t="str">
        <f>VLOOKUP(VLOOKUP(A1584,orders!A:C,3,0),employees!A:B,2,0)</f>
        <v>Steven Buchanan</v>
      </c>
    </row>
    <row r="1585" spans="1:11" x14ac:dyDescent="0.25">
      <c r="A1585">
        <v>10851</v>
      </c>
      <c r="B1585">
        <v>25</v>
      </c>
      <c r="C1585">
        <v>14</v>
      </c>
      <c r="D1585">
        <v>10</v>
      </c>
      <c r="E1585">
        <v>0.05</v>
      </c>
      <c r="F1585">
        <f t="shared" si="24"/>
        <v>133</v>
      </c>
      <c r="G1585">
        <f>YEAR(VLOOKUP(A1585,orders!A:D,4,0))</f>
        <v>2015</v>
      </c>
      <c r="H1585">
        <f>MONTH(INDEX(orders!D:D,MATCH(A1585, orders!A:A,0)))</f>
        <v>1</v>
      </c>
      <c r="I1585" t="str">
        <f>VLOOKUP(VLOOKUP(B1585,products!A:F,6,0),categories!A:B,2,0)</f>
        <v>Confections</v>
      </c>
      <c r="J1585" t="str">
        <f>VLOOKUP(VLOOKUP(A1585,orders!A:B,2,0),customers!A:F,6,0)</f>
        <v>Brazil</v>
      </c>
      <c r="K1585" t="str">
        <f>VLOOKUP(VLOOKUP(A1585,orders!A:C,3,0),employees!A:B,2,0)</f>
        <v>Steven Buchanan</v>
      </c>
    </row>
    <row r="1586" spans="1:11" x14ac:dyDescent="0.25">
      <c r="A1586">
        <v>10851</v>
      </c>
      <c r="B1586">
        <v>57</v>
      </c>
      <c r="C1586">
        <v>19.5</v>
      </c>
      <c r="D1586">
        <v>10</v>
      </c>
      <c r="E1586">
        <v>0.05</v>
      </c>
      <c r="F1586">
        <f t="shared" si="24"/>
        <v>185.25</v>
      </c>
      <c r="G1586">
        <f>YEAR(VLOOKUP(A1586,orders!A:D,4,0))</f>
        <v>2015</v>
      </c>
      <c r="H1586">
        <f>MONTH(INDEX(orders!D:D,MATCH(A1586, orders!A:A,0)))</f>
        <v>1</v>
      </c>
      <c r="I1586" t="str">
        <f>VLOOKUP(VLOOKUP(B1586,products!A:F,6,0),categories!A:B,2,0)</f>
        <v>Grains &amp; Cereals</v>
      </c>
      <c r="J1586" t="str">
        <f>VLOOKUP(VLOOKUP(A1586,orders!A:B,2,0),customers!A:F,6,0)</f>
        <v>Brazil</v>
      </c>
      <c r="K1586" t="str">
        <f>VLOOKUP(VLOOKUP(A1586,orders!A:C,3,0),employees!A:B,2,0)</f>
        <v>Steven Buchanan</v>
      </c>
    </row>
    <row r="1587" spans="1:11" x14ac:dyDescent="0.25">
      <c r="A1587">
        <v>10851</v>
      </c>
      <c r="B1587">
        <v>59</v>
      </c>
      <c r="C1587">
        <v>55</v>
      </c>
      <c r="D1587">
        <v>42</v>
      </c>
      <c r="E1587">
        <v>0.05</v>
      </c>
      <c r="F1587">
        <f t="shared" si="24"/>
        <v>2194.5</v>
      </c>
      <c r="G1587">
        <f>YEAR(VLOOKUP(A1587,orders!A:D,4,0))</f>
        <v>2015</v>
      </c>
      <c r="H1587">
        <f>MONTH(INDEX(orders!D:D,MATCH(A1587, orders!A:A,0)))</f>
        <v>1</v>
      </c>
      <c r="I1587" t="str">
        <f>VLOOKUP(VLOOKUP(B1587,products!A:F,6,0),categories!A:B,2,0)</f>
        <v>Dairy Products</v>
      </c>
      <c r="J1587" t="str">
        <f>VLOOKUP(VLOOKUP(A1587,orders!A:B,2,0),customers!A:F,6,0)</f>
        <v>Brazil</v>
      </c>
      <c r="K1587" t="str">
        <f>VLOOKUP(VLOOKUP(A1587,orders!A:C,3,0),employees!A:B,2,0)</f>
        <v>Steven Buchanan</v>
      </c>
    </row>
    <row r="1588" spans="1:11" x14ac:dyDescent="0.25">
      <c r="A1588">
        <v>10852</v>
      </c>
      <c r="B1588">
        <v>2</v>
      </c>
      <c r="C1588">
        <v>19</v>
      </c>
      <c r="D1588">
        <v>15</v>
      </c>
      <c r="E1588">
        <v>0</v>
      </c>
      <c r="F1588">
        <f t="shared" si="24"/>
        <v>285</v>
      </c>
      <c r="G1588">
        <f>YEAR(VLOOKUP(A1588,orders!A:D,4,0))</f>
        <v>2015</v>
      </c>
      <c r="H1588">
        <f>MONTH(INDEX(orders!D:D,MATCH(A1588, orders!A:A,0)))</f>
        <v>1</v>
      </c>
      <c r="I1588" t="str">
        <f>VLOOKUP(VLOOKUP(B1588,products!A:F,6,0),categories!A:B,2,0)</f>
        <v>Beverages</v>
      </c>
      <c r="J1588" t="str">
        <f>VLOOKUP(VLOOKUP(A1588,orders!A:B,2,0),customers!A:F,6,0)</f>
        <v>USA</v>
      </c>
      <c r="K1588" t="str">
        <f>VLOOKUP(VLOOKUP(A1588,orders!A:C,3,0),employees!A:B,2,0)</f>
        <v>Laura Callahan</v>
      </c>
    </row>
    <row r="1589" spans="1:11" x14ac:dyDescent="0.25">
      <c r="A1589">
        <v>10852</v>
      </c>
      <c r="B1589">
        <v>17</v>
      </c>
      <c r="C1589">
        <v>39</v>
      </c>
      <c r="D1589">
        <v>6</v>
      </c>
      <c r="E1589">
        <v>0</v>
      </c>
      <c r="F1589">
        <f t="shared" si="24"/>
        <v>234</v>
      </c>
      <c r="G1589">
        <f>YEAR(VLOOKUP(A1589,orders!A:D,4,0))</f>
        <v>2015</v>
      </c>
      <c r="H1589">
        <f>MONTH(INDEX(orders!D:D,MATCH(A1589, orders!A:A,0)))</f>
        <v>1</v>
      </c>
      <c r="I1589" t="str">
        <f>VLOOKUP(VLOOKUP(B1589,products!A:F,6,0),categories!A:B,2,0)</f>
        <v>Meat &amp; Poultry</v>
      </c>
      <c r="J1589" t="str">
        <f>VLOOKUP(VLOOKUP(A1589,orders!A:B,2,0),customers!A:F,6,0)</f>
        <v>USA</v>
      </c>
      <c r="K1589" t="str">
        <f>VLOOKUP(VLOOKUP(A1589,orders!A:C,3,0),employees!A:B,2,0)</f>
        <v>Laura Callahan</v>
      </c>
    </row>
    <row r="1590" spans="1:11" x14ac:dyDescent="0.25">
      <c r="A1590">
        <v>10852</v>
      </c>
      <c r="B1590">
        <v>62</v>
      </c>
      <c r="C1590">
        <v>49.3</v>
      </c>
      <c r="D1590">
        <v>50</v>
      </c>
      <c r="E1590">
        <v>0</v>
      </c>
      <c r="F1590">
        <f t="shared" si="24"/>
        <v>2465</v>
      </c>
      <c r="G1590">
        <f>YEAR(VLOOKUP(A1590,orders!A:D,4,0))</f>
        <v>2015</v>
      </c>
      <c r="H1590">
        <f>MONTH(INDEX(orders!D:D,MATCH(A1590, orders!A:A,0)))</f>
        <v>1</v>
      </c>
      <c r="I1590" t="str">
        <f>VLOOKUP(VLOOKUP(B1590,products!A:F,6,0),categories!A:B,2,0)</f>
        <v>Confections</v>
      </c>
      <c r="J1590" t="str">
        <f>VLOOKUP(VLOOKUP(A1590,orders!A:B,2,0),customers!A:F,6,0)</f>
        <v>USA</v>
      </c>
      <c r="K1590" t="str">
        <f>VLOOKUP(VLOOKUP(A1590,orders!A:C,3,0),employees!A:B,2,0)</f>
        <v>Laura Callahan</v>
      </c>
    </row>
    <row r="1591" spans="1:11" x14ac:dyDescent="0.25">
      <c r="A1591">
        <v>10853</v>
      </c>
      <c r="B1591">
        <v>18</v>
      </c>
      <c r="C1591">
        <v>62.5</v>
      </c>
      <c r="D1591">
        <v>10</v>
      </c>
      <c r="E1591">
        <v>0</v>
      </c>
      <c r="F1591">
        <f t="shared" si="24"/>
        <v>625</v>
      </c>
      <c r="G1591">
        <f>YEAR(VLOOKUP(A1591,orders!A:D,4,0))</f>
        <v>2015</v>
      </c>
      <c r="H1591">
        <f>MONTH(INDEX(orders!D:D,MATCH(A1591, orders!A:A,0)))</f>
        <v>1</v>
      </c>
      <c r="I1591" t="str">
        <f>VLOOKUP(VLOOKUP(B1591,products!A:F,6,0),categories!A:B,2,0)</f>
        <v>Seafood</v>
      </c>
      <c r="J1591" t="str">
        <f>VLOOKUP(VLOOKUP(A1591,orders!A:B,2,0),customers!A:F,6,0)</f>
        <v>Germany</v>
      </c>
      <c r="K1591" t="str">
        <f>VLOOKUP(VLOOKUP(A1591,orders!A:C,3,0),employees!A:B,2,0)</f>
        <v>Anne Dodsworth</v>
      </c>
    </row>
    <row r="1592" spans="1:11" x14ac:dyDescent="0.25">
      <c r="A1592">
        <v>10854</v>
      </c>
      <c r="B1592">
        <v>10</v>
      </c>
      <c r="C1592">
        <v>31</v>
      </c>
      <c r="D1592">
        <v>100</v>
      </c>
      <c r="E1592">
        <v>0.15</v>
      </c>
      <c r="F1592">
        <f t="shared" si="24"/>
        <v>2635</v>
      </c>
      <c r="G1592">
        <f>YEAR(VLOOKUP(A1592,orders!A:D,4,0))</f>
        <v>2015</v>
      </c>
      <c r="H1592">
        <f>MONTH(INDEX(orders!D:D,MATCH(A1592, orders!A:A,0)))</f>
        <v>1</v>
      </c>
      <c r="I1592" t="str">
        <f>VLOOKUP(VLOOKUP(B1592,products!A:F,6,0),categories!A:B,2,0)</f>
        <v>Seafood</v>
      </c>
      <c r="J1592" t="str">
        <f>VLOOKUP(VLOOKUP(A1592,orders!A:B,2,0),customers!A:F,6,0)</f>
        <v>Austria</v>
      </c>
      <c r="K1592" t="str">
        <f>VLOOKUP(VLOOKUP(A1592,orders!A:C,3,0),employees!A:B,2,0)</f>
        <v>Janet Leverling</v>
      </c>
    </row>
    <row r="1593" spans="1:11" x14ac:dyDescent="0.25">
      <c r="A1593">
        <v>10854</v>
      </c>
      <c r="B1593">
        <v>13</v>
      </c>
      <c r="C1593">
        <v>6</v>
      </c>
      <c r="D1593">
        <v>65</v>
      </c>
      <c r="E1593">
        <v>0.15</v>
      </c>
      <c r="F1593">
        <f t="shared" si="24"/>
        <v>331.5</v>
      </c>
      <c r="G1593">
        <f>YEAR(VLOOKUP(A1593,orders!A:D,4,0))</f>
        <v>2015</v>
      </c>
      <c r="H1593">
        <f>MONTH(INDEX(orders!D:D,MATCH(A1593, orders!A:A,0)))</f>
        <v>1</v>
      </c>
      <c r="I1593" t="str">
        <f>VLOOKUP(VLOOKUP(B1593,products!A:F,6,0),categories!A:B,2,0)</f>
        <v>Seafood</v>
      </c>
      <c r="J1593" t="str">
        <f>VLOOKUP(VLOOKUP(A1593,orders!A:B,2,0),customers!A:F,6,0)</f>
        <v>Austria</v>
      </c>
      <c r="K1593" t="str">
        <f>VLOOKUP(VLOOKUP(A1593,orders!A:C,3,0),employees!A:B,2,0)</f>
        <v>Janet Leverling</v>
      </c>
    </row>
    <row r="1594" spans="1:11" x14ac:dyDescent="0.25">
      <c r="A1594">
        <v>10855</v>
      </c>
      <c r="B1594">
        <v>16</v>
      </c>
      <c r="C1594">
        <v>17.45</v>
      </c>
      <c r="D1594">
        <v>50</v>
      </c>
      <c r="E1594">
        <v>0</v>
      </c>
      <c r="F1594">
        <f t="shared" si="24"/>
        <v>872.5</v>
      </c>
      <c r="G1594">
        <f>YEAR(VLOOKUP(A1594,orders!A:D,4,0))</f>
        <v>2015</v>
      </c>
      <c r="H1594">
        <f>MONTH(INDEX(orders!D:D,MATCH(A1594, orders!A:A,0)))</f>
        <v>1</v>
      </c>
      <c r="I1594" t="str">
        <f>VLOOKUP(VLOOKUP(B1594,products!A:F,6,0),categories!A:B,2,0)</f>
        <v>Confections</v>
      </c>
      <c r="J1594" t="str">
        <f>VLOOKUP(VLOOKUP(A1594,orders!A:B,2,0),customers!A:F,6,0)</f>
        <v>USA</v>
      </c>
      <c r="K1594" t="str">
        <f>VLOOKUP(VLOOKUP(A1594,orders!A:C,3,0),employees!A:B,2,0)</f>
        <v>Janet Leverling</v>
      </c>
    </row>
    <row r="1595" spans="1:11" x14ac:dyDescent="0.25">
      <c r="A1595">
        <v>10855</v>
      </c>
      <c r="B1595">
        <v>31</v>
      </c>
      <c r="C1595">
        <v>12.5</v>
      </c>
      <c r="D1595">
        <v>14</v>
      </c>
      <c r="E1595">
        <v>0</v>
      </c>
      <c r="F1595">
        <f t="shared" si="24"/>
        <v>175</v>
      </c>
      <c r="G1595">
        <f>YEAR(VLOOKUP(A1595,orders!A:D,4,0))</f>
        <v>2015</v>
      </c>
      <c r="H1595">
        <f>MONTH(INDEX(orders!D:D,MATCH(A1595, orders!A:A,0)))</f>
        <v>1</v>
      </c>
      <c r="I1595" t="str">
        <f>VLOOKUP(VLOOKUP(B1595,products!A:F,6,0),categories!A:B,2,0)</f>
        <v>Dairy Products</v>
      </c>
      <c r="J1595" t="str">
        <f>VLOOKUP(VLOOKUP(A1595,orders!A:B,2,0),customers!A:F,6,0)</f>
        <v>USA</v>
      </c>
      <c r="K1595" t="str">
        <f>VLOOKUP(VLOOKUP(A1595,orders!A:C,3,0),employees!A:B,2,0)</f>
        <v>Janet Leverling</v>
      </c>
    </row>
    <row r="1596" spans="1:11" x14ac:dyDescent="0.25">
      <c r="A1596">
        <v>10855</v>
      </c>
      <c r="B1596">
        <v>56</v>
      </c>
      <c r="C1596">
        <v>38</v>
      </c>
      <c r="D1596">
        <v>24</v>
      </c>
      <c r="E1596">
        <v>0</v>
      </c>
      <c r="F1596">
        <f t="shared" si="24"/>
        <v>912</v>
      </c>
      <c r="G1596">
        <f>YEAR(VLOOKUP(A1596,orders!A:D,4,0))</f>
        <v>2015</v>
      </c>
      <c r="H1596">
        <f>MONTH(INDEX(orders!D:D,MATCH(A1596, orders!A:A,0)))</f>
        <v>1</v>
      </c>
      <c r="I1596" t="str">
        <f>VLOOKUP(VLOOKUP(B1596,products!A:F,6,0),categories!A:B,2,0)</f>
        <v>Grains &amp; Cereals</v>
      </c>
      <c r="J1596" t="str">
        <f>VLOOKUP(VLOOKUP(A1596,orders!A:B,2,0),customers!A:F,6,0)</f>
        <v>USA</v>
      </c>
      <c r="K1596" t="str">
        <f>VLOOKUP(VLOOKUP(A1596,orders!A:C,3,0),employees!A:B,2,0)</f>
        <v>Janet Leverling</v>
      </c>
    </row>
    <row r="1597" spans="1:11" x14ac:dyDescent="0.25">
      <c r="A1597">
        <v>10855</v>
      </c>
      <c r="B1597">
        <v>65</v>
      </c>
      <c r="C1597">
        <v>21.05</v>
      </c>
      <c r="D1597">
        <v>15</v>
      </c>
      <c r="E1597">
        <v>0.15</v>
      </c>
      <c r="F1597">
        <f t="shared" si="24"/>
        <v>268.38749999999999</v>
      </c>
      <c r="G1597">
        <f>YEAR(VLOOKUP(A1597,orders!A:D,4,0))</f>
        <v>2015</v>
      </c>
      <c r="H1597">
        <f>MONTH(INDEX(orders!D:D,MATCH(A1597, orders!A:A,0)))</f>
        <v>1</v>
      </c>
      <c r="I1597" t="str">
        <f>VLOOKUP(VLOOKUP(B1597,products!A:F,6,0),categories!A:B,2,0)</f>
        <v>Condiments</v>
      </c>
      <c r="J1597" t="str">
        <f>VLOOKUP(VLOOKUP(A1597,orders!A:B,2,0),customers!A:F,6,0)</f>
        <v>USA</v>
      </c>
      <c r="K1597" t="str">
        <f>VLOOKUP(VLOOKUP(A1597,orders!A:C,3,0),employees!A:B,2,0)</f>
        <v>Janet Leverling</v>
      </c>
    </row>
    <row r="1598" spans="1:11" x14ac:dyDescent="0.25">
      <c r="A1598">
        <v>10856</v>
      </c>
      <c r="B1598">
        <v>2</v>
      </c>
      <c r="C1598">
        <v>19</v>
      </c>
      <c r="D1598">
        <v>20</v>
      </c>
      <c r="E1598">
        <v>0</v>
      </c>
      <c r="F1598">
        <f t="shared" si="24"/>
        <v>380</v>
      </c>
      <c r="G1598">
        <f>YEAR(VLOOKUP(A1598,orders!A:D,4,0))</f>
        <v>2015</v>
      </c>
      <c r="H1598">
        <f>MONTH(INDEX(orders!D:D,MATCH(A1598, orders!A:A,0)))</f>
        <v>1</v>
      </c>
      <c r="I1598" t="str">
        <f>VLOOKUP(VLOOKUP(B1598,products!A:F,6,0),categories!A:B,2,0)</f>
        <v>Beverages</v>
      </c>
      <c r="J1598" t="str">
        <f>VLOOKUP(VLOOKUP(A1598,orders!A:B,2,0),customers!A:F,6,0)</f>
        <v>Mexico</v>
      </c>
      <c r="K1598" t="str">
        <f>VLOOKUP(VLOOKUP(A1598,orders!A:C,3,0),employees!A:B,2,0)</f>
        <v>Janet Leverling</v>
      </c>
    </row>
    <row r="1599" spans="1:11" x14ac:dyDescent="0.25">
      <c r="A1599">
        <v>10856</v>
      </c>
      <c r="B1599">
        <v>42</v>
      </c>
      <c r="C1599">
        <v>14</v>
      </c>
      <c r="D1599">
        <v>20</v>
      </c>
      <c r="E1599">
        <v>0</v>
      </c>
      <c r="F1599">
        <f t="shared" si="24"/>
        <v>280</v>
      </c>
      <c r="G1599">
        <f>YEAR(VLOOKUP(A1599,orders!A:D,4,0))</f>
        <v>2015</v>
      </c>
      <c r="H1599">
        <f>MONTH(INDEX(orders!D:D,MATCH(A1599, orders!A:A,0)))</f>
        <v>1</v>
      </c>
      <c r="I1599" t="str">
        <f>VLOOKUP(VLOOKUP(B1599,products!A:F,6,0),categories!A:B,2,0)</f>
        <v>Grains &amp; Cereals</v>
      </c>
      <c r="J1599" t="str">
        <f>VLOOKUP(VLOOKUP(A1599,orders!A:B,2,0),customers!A:F,6,0)</f>
        <v>Mexico</v>
      </c>
      <c r="K1599" t="str">
        <f>VLOOKUP(VLOOKUP(A1599,orders!A:C,3,0),employees!A:B,2,0)</f>
        <v>Janet Leverling</v>
      </c>
    </row>
    <row r="1600" spans="1:11" x14ac:dyDescent="0.25">
      <c r="A1600">
        <v>10857</v>
      </c>
      <c r="B1600">
        <v>3</v>
      </c>
      <c r="C1600">
        <v>10</v>
      </c>
      <c r="D1600">
        <v>30</v>
      </c>
      <c r="E1600">
        <v>0</v>
      </c>
      <c r="F1600">
        <f t="shared" si="24"/>
        <v>300</v>
      </c>
      <c r="G1600">
        <f>YEAR(VLOOKUP(A1600,orders!A:D,4,0))</f>
        <v>2015</v>
      </c>
      <c r="H1600">
        <f>MONTH(INDEX(orders!D:D,MATCH(A1600, orders!A:A,0)))</f>
        <v>1</v>
      </c>
      <c r="I1600" t="str">
        <f>VLOOKUP(VLOOKUP(B1600,products!A:F,6,0),categories!A:B,2,0)</f>
        <v>Condiments</v>
      </c>
      <c r="J1600" t="str">
        <f>VLOOKUP(VLOOKUP(A1600,orders!A:B,2,0),customers!A:F,6,0)</f>
        <v>Sweden</v>
      </c>
      <c r="K1600" t="str">
        <f>VLOOKUP(VLOOKUP(A1600,orders!A:C,3,0),employees!A:B,2,0)</f>
        <v>Laura Callahan</v>
      </c>
    </row>
    <row r="1601" spans="1:11" x14ac:dyDescent="0.25">
      <c r="A1601">
        <v>10857</v>
      </c>
      <c r="B1601">
        <v>26</v>
      </c>
      <c r="C1601">
        <v>31.23</v>
      </c>
      <c r="D1601">
        <v>35</v>
      </c>
      <c r="E1601">
        <v>0.25</v>
      </c>
      <c r="F1601">
        <f t="shared" si="24"/>
        <v>819.78749999999991</v>
      </c>
      <c r="G1601">
        <f>YEAR(VLOOKUP(A1601,orders!A:D,4,0))</f>
        <v>2015</v>
      </c>
      <c r="H1601">
        <f>MONTH(INDEX(orders!D:D,MATCH(A1601, orders!A:A,0)))</f>
        <v>1</v>
      </c>
      <c r="I1601" t="str">
        <f>VLOOKUP(VLOOKUP(B1601,products!A:F,6,0),categories!A:B,2,0)</f>
        <v>Confections</v>
      </c>
      <c r="J1601" t="str">
        <f>VLOOKUP(VLOOKUP(A1601,orders!A:B,2,0),customers!A:F,6,0)</f>
        <v>Sweden</v>
      </c>
      <c r="K1601" t="str">
        <f>VLOOKUP(VLOOKUP(A1601,orders!A:C,3,0),employees!A:B,2,0)</f>
        <v>Laura Callahan</v>
      </c>
    </row>
    <row r="1602" spans="1:11" x14ac:dyDescent="0.25">
      <c r="A1602">
        <v>10857</v>
      </c>
      <c r="B1602">
        <v>29</v>
      </c>
      <c r="C1602">
        <v>123.79</v>
      </c>
      <c r="D1602">
        <v>10</v>
      </c>
      <c r="E1602">
        <v>0.25</v>
      </c>
      <c r="F1602">
        <f t="shared" si="24"/>
        <v>928.42500000000007</v>
      </c>
      <c r="G1602">
        <f>YEAR(VLOOKUP(A1602,orders!A:D,4,0))</f>
        <v>2015</v>
      </c>
      <c r="H1602">
        <f>MONTH(INDEX(orders!D:D,MATCH(A1602, orders!A:A,0)))</f>
        <v>1</v>
      </c>
      <c r="I1602" t="str">
        <f>VLOOKUP(VLOOKUP(B1602,products!A:F,6,0),categories!A:B,2,0)</f>
        <v>Meat &amp; Poultry</v>
      </c>
      <c r="J1602" t="str">
        <f>VLOOKUP(VLOOKUP(A1602,orders!A:B,2,0),customers!A:F,6,0)</f>
        <v>Sweden</v>
      </c>
      <c r="K1602" t="str">
        <f>VLOOKUP(VLOOKUP(A1602,orders!A:C,3,0),employees!A:B,2,0)</f>
        <v>Laura Callahan</v>
      </c>
    </row>
    <row r="1603" spans="1:11" x14ac:dyDescent="0.25">
      <c r="A1603">
        <v>10858</v>
      </c>
      <c r="B1603">
        <v>7</v>
      </c>
      <c r="C1603">
        <v>30</v>
      </c>
      <c r="D1603">
        <v>5</v>
      </c>
      <c r="E1603">
        <v>0</v>
      </c>
      <c r="F1603">
        <f t="shared" ref="F1603:F1666" si="25">C1603*D1603*(1-E1603)</f>
        <v>150</v>
      </c>
      <c r="G1603">
        <f>YEAR(VLOOKUP(A1603,orders!A:D,4,0))</f>
        <v>2015</v>
      </c>
      <c r="H1603">
        <f>MONTH(INDEX(orders!D:D,MATCH(A1603, orders!A:A,0)))</f>
        <v>1</v>
      </c>
      <c r="I1603" t="str">
        <f>VLOOKUP(VLOOKUP(B1603,products!A:F,6,0),categories!A:B,2,0)</f>
        <v>Produce</v>
      </c>
      <c r="J1603" t="str">
        <f>VLOOKUP(VLOOKUP(A1603,orders!A:B,2,0),customers!A:F,6,0)</f>
        <v>France</v>
      </c>
      <c r="K1603" t="str">
        <f>VLOOKUP(VLOOKUP(A1603,orders!A:C,3,0),employees!A:B,2,0)</f>
        <v>Andrew Fuller</v>
      </c>
    </row>
    <row r="1604" spans="1:11" x14ac:dyDescent="0.25">
      <c r="A1604">
        <v>10858</v>
      </c>
      <c r="B1604">
        <v>27</v>
      </c>
      <c r="C1604">
        <v>43.9</v>
      </c>
      <c r="D1604">
        <v>10</v>
      </c>
      <c r="E1604">
        <v>0</v>
      </c>
      <c r="F1604">
        <f t="shared" si="25"/>
        <v>439</v>
      </c>
      <c r="G1604">
        <f>YEAR(VLOOKUP(A1604,orders!A:D,4,0))</f>
        <v>2015</v>
      </c>
      <c r="H1604">
        <f>MONTH(INDEX(orders!D:D,MATCH(A1604, orders!A:A,0)))</f>
        <v>1</v>
      </c>
      <c r="I1604" t="str">
        <f>VLOOKUP(VLOOKUP(B1604,products!A:F,6,0),categories!A:B,2,0)</f>
        <v>Confections</v>
      </c>
      <c r="J1604" t="str">
        <f>VLOOKUP(VLOOKUP(A1604,orders!A:B,2,0),customers!A:F,6,0)</f>
        <v>France</v>
      </c>
      <c r="K1604" t="str">
        <f>VLOOKUP(VLOOKUP(A1604,orders!A:C,3,0),employees!A:B,2,0)</f>
        <v>Andrew Fuller</v>
      </c>
    </row>
    <row r="1605" spans="1:11" x14ac:dyDescent="0.25">
      <c r="A1605">
        <v>10858</v>
      </c>
      <c r="B1605">
        <v>70</v>
      </c>
      <c r="C1605">
        <v>15</v>
      </c>
      <c r="D1605">
        <v>4</v>
      </c>
      <c r="E1605">
        <v>0</v>
      </c>
      <c r="F1605">
        <f t="shared" si="25"/>
        <v>60</v>
      </c>
      <c r="G1605">
        <f>YEAR(VLOOKUP(A1605,orders!A:D,4,0))</f>
        <v>2015</v>
      </c>
      <c r="H1605">
        <f>MONTH(INDEX(orders!D:D,MATCH(A1605, orders!A:A,0)))</f>
        <v>1</v>
      </c>
      <c r="I1605" t="str">
        <f>VLOOKUP(VLOOKUP(B1605,products!A:F,6,0),categories!A:B,2,0)</f>
        <v>Beverages</v>
      </c>
      <c r="J1605" t="str">
        <f>VLOOKUP(VLOOKUP(A1605,orders!A:B,2,0),customers!A:F,6,0)</f>
        <v>France</v>
      </c>
      <c r="K1605" t="str">
        <f>VLOOKUP(VLOOKUP(A1605,orders!A:C,3,0),employees!A:B,2,0)</f>
        <v>Andrew Fuller</v>
      </c>
    </row>
    <row r="1606" spans="1:11" x14ac:dyDescent="0.25">
      <c r="A1606">
        <v>10859</v>
      </c>
      <c r="B1606">
        <v>24</v>
      </c>
      <c r="C1606">
        <v>4.5</v>
      </c>
      <c r="D1606">
        <v>40</v>
      </c>
      <c r="E1606">
        <v>0.25</v>
      </c>
      <c r="F1606">
        <f t="shared" si="25"/>
        <v>135</v>
      </c>
      <c r="G1606">
        <f>YEAR(VLOOKUP(A1606,orders!A:D,4,0))</f>
        <v>2015</v>
      </c>
      <c r="H1606">
        <f>MONTH(INDEX(orders!D:D,MATCH(A1606, orders!A:A,0)))</f>
        <v>1</v>
      </c>
      <c r="I1606" t="str">
        <f>VLOOKUP(VLOOKUP(B1606,products!A:F,6,0),categories!A:B,2,0)</f>
        <v>Beverages</v>
      </c>
      <c r="J1606" t="str">
        <f>VLOOKUP(VLOOKUP(A1606,orders!A:B,2,0),customers!A:F,6,0)</f>
        <v>Germany</v>
      </c>
      <c r="K1606" t="str">
        <f>VLOOKUP(VLOOKUP(A1606,orders!A:C,3,0),employees!A:B,2,0)</f>
        <v>Nancy Davolio</v>
      </c>
    </row>
    <row r="1607" spans="1:11" x14ac:dyDescent="0.25">
      <c r="A1607">
        <v>10859</v>
      </c>
      <c r="B1607">
        <v>54</v>
      </c>
      <c r="C1607">
        <v>7.45</v>
      </c>
      <c r="D1607">
        <v>35</v>
      </c>
      <c r="E1607">
        <v>0.25</v>
      </c>
      <c r="F1607">
        <f t="shared" si="25"/>
        <v>195.5625</v>
      </c>
      <c r="G1607">
        <f>YEAR(VLOOKUP(A1607,orders!A:D,4,0))</f>
        <v>2015</v>
      </c>
      <c r="H1607">
        <f>MONTH(INDEX(orders!D:D,MATCH(A1607, orders!A:A,0)))</f>
        <v>1</v>
      </c>
      <c r="I1607" t="str">
        <f>VLOOKUP(VLOOKUP(B1607,products!A:F,6,0),categories!A:B,2,0)</f>
        <v>Meat &amp; Poultry</v>
      </c>
      <c r="J1607" t="str">
        <f>VLOOKUP(VLOOKUP(A1607,orders!A:B,2,0),customers!A:F,6,0)</f>
        <v>Germany</v>
      </c>
      <c r="K1607" t="str">
        <f>VLOOKUP(VLOOKUP(A1607,orders!A:C,3,0),employees!A:B,2,0)</f>
        <v>Nancy Davolio</v>
      </c>
    </row>
    <row r="1608" spans="1:11" x14ac:dyDescent="0.25">
      <c r="A1608">
        <v>10859</v>
      </c>
      <c r="B1608">
        <v>64</v>
      </c>
      <c r="C1608">
        <v>33.25</v>
      </c>
      <c r="D1608">
        <v>30</v>
      </c>
      <c r="E1608">
        <v>0.25</v>
      </c>
      <c r="F1608">
        <f t="shared" si="25"/>
        <v>748.125</v>
      </c>
      <c r="G1608">
        <f>YEAR(VLOOKUP(A1608,orders!A:D,4,0))</f>
        <v>2015</v>
      </c>
      <c r="H1608">
        <f>MONTH(INDEX(orders!D:D,MATCH(A1608, orders!A:A,0)))</f>
        <v>1</v>
      </c>
      <c r="I1608" t="str">
        <f>VLOOKUP(VLOOKUP(B1608,products!A:F,6,0),categories!A:B,2,0)</f>
        <v>Grains &amp; Cereals</v>
      </c>
      <c r="J1608" t="str">
        <f>VLOOKUP(VLOOKUP(A1608,orders!A:B,2,0),customers!A:F,6,0)</f>
        <v>Germany</v>
      </c>
      <c r="K1608" t="str">
        <f>VLOOKUP(VLOOKUP(A1608,orders!A:C,3,0),employees!A:B,2,0)</f>
        <v>Nancy Davolio</v>
      </c>
    </row>
    <row r="1609" spans="1:11" x14ac:dyDescent="0.25">
      <c r="A1609">
        <v>10860</v>
      </c>
      <c r="B1609">
        <v>51</v>
      </c>
      <c r="C1609">
        <v>53</v>
      </c>
      <c r="D1609">
        <v>3</v>
      </c>
      <c r="E1609">
        <v>0</v>
      </c>
      <c r="F1609">
        <f t="shared" si="25"/>
        <v>159</v>
      </c>
      <c r="G1609">
        <f>YEAR(VLOOKUP(A1609,orders!A:D,4,0))</f>
        <v>2015</v>
      </c>
      <c r="H1609">
        <f>MONTH(INDEX(orders!D:D,MATCH(A1609, orders!A:A,0)))</f>
        <v>1</v>
      </c>
      <c r="I1609" t="str">
        <f>VLOOKUP(VLOOKUP(B1609,products!A:F,6,0),categories!A:B,2,0)</f>
        <v>Produce</v>
      </c>
      <c r="J1609" t="str">
        <f>VLOOKUP(VLOOKUP(A1609,orders!A:B,2,0),customers!A:F,6,0)</f>
        <v>France</v>
      </c>
      <c r="K1609" t="str">
        <f>VLOOKUP(VLOOKUP(A1609,orders!A:C,3,0),employees!A:B,2,0)</f>
        <v>Janet Leverling</v>
      </c>
    </row>
    <row r="1610" spans="1:11" x14ac:dyDescent="0.25">
      <c r="A1610">
        <v>10860</v>
      </c>
      <c r="B1610">
        <v>76</v>
      </c>
      <c r="C1610">
        <v>18</v>
      </c>
      <c r="D1610">
        <v>20</v>
      </c>
      <c r="E1610">
        <v>0</v>
      </c>
      <c r="F1610">
        <f t="shared" si="25"/>
        <v>360</v>
      </c>
      <c r="G1610">
        <f>YEAR(VLOOKUP(A1610,orders!A:D,4,0))</f>
        <v>2015</v>
      </c>
      <c r="H1610">
        <f>MONTH(INDEX(orders!D:D,MATCH(A1610, orders!A:A,0)))</f>
        <v>1</v>
      </c>
      <c r="I1610" t="str">
        <f>VLOOKUP(VLOOKUP(B1610,products!A:F,6,0),categories!A:B,2,0)</f>
        <v>Beverages</v>
      </c>
      <c r="J1610" t="str">
        <f>VLOOKUP(VLOOKUP(A1610,orders!A:B,2,0),customers!A:F,6,0)</f>
        <v>France</v>
      </c>
      <c r="K1610" t="str">
        <f>VLOOKUP(VLOOKUP(A1610,orders!A:C,3,0),employees!A:B,2,0)</f>
        <v>Janet Leverling</v>
      </c>
    </row>
    <row r="1611" spans="1:11" x14ac:dyDescent="0.25">
      <c r="A1611">
        <v>10861</v>
      </c>
      <c r="B1611">
        <v>17</v>
      </c>
      <c r="C1611">
        <v>39</v>
      </c>
      <c r="D1611">
        <v>42</v>
      </c>
      <c r="E1611">
        <v>0</v>
      </c>
      <c r="F1611">
        <f t="shared" si="25"/>
        <v>1638</v>
      </c>
      <c r="G1611">
        <f>YEAR(VLOOKUP(A1611,orders!A:D,4,0))</f>
        <v>2015</v>
      </c>
      <c r="H1611">
        <f>MONTH(INDEX(orders!D:D,MATCH(A1611, orders!A:A,0)))</f>
        <v>1</v>
      </c>
      <c r="I1611" t="str">
        <f>VLOOKUP(VLOOKUP(B1611,products!A:F,6,0),categories!A:B,2,0)</f>
        <v>Meat &amp; Poultry</v>
      </c>
      <c r="J1611" t="str">
        <f>VLOOKUP(VLOOKUP(A1611,orders!A:B,2,0),customers!A:F,6,0)</f>
        <v>USA</v>
      </c>
      <c r="K1611" t="str">
        <f>VLOOKUP(VLOOKUP(A1611,orders!A:C,3,0),employees!A:B,2,0)</f>
        <v>Margaret Peacock</v>
      </c>
    </row>
    <row r="1612" spans="1:11" x14ac:dyDescent="0.25">
      <c r="A1612">
        <v>10861</v>
      </c>
      <c r="B1612">
        <v>18</v>
      </c>
      <c r="C1612">
        <v>62.5</v>
      </c>
      <c r="D1612">
        <v>20</v>
      </c>
      <c r="E1612">
        <v>0</v>
      </c>
      <c r="F1612">
        <f t="shared" si="25"/>
        <v>1250</v>
      </c>
      <c r="G1612">
        <f>YEAR(VLOOKUP(A1612,orders!A:D,4,0))</f>
        <v>2015</v>
      </c>
      <c r="H1612">
        <f>MONTH(INDEX(orders!D:D,MATCH(A1612, orders!A:A,0)))</f>
        <v>1</v>
      </c>
      <c r="I1612" t="str">
        <f>VLOOKUP(VLOOKUP(B1612,products!A:F,6,0),categories!A:B,2,0)</f>
        <v>Seafood</v>
      </c>
      <c r="J1612" t="str">
        <f>VLOOKUP(VLOOKUP(A1612,orders!A:B,2,0),customers!A:F,6,0)</f>
        <v>USA</v>
      </c>
      <c r="K1612" t="str">
        <f>VLOOKUP(VLOOKUP(A1612,orders!A:C,3,0),employees!A:B,2,0)</f>
        <v>Margaret Peacock</v>
      </c>
    </row>
    <row r="1613" spans="1:11" x14ac:dyDescent="0.25">
      <c r="A1613">
        <v>10861</v>
      </c>
      <c r="B1613">
        <v>21</v>
      </c>
      <c r="C1613">
        <v>10</v>
      </c>
      <c r="D1613">
        <v>40</v>
      </c>
      <c r="E1613">
        <v>0</v>
      </c>
      <c r="F1613">
        <f t="shared" si="25"/>
        <v>400</v>
      </c>
      <c r="G1613">
        <f>YEAR(VLOOKUP(A1613,orders!A:D,4,0))</f>
        <v>2015</v>
      </c>
      <c r="H1613">
        <f>MONTH(INDEX(orders!D:D,MATCH(A1613, orders!A:A,0)))</f>
        <v>1</v>
      </c>
      <c r="I1613" t="str">
        <f>VLOOKUP(VLOOKUP(B1613,products!A:F,6,0),categories!A:B,2,0)</f>
        <v>Confections</v>
      </c>
      <c r="J1613" t="str">
        <f>VLOOKUP(VLOOKUP(A1613,orders!A:B,2,0),customers!A:F,6,0)</f>
        <v>USA</v>
      </c>
      <c r="K1613" t="str">
        <f>VLOOKUP(VLOOKUP(A1613,orders!A:C,3,0),employees!A:B,2,0)</f>
        <v>Margaret Peacock</v>
      </c>
    </row>
    <row r="1614" spans="1:11" x14ac:dyDescent="0.25">
      <c r="A1614">
        <v>10861</v>
      </c>
      <c r="B1614">
        <v>33</v>
      </c>
      <c r="C1614">
        <v>2.5</v>
      </c>
      <c r="D1614">
        <v>35</v>
      </c>
      <c r="E1614">
        <v>0</v>
      </c>
      <c r="F1614">
        <f t="shared" si="25"/>
        <v>87.5</v>
      </c>
      <c r="G1614">
        <f>YEAR(VLOOKUP(A1614,orders!A:D,4,0))</f>
        <v>2015</v>
      </c>
      <c r="H1614">
        <f>MONTH(INDEX(orders!D:D,MATCH(A1614, orders!A:A,0)))</f>
        <v>1</v>
      </c>
      <c r="I1614" t="str">
        <f>VLOOKUP(VLOOKUP(B1614,products!A:F,6,0),categories!A:B,2,0)</f>
        <v>Dairy Products</v>
      </c>
      <c r="J1614" t="str">
        <f>VLOOKUP(VLOOKUP(A1614,orders!A:B,2,0),customers!A:F,6,0)</f>
        <v>USA</v>
      </c>
      <c r="K1614" t="str">
        <f>VLOOKUP(VLOOKUP(A1614,orders!A:C,3,0),employees!A:B,2,0)</f>
        <v>Margaret Peacock</v>
      </c>
    </row>
    <row r="1615" spans="1:11" x14ac:dyDescent="0.25">
      <c r="A1615">
        <v>10861</v>
      </c>
      <c r="B1615">
        <v>62</v>
      </c>
      <c r="C1615">
        <v>49.3</v>
      </c>
      <c r="D1615">
        <v>3</v>
      </c>
      <c r="E1615">
        <v>0</v>
      </c>
      <c r="F1615">
        <f t="shared" si="25"/>
        <v>147.89999999999998</v>
      </c>
      <c r="G1615">
        <f>YEAR(VLOOKUP(A1615,orders!A:D,4,0))</f>
        <v>2015</v>
      </c>
      <c r="H1615">
        <f>MONTH(INDEX(orders!D:D,MATCH(A1615, orders!A:A,0)))</f>
        <v>1</v>
      </c>
      <c r="I1615" t="str">
        <f>VLOOKUP(VLOOKUP(B1615,products!A:F,6,0),categories!A:B,2,0)</f>
        <v>Confections</v>
      </c>
      <c r="J1615" t="str">
        <f>VLOOKUP(VLOOKUP(A1615,orders!A:B,2,0),customers!A:F,6,0)</f>
        <v>USA</v>
      </c>
      <c r="K1615" t="str">
        <f>VLOOKUP(VLOOKUP(A1615,orders!A:C,3,0),employees!A:B,2,0)</f>
        <v>Margaret Peacock</v>
      </c>
    </row>
    <row r="1616" spans="1:11" x14ac:dyDescent="0.25">
      <c r="A1616">
        <v>10862</v>
      </c>
      <c r="B1616">
        <v>11</v>
      </c>
      <c r="C1616">
        <v>21</v>
      </c>
      <c r="D1616">
        <v>25</v>
      </c>
      <c r="E1616">
        <v>0</v>
      </c>
      <c r="F1616">
        <f t="shared" si="25"/>
        <v>525</v>
      </c>
      <c r="G1616">
        <f>YEAR(VLOOKUP(A1616,orders!A:D,4,0))</f>
        <v>2015</v>
      </c>
      <c r="H1616">
        <f>MONTH(INDEX(orders!D:D,MATCH(A1616, orders!A:A,0)))</f>
        <v>1</v>
      </c>
      <c r="I1616" t="str">
        <f>VLOOKUP(VLOOKUP(B1616,products!A:F,6,0),categories!A:B,2,0)</f>
        <v>Dairy Products</v>
      </c>
      <c r="J1616" t="str">
        <f>VLOOKUP(VLOOKUP(A1616,orders!A:B,2,0),customers!A:F,6,0)</f>
        <v>Germany</v>
      </c>
      <c r="K1616" t="str">
        <f>VLOOKUP(VLOOKUP(A1616,orders!A:C,3,0),employees!A:B,2,0)</f>
        <v>Laura Callahan</v>
      </c>
    </row>
    <row r="1617" spans="1:11" x14ac:dyDescent="0.25">
      <c r="A1617">
        <v>10862</v>
      </c>
      <c r="B1617">
        <v>52</v>
      </c>
      <c r="C1617">
        <v>7</v>
      </c>
      <c r="D1617">
        <v>8</v>
      </c>
      <c r="E1617">
        <v>0</v>
      </c>
      <c r="F1617">
        <f t="shared" si="25"/>
        <v>56</v>
      </c>
      <c r="G1617">
        <f>YEAR(VLOOKUP(A1617,orders!A:D,4,0))</f>
        <v>2015</v>
      </c>
      <c r="H1617">
        <f>MONTH(INDEX(orders!D:D,MATCH(A1617, orders!A:A,0)))</f>
        <v>1</v>
      </c>
      <c r="I1617" t="str">
        <f>VLOOKUP(VLOOKUP(B1617,products!A:F,6,0),categories!A:B,2,0)</f>
        <v>Grains &amp; Cereals</v>
      </c>
      <c r="J1617" t="str">
        <f>VLOOKUP(VLOOKUP(A1617,orders!A:B,2,0),customers!A:F,6,0)</f>
        <v>Germany</v>
      </c>
      <c r="K1617" t="str">
        <f>VLOOKUP(VLOOKUP(A1617,orders!A:C,3,0),employees!A:B,2,0)</f>
        <v>Laura Callahan</v>
      </c>
    </row>
    <row r="1618" spans="1:11" x14ac:dyDescent="0.25">
      <c r="A1618">
        <v>10863</v>
      </c>
      <c r="B1618">
        <v>1</v>
      </c>
      <c r="C1618">
        <v>18</v>
      </c>
      <c r="D1618">
        <v>20</v>
      </c>
      <c r="E1618">
        <v>0.15</v>
      </c>
      <c r="F1618">
        <f t="shared" si="25"/>
        <v>306</v>
      </c>
      <c r="G1618">
        <f>YEAR(VLOOKUP(A1618,orders!A:D,4,0))</f>
        <v>2015</v>
      </c>
      <c r="H1618">
        <f>MONTH(INDEX(orders!D:D,MATCH(A1618, orders!A:A,0)))</f>
        <v>2</v>
      </c>
      <c r="I1618" t="str">
        <f>VLOOKUP(VLOOKUP(B1618,products!A:F,6,0),categories!A:B,2,0)</f>
        <v>Beverages</v>
      </c>
      <c r="J1618" t="str">
        <f>VLOOKUP(VLOOKUP(A1618,orders!A:B,2,0),customers!A:F,6,0)</f>
        <v>Venezuela</v>
      </c>
      <c r="K1618" t="str">
        <f>VLOOKUP(VLOOKUP(A1618,orders!A:C,3,0),employees!A:B,2,0)</f>
        <v>Margaret Peacock</v>
      </c>
    </row>
    <row r="1619" spans="1:11" x14ac:dyDescent="0.25">
      <c r="A1619">
        <v>10863</v>
      </c>
      <c r="B1619">
        <v>58</v>
      </c>
      <c r="C1619">
        <v>13.25</v>
      </c>
      <c r="D1619">
        <v>12</v>
      </c>
      <c r="E1619">
        <v>0.15</v>
      </c>
      <c r="F1619">
        <f t="shared" si="25"/>
        <v>135.15</v>
      </c>
      <c r="G1619">
        <f>YEAR(VLOOKUP(A1619,orders!A:D,4,0))</f>
        <v>2015</v>
      </c>
      <c r="H1619">
        <f>MONTH(INDEX(orders!D:D,MATCH(A1619, orders!A:A,0)))</f>
        <v>2</v>
      </c>
      <c r="I1619" t="str">
        <f>VLOOKUP(VLOOKUP(B1619,products!A:F,6,0),categories!A:B,2,0)</f>
        <v>Seafood</v>
      </c>
      <c r="J1619" t="str">
        <f>VLOOKUP(VLOOKUP(A1619,orders!A:B,2,0),customers!A:F,6,0)</f>
        <v>Venezuela</v>
      </c>
      <c r="K1619" t="str">
        <f>VLOOKUP(VLOOKUP(A1619,orders!A:C,3,0),employees!A:B,2,0)</f>
        <v>Margaret Peacock</v>
      </c>
    </row>
    <row r="1620" spans="1:11" x14ac:dyDescent="0.25">
      <c r="A1620">
        <v>10864</v>
      </c>
      <c r="B1620">
        <v>35</v>
      </c>
      <c r="C1620">
        <v>18</v>
      </c>
      <c r="D1620">
        <v>4</v>
      </c>
      <c r="E1620">
        <v>0</v>
      </c>
      <c r="F1620">
        <f t="shared" si="25"/>
        <v>72</v>
      </c>
      <c r="G1620">
        <f>YEAR(VLOOKUP(A1620,orders!A:D,4,0))</f>
        <v>2015</v>
      </c>
      <c r="H1620">
        <f>MONTH(INDEX(orders!D:D,MATCH(A1620, orders!A:A,0)))</f>
        <v>2</v>
      </c>
      <c r="I1620" t="str">
        <f>VLOOKUP(VLOOKUP(B1620,products!A:F,6,0),categories!A:B,2,0)</f>
        <v>Beverages</v>
      </c>
      <c r="J1620" t="str">
        <f>VLOOKUP(VLOOKUP(A1620,orders!A:B,2,0),customers!A:F,6,0)</f>
        <v>UK</v>
      </c>
      <c r="K1620" t="str">
        <f>VLOOKUP(VLOOKUP(A1620,orders!A:C,3,0),employees!A:B,2,0)</f>
        <v>Margaret Peacock</v>
      </c>
    </row>
    <row r="1621" spans="1:11" x14ac:dyDescent="0.25">
      <c r="A1621">
        <v>10864</v>
      </c>
      <c r="B1621">
        <v>67</v>
      </c>
      <c r="C1621">
        <v>14</v>
      </c>
      <c r="D1621">
        <v>15</v>
      </c>
      <c r="E1621">
        <v>0</v>
      </c>
      <c r="F1621">
        <f t="shared" si="25"/>
        <v>210</v>
      </c>
      <c r="G1621">
        <f>YEAR(VLOOKUP(A1621,orders!A:D,4,0))</f>
        <v>2015</v>
      </c>
      <c r="H1621">
        <f>MONTH(INDEX(orders!D:D,MATCH(A1621, orders!A:A,0)))</f>
        <v>2</v>
      </c>
      <c r="I1621" t="str">
        <f>VLOOKUP(VLOOKUP(B1621,products!A:F,6,0),categories!A:B,2,0)</f>
        <v>Beverages</v>
      </c>
      <c r="J1621" t="str">
        <f>VLOOKUP(VLOOKUP(A1621,orders!A:B,2,0),customers!A:F,6,0)</f>
        <v>UK</v>
      </c>
      <c r="K1621" t="str">
        <f>VLOOKUP(VLOOKUP(A1621,orders!A:C,3,0),employees!A:B,2,0)</f>
        <v>Margaret Peacock</v>
      </c>
    </row>
    <row r="1622" spans="1:11" x14ac:dyDescent="0.25">
      <c r="A1622">
        <v>10865</v>
      </c>
      <c r="B1622">
        <v>38</v>
      </c>
      <c r="C1622">
        <v>263.5</v>
      </c>
      <c r="D1622">
        <v>60</v>
      </c>
      <c r="E1622">
        <v>0.05</v>
      </c>
      <c r="F1622">
        <f t="shared" si="25"/>
        <v>15019.5</v>
      </c>
      <c r="G1622">
        <f>YEAR(VLOOKUP(A1622,orders!A:D,4,0))</f>
        <v>2015</v>
      </c>
      <c r="H1622">
        <f>MONTH(INDEX(orders!D:D,MATCH(A1622, orders!A:A,0)))</f>
        <v>2</v>
      </c>
      <c r="I1622" t="str">
        <f>VLOOKUP(VLOOKUP(B1622,products!A:F,6,0),categories!A:B,2,0)</f>
        <v>Beverages</v>
      </c>
      <c r="J1622" t="str">
        <f>VLOOKUP(VLOOKUP(A1622,orders!A:B,2,0),customers!A:F,6,0)</f>
        <v>Germany</v>
      </c>
      <c r="K1622" t="str">
        <f>VLOOKUP(VLOOKUP(A1622,orders!A:C,3,0),employees!A:B,2,0)</f>
        <v>Andrew Fuller</v>
      </c>
    </row>
    <row r="1623" spans="1:11" x14ac:dyDescent="0.25">
      <c r="A1623">
        <v>10865</v>
      </c>
      <c r="B1623">
        <v>39</v>
      </c>
      <c r="C1623">
        <v>18</v>
      </c>
      <c r="D1623">
        <v>80</v>
      </c>
      <c r="E1623">
        <v>0.05</v>
      </c>
      <c r="F1623">
        <f t="shared" si="25"/>
        <v>1368</v>
      </c>
      <c r="G1623">
        <f>YEAR(VLOOKUP(A1623,orders!A:D,4,0))</f>
        <v>2015</v>
      </c>
      <c r="H1623">
        <f>MONTH(INDEX(orders!D:D,MATCH(A1623, orders!A:A,0)))</f>
        <v>2</v>
      </c>
      <c r="I1623" t="str">
        <f>VLOOKUP(VLOOKUP(B1623,products!A:F,6,0),categories!A:B,2,0)</f>
        <v>Beverages</v>
      </c>
      <c r="J1623" t="str">
        <f>VLOOKUP(VLOOKUP(A1623,orders!A:B,2,0),customers!A:F,6,0)</f>
        <v>Germany</v>
      </c>
      <c r="K1623" t="str">
        <f>VLOOKUP(VLOOKUP(A1623,orders!A:C,3,0),employees!A:B,2,0)</f>
        <v>Andrew Fuller</v>
      </c>
    </row>
    <row r="1624" spans="1:11" x14ac:dyDescent="0.25">
      <c r="A1624">
        <v>10866</v>
      </c>
      <c r="B1624">
        <v>2</v>
      </c>
      <c r="C1624">
        <v>19</v>
      </c>
      <c r="D1624">
        <v>21</v>
      </c>
      <c r="E1624">
        <v>0.25</v>
      </c>
      <c r="F1624">
        <f t="shared" si="25"/>
        <v>299.25</v>
      </c>
      <c r="G1624">
        <f>YEAR(VLOOKUP(A1624,orders!A:D,4,0))</f>
        <v>2015</v>
      </c>
      <c r="H1624">
        <f>MONTH(INDEX(orders!D:D,MATCH(A1624, orders!A:A,0)))</f>
        <v>2</v>
      </c>
      <c r="I1624" t="str">
        <f>VLOOKUP(VLOOKUP(B1624,products!A:F,6,0),categories!A:B,2,0)</f>
        <v>Beverages</v>
      </c>
      <c r="J1624" t="str">
        <f>VLOOKUP(VLOOKUP(A1624,orders!A:B,2,0),customers!A:F,6,0)</f>
        <v>Sweden</v>
      </c>
      <c r="K1624" t="str">
        <f>VLOOKUP(VLOOKUP(A1624,orders!A:C,3,0),employees!A:B,2,0)</f>
        <v>Steven Buchanan</v>
      </c>
    </row>
    <row r="1625" spans="1:11" x14ac:dyDescent="0.25">
      <c r="A1625">
        <v>10866</v>
      </c>
      <c r="B1625">
        <v>24</v>
      </c>
      <c r="C1625">
        <v>4.5</v>
      </c>
      <c r="D1625">
        <v>6</v>
      </c>
      <c r="E1625">
        <v>0.25</v>
      </c>
      <c r="F1625">
        <f t="shared" si="25"/>
        <v>20.25</v>
      </c>
      <c r="G1625">
        <f>YEAR(VLOOKUP(A1625,orders!A:D,4,0))</f>
        <v>2015</v>
      </c>
      <c r="H1625">
        <f>MONTH(INDEX(orders!D:D,MATCH(A1625, orders!A:A,0)))</f>
        <v>2</v>
      </c>
      <c r="I1625" t="str">
        <f>VLOOKUP(VLOOKUP(B1625,products!A:F,6,0),categories!A:B,2,0)</f>
        <v>Beverages</v>
      </c>
      <c r="J1625" t="str">
        <f>VLOOKUP(VLOOKUP(A1625,orders!A:B,2,0),customers!A:F,6,0)</f>
        <v>Sweden</v>
      </c>
      <c r="K1625" t="str">
        <f>VLOOKUP(VLOOKUP(A1625,orders!A:C,3,0),employees!A:B,2,0)</f>
        <v>Steven Buchanan</v>
      </c>
    </row>
    <row r="1626" spans="1:11" x14ac:dyDescent="0.25">
      <c r="A1626">
        <v>10866</v>
      </c>
      <c r="B1626">
        <v>30</v>
      </c>
      <c r="C1626">
        <v>25.89</v>
      </c>
      <c r="D1626">
        <v>40</v>
      </c>
      <c r="E1626">
        <v>0.25</v>
      </c>
      <c r="F1626">
        <f t="shared" si="25"/>
        <v>776.69999999999993</v>
      </c>
      <c r="G1626">
        <f>YEAR(VLOOKUP(A1626,orders!A:D,4,0))</f>
        <v>2015</v>
      </c>
      <c r="H1626">
        <f>MONTH(INDEX(orders!D:D,MATCH(A1626, orders!A:A,0)))</f>
        <v>2</v>
      </c>
      <c r="I1626" t="str">
        <f>VLOOKUP(VLOOKUP(B1626,products!A:F,6,0),categories!A:B,2,0)</f>
        <v>Seafood</v>
      </c>
      <c r="J1626" t="str">
        <f>VLOOKUP(VLOOKUP(A1626,orders!A:B,2,0),customers!A:F,6,0)</f>
        <v>Sweden</v>
      </c>
      <c r="K1626" t="str">
        <f>VLOOKUP(VLOOKUP(A1626,orders!A:C,3,0),employees!A:B,2,0)</f>
        <v>Steven Buchanan</v>
      </c>
    </row>
    <row r="1627" spans="1:11" x14ac:dyDescent="0.25">
      <c r="A1627">
        <v>10867</v>
      </c>
      <c r="B1627">
        <v>53</v>
      </c>
      <c r="C1627">
        <v>32.799999999999997</v>
      </c>
      <c r="D1627">
        <v>3</v>
      </c>
      <c r="E1627">
        <v>0</v>
      </c>
      <c r="F1627">
        <f t="shared" si="25"/>
        <v>98.399999999999991</v>
      </c>
      <c r="G1627">
        <f>YEAR(VLOOKUP(A1627,orders!A:D,4,0))</f>
        <v>2015</v>
      </c>
      <c r="H1627">
        <f>MONTH(INDEX(orders!D:D,MATCH(A1627, orders!A:A,0)))</f>
        <v>2</v>
      </c>
      <c r="I1627" t="str">
        <f>VLOOKUP(VLOOKUP(B1627,products!A:F,6,0),categories!A:B,2,0)</f>
        <v>Meat &amp; Poultry</v>
      </c>
      <c r="J1627" t="str">
        <f>VLOOKUP(VLOOKUP(A1627,orders!A:B,2,0),customers!A:F,6,0)</f>
        <v>USA</v>
      </c>
      <c r="K1627" t="str">
        <f>VLOOKUP(VLOOKUP(A1627,orders!A:C,3,0),employees!A:B,2,0)</f>
        <v>Michael Suyama</v>
      </c>
    </row>
    <row r="1628" spans="1:11" x14ac:dyDescent="0.25">
      <c r="A1628">
        <v>10868</v>
      </c>
      <c r="B1628">
        <v>26</v>
      </c>
      <c r="C1628">
        <v>31.23</v>
      </c>
      <c r="D1628">
        <v>20</v>
      </c>
      <c r="E1628">
        <v>0</v>
      </c>
      <c r="F1628">
        <f t="shared" si="25"/>
        <v>624.6</v>
      </c>
      <c r="G1628">
        <f>YEAR(VLOOKUP(A1628,orders!A:D,4,0))</f>
        <v>2015</v>
      </c>
      <c r="H1628">
        <f>MONTH(INDEX(orders!D:D,MATCH(A1628, orders!A:A,0)))</f>
        <v>2</v>
      </c>
      <c r="I1628" t="str">
        <f>VLOOKUP(VLOOKUP(B1628,products!A:F,6,0),categories!A:B,2,0)</f>
        <v>Confections</v>
      </c>
      <c r="J1628" t="str">
        <f>VLOOKUP(VLOOKUP(A1628,orders!A:B,2,0),customers!A:F,6,0)</f>
        <v>Brazil</v>
      </c>
      <c r="K1628" t="str">
        <f>VLOOKUP(VLOOKUP(A1628,orders!A:C,3,0),employees!A:B,2,0)</f>
        <v>Robert King</v>
      </c>
    </row>
    <row r="1629" spans="1:11" x14ac:dyDescent="0.25">
      <c r="A1629">
        <v>10868</v>
      </c>
      <c r="B1629">
        <v>35</v>
      </c>
      <c r="C1629">
        <v>18</v>
      </c>
      <c r="D1629">
        <v>30</v>
      </c>
      <c r="E1629">
        <v>0</v>
      </c>
      <c r="F1629">
        <f t="shared" si="25"/>
        <v>540</v>
      </c>
      <c r="G1629">
        <f>YEAR(VLOOKUP(A1629,orders!A:D,4,0))</f>
        <v>2015</v>
      </c>
      <c r="H1629">
        <f>MONTH(INDEX(orders!D:D,MATCH(A1629, orders!A:A,0)))</f>
        <v>2</v>
      </c>
      <c r="I1629" t="str">
        <f>VLOOKUP(VLOOKUP(B1629,products!A:F,6,0),categories!A:B,2,0)</f>
        <v>Beverages</v>
      </c>
      <c r="J1629" t="str">
        <f>VLOOKUP(VLOOKUP(A1629,orders!A:B,2,0),customers!A:F,6,0)</f>
        <v>Brazil</v>
      </c>
      <c r="K1629" t="str">
        <f>VLOOKUP(VLOOKUP(A1629,orders!A:C,3,0),employees!A:B,2,0)</f>
        <v>Robert King</v>
      </c>
    </row>
    <row r="1630" spans="1:11" x14ac:dyDescent="0.25">
      <c r="A1630">
        <v>10868</v>
      </c>
      <c r="B1630">
        <v>49</v>
      </c>
      <c r="C1630">
        <v>20</v>
      </c>
      <c r="D1630">
        <v>42</v>
      </c>
      <c r="E1630">
        <v>0.1</v>
      </c>
      <c r="F1630">
        <f t="shared" si="25"/>
        <v>756</v>
      </c>
      <c r="G1630">
        <f>YEAR(VLOOKUP(A1630,orders!A:D,4,0))</f>
        <v>2015</v>
      </c>
      <c r="H1630">
        <f>MONTH(INDEX(orders!D:D,MATCH(A1630, orders!A:A,0)))</f>
        <v>2</v>
      </c>
      <c r="I1630" t="str">
        <f>VLOOKUP(VLOOKUP(B1630,products!A:F,6,0),categories!A:B,2,0)</f>
        <v>Confections</v>
      </c>
      <c r="J1630" t="str">
        <f>VLOOKUP(VLOOKUP(A1630,orders!A:B,2,0),customers!A:F,6,0)</f>
        <v>Brazil</v>
      </c>
      <c r="K1630" t="str">
        <f>VLOOKUP(VLOOKUP(A1630,orders!A:C,3,0),employees!A:B,2,0)</f>
        <v>Robert King</v>
      </c>
    </row>
    <row r="1631" spans="1:11" x14ac:dyDescent="0.25">
      <c r="A1631">
        <v>10869</v>
      </c>
      <c r="B1631">
        <v>1</v>
      </c>
      <c r="C1631">
        <v>18</v>
      </c>
      <c r="D1631">
        <v>40</v>
      </c>
      <c r="E1631">
        <v>0</v>
      </c>
      <c r="F1631">
        <f t="shared" si="25"/>
        <v>720</v>
      </c>
      <c r="G1631">
        <f>YEAR(VLOOKUP(A1631,orders!A:D,4,0))</f>
        <v>2015</v>
      </c>
      <c r="H1631">
        <f>MONTH(INDEX(orders!D:D,MATCH(A1631, orders!A:A,0)))</f>
        <v>2</v>
      </c>
      <c r="I1631" t="str">
        <f>VLOOKUP(VLOOKUP(B1631,products!A:F,6,0),categories!A:B,2,0)</f>
        <v>Beverages</v>
      </c>
      <c r="J1631" t="str">
        <f>VLOOKUP(VLOOKUP(A1631,orders!A:B,2,0),customers!A:F,6,0)</f>
        <v>UK</v>
      </c>
      <c r="K1631" t="str">
        <f>VLOOKUP(VLOOKUP(A1631,orders!A:C,3,0),employees!A:B,2,0)</f>
        <v>Steven Buchanan</v>
      </c>
    </row>
    <row r="1632" spans="1:11" x14ac:dyDescent="0.25">
      <c r="A1632">
        <v>10869</v>
      </c>
      <c r="B1632">
        <v>11</v>
      </c>
      <c r="C1632">
        <v>21</v>
      </c>
      <c r="D1632">
        <v>10</v>
      </c>
      <c r="E1632">
        <v>0</v>
      </c>
      <c r="F1632">
        <f t="shared" si="25"/>
        <v>210</v>
      </c>
      <c r="G1632">
        <f>YEAR(VLOOKUP(A1632,orders!A:D,4,0))</f>
        <v>2015</v>
      </c>
      <c r="H1632">
        <f>MONTH(INDEX(orders!D:D,MATCH(A1632, orders!A:A,0)))</f>
        <v>2</v>
      </c>
      <c r="I1632" t="str">
        <f>VLOOKUP(VLOOKUP(B1632,products!A:F,6,0),categories!A:B,2,0)</f>
        <v>Dairy Products</v>
      </c>
      <c r="J1632" t="str">
        <f>VLOOKUP(VLOOKUP(A1632,orders!A:B,2,0),customers!A:F,6,0)</f>
        <v>UK</v>
      </c>
      <c r="K1632" t="str">
        <f>VLOOKUP(VLOOKUP(A1632,orders!A:C,3,0),employees!A:B,2,0)</f>
        <v>Steven Buchanan</v>
      </c>
    </row>
    <row r="1633" spans="1:11" x14ac:dyDescent="0.25">
      <c r="A1633">
        <v>10869</v>
      </c>
      <c r="B1633">
        <v>23</v>
      </c>
      <c r="C1633">
        <v>9</v>
      </c>
      <c r="D1633">
        <v>50</v>
      </c>
      <c r="E1633">
        <v>0</v>
      </c>
      <c r="F1633">
        <f t="shared" si="25"/>
        <v>450</v>
      </c>
      <c r="G1633">
        <f>YEAR(VLOOKUP(A1633,orders!A:D,4,0))</f>
        <v>2015</v>
      </c>
      <c r="H1633">
        <f>MONTH(INDEX(orders!D:D,MATCH(A1633, orders!A:A,0)))</f>
        <v>2</v>
      </c>
      <c r="I1633" t="str">
        <f>VLOOKUP(VLOOKUP(B1633,products!A:F,6,0),categories!A:B,2,0)</f>
        <v>Grains &amp; Cereals</v>
      </c>
      <c r="J1633" t="str">
        <f>VLOOKUP(VLOOKUP(A1633,orders!A:B,2,0),customers!A:F,6,0)</f>
        <v>UK</v>
      </c>
      <c r="K1633" t="str">
        <f>VLOOKUP(VLOOKUP(A1633,orders!A:C,3,0),employees!A:B,2,0)</f>
        <v>Steven Buchanan</v>
      </c>
    </row>
    <row r="1634" spans="1:11" x14ac:dyDescent="0.25">
      <c r="A1634">
        <v>10869</v>
      </c>
      <c r="B1634">
        <v>68</v>
      </c>
      <c r="C1634">
        <v>12.5</v>
      </c>
      <c r="D1634">
        <v>20</v>
      </c>
      <c r="E1634">
        <v>0</v>
      </c>
      <c r="F1634">
        <f t="shared" si="25"/>
        <v>250</v>
      </c>
      <c r="G1634">
        <f>YEAR(VLOOKUP(A1634,orders!A:D,4,0))</f>
        <v>2015</v>
      </c>
      <c r="H1634">
        <f>MONTH(INDEX(orders!D:D,MATCH(A1634, orders!A:A,0)))</f>
        <v>2</v>
      </c>
      <c r="I1634" t="str">
        <f>VLOOKUP(VLOOKUP(B1634,products!A:F,6,0),categories!A:B,2,0)</f>
        <v>Confections</v>
      </c>
      <c r="J1634" t="str">
        <f>VLOOKUP(VLOOKUP(A1634,orders!A:B,2,0),customers!A:F,6,0)</f>
        <v>UK</v>
      </c>
      <c r="K1634" t="str">
        <f>VLOOKUP(VLOOKUP(A1634,orders!A:C,3,0),employees!A:B,2,0)</f>
        <v>Steven Buchanan</v>
      </c>
    </row>
    <row r="1635" spans="1:11" x14ac:dyDescent="0.25">
      <c r="A1635">
        <v>10870</v>
      </c>
      <c r="B1635">
        <v>35</v>
      </c>
      <c r="C1635">
        <v>18</v>
      </c>
      <c r="D1635">
        <v>3</v>
      </c>
      <c r="E1635">
        <v>0</v>
      </c>
      <c r="F1635">
        <f t="shared" si="25"/>
        <v>54</v>
      </c>
      <c r="G1635">
        <f>YEAR(VLOOKUP(A1635,orders!A:D,4,0))</f>
        <v>2015</v>
      </c>
      <c r="H1635">
        <f>MONTH(INDEX(orders!D:D,MATCH(A1635, orders!A:A,0)))</f>
        <v>2</v>
      </c>
      <c r="I1635" t="str">
        <f>VLOOKUP(VLOOKUP(B1635,products!A:F,6,0),categories!A:B,2,0)</f>
        <v>Beverages</v>
      </c>
      <c r="J1635" t="str">
        <f>VLOOKUP(VLOOKUP(A1635,orders!A:B,2,0),customers!A:F,6,0)</f>
        <v>Poland</v>
      </c>
      <c r="K1635" t="str">
        <f>VLOOKUP(VLOOKUP(A1635,orders!A:C,3,0),employees!A:B,2,0)</f>
        <v>Steven Buchanan</v>
      </c>
    </row>
    <row r="1636" spans="1:11" x14ac:dyDescent="0.25">
      <c r="A1636">
        <v>10870</v>
      </c>
      <c r="B1636">
        <v>51</v>
      </c>
      <c r="C1636">
        <v>53</v>
      </c>
      <c r="D1636">
        <v>2</v>
      </c>
      <c r="E1636">
        <v>0</v>
      </c>
      <c r="F1636">
        <f t="shared" si="25"/>
        <v>106</v>
      </c>
      <c r="G1636">
        <f>YEAR(VLOOKUP(A1636,orders!A:D,4,0))</f>
        <v>2015</v>
      </c>
      <c r="H1636">
        <f>MONTH(INDEX(orders!D:D,MATCH(A1636, orders!A:A,0)))</f>
        <v>2</v>
      </c>
      <c r="I1636" t="str">
        <f>VLOOKUP(VLOOKUP(B1636,products!A:F,6,0),categories!A:B,2,0)</f>
        <v>Produce</v>
      </c>
      <c r="J1636" t="str">
        <f>VLOOKUP(VLOOKUP(A1636,orders!A:B,2,0),customers!A:F,6,0)</f>
        <v>Poland</v>
      </c>
      <c r="K1636" t="str">
        <f>VLOOKUP(VLOOKUP(A1636,orders!A:C,3,0),employees!A:B,2,0)</f>
        <v>Steven Buchanan</v>
      </c>
    </row>
    <row r="1637" spans="1:11" x14ac:dyDescent="0.25">
      <c r="A1637">
        <v>10871</v>
      </c>
      <c r="B1637">
        <v>6</v>
      </c>
      <c r="C1637">
        <v>25</v>
      </c>
      <c r="D1637">
        <v>50</v>
      </c>
      <c r="E1637">
        <v>0.05</v>
      </c>
      <c r="F1637">
        <f t="shared" si="25"/>
        <v>1187.5</v>
      </c>
      <c r="G1637">
        <f>YEAR(VLOOKUP(A1637,orders!A:D,4,0))</f>
        <v>2015</v>
      </c>
      <c r="H1637">
        <f>MONTH(INDEX(orders!D:D,MATCH(A1637, orders!A:A,0)))</f>
        <v>2</v>
      </c>
      <c r="I1637" t="str">
        <f>VLOOKUP(VLOOKUP(B1637,products!A:F,6,0),categories!A:B,2,0)</f>
        <v>Condiments</v>
      </c>
      <c r="J1637" t="str">
        <f>VLOOKUP(VLOOKUP(A1637,orders!A:B,2,0),customers!A:F,6,0)</f>
        <v>France</v>
      </c>
      <c r="K1637" t="str">
        <f>VLOOKUP(VLOOKUP(A1637,orders!A:C,3,0),employees!A:B,2,0)</f>
        <v>Anne Dodsworth</v>
      </c>
    </row>
    <row r="1638" spans="1:11" x14ac:dyDescent="0.25">
      <c r="A1638">
        <v>10871</v>
      </c>
      <c r="B1638">
        <v>16</v>
      </c>
      <c r="C1638">
        <v>17.45</v>
      </c>
      <c r="D1638">
        <v>12</v>
      </c>
      <c r="E1638">
        <v>0.05</v>
      </c>
      <c r="F1638">
        <f t="shared" si="25"/>
        <v>198.92999999999998</v>
      </c>
      <c r="G1638">
        <f>YEAR(VLOOKUP(A1638,orders!A:D,4,0))</f>
        <v>2015</v>
      </c>
      <c r="H1638">
        <f>MONTH(INDEX(orders!D:D,MATCH(A1638, orders!A:A,0)))</f>
        <v>2</v>
      </c>
      <c r="I1638" t="str">
        <f>VLOOKUP(VLOOKUP(B1638,products!A:F,6,0),categories!A:B,2,0)</f>
        <v>Confections</v>
      </c>
      <c r="J1638" t="str">
        <f>VLOOKUP(VLOOKUP(A1638,orders!A:B,2,0),customers!A:F,6,0)</f>
        <v>France</v>
      </c>
      <c r="K1638" t="str">
        <f>VLOOKUP(VLOOKUP(A1638,orders!A:C,3,0),employees!A:B,2,0)</f>
        <v>Anne Dodsworth</v>
      </c>
    </row>
    <row r="1639" spans="1:11" x14ac:dyDescent="0.25">
      <c r="A1639">
        <v>10871</v>
      </c>
      <c r="B1639">
        <v>17</v>
      </c>
      <c r="C1639">
        <v>39</v>
      </c>
      <c r="D1639">
        <v>16</v>
      </c>
      <c r="E1639">
        <v>0.05</v>
      </c>
      <c r="F1639">
        <f t="shared" si="25"/>
        <v>592.79999999999995</v>
      </c>
      <c r="G1639">
        <f>YEAR(VLOOKUP(A1639,orders!A:D,4,0))</f>
        <v>2015</v>
      </c>
      <c r="H1639">
        <f>MONTH(INDEX(orders!D:D,MATCH(A1639, orders!A:A,0)))</f>
        <v>2</v>
      </c>
      <c r="I1639" t="str">
        <f>VLOOKUP(VLOOKUP(B1639,products!A:F,6,0),categories!A:B,2,0)</f>
        <v>Meat &amp; Poultry</v>
      </c>
      <c r="J1639" t="str">
        <f>VLOOKUP(VLOOKUP(A1639,orders!A:B,2,0),customers!A:F,6,0)</f>
        <v>France</v>
      </c>
      <c r="K1639" t="str">
        <f>VLOOKUP(VLOOKUP(A1639,orders!A:C,3,0),employees!A:B,2,0)</f>
        <v>Anne Dodsworth</v>
      </c>
    </row>
    <row r="1640" spans="1:11" x14ac:dyDescent="0.25">
      <c r="A1640">
        <v>10872</v>
      </c>
      <c r="B1640">
        <v>55</v>
      </c>
      <c r="C1640">
        <v>24</v>
      </c>
      <c r="D1640">
        <v>10</v>
      </c>
      <c r="E1640">
        <v>0.05</v>
      </c>
      <c r="F1640">
        <f t="shared" si="25"/>
        <v>228</v>
      </c>
      <c r="G1640">
        <f>YEAR(VLOOKUP(A1640,orders!A:D,4,0))</f>
        <v>2015</v>
      </c>
      <c r="H1640">
        <f>MONTH(INDEX(orders!D:D,MATCH(A1640, orders!A:A,0)))</f>
        <v>2</v>
      </c>
      <c r="I1640" t="str">
        <f>VLOOKUP(VLOOKUP(B1640,products!A:F,6,0),categories!A:B,2,0)</f>
        <v>Meat &amp; Poultry</v>
      </c>
      <c r="J1640" t="str">
        <f>VLOOKUP(VLOOKUP(A1640,orders!A:B,2,0),customers!A:F,6,0)</f>
        <v>Spain</v>
      </c>
      <c r="K1640" t="str">
        <f>VLOOKUP(VLOOKUP(A1640,orders!A:C,3,0),employees!A:B,2,0)</f>
        <v>Steven Buchanan</v>
      </c>
    </row>
    <row r="1641" spans="1:11" x14ac:dyDescent="0.25">
      <c r="A1641">
        <v>10872</v>
      </c>
      <c r="B1641">
        <v>62</v>
      </c>
      <c r="C1641">
        <v>49.3</v>
      </c>
      <c r="D1641">
        <v>20</v>
      </c>
      <c r="E1641">
        <v>0.05</v>
      </c>
      <c r="F1641">
        <f t="shared" si="25"/>
        <v>936.69999999999993</v>
      </c>
      <c r="G1641">
        <f>YEAR(VLOOKUP(A1641,orders!A:D,4,0))</f>
        <v>2015</v>
      </c>
      <c r="H1641">
        <f>MONTH(INDEX(orders!D:D,MATCH(A1641, orders!A:A,0)))</f>
        <v>2</v>
      </c>
      <c r="I1641" t="str">
        <f>VLOOKUP(VLOOKUP(B1641,products!A:F,6,0),categories!A:B,2,0)</f>
        <v>Confections</v>
      </c>
      <c r="J1641" t="str">
        <f>VLOOKUP(VLOOKUP(A1641,orders!A:B,2,0),customers!A:F,6,0)</f>
        <v>Spain</v>
      </c>
      <c r="K1641" t="str">
        <f>VLOOKUP(VLOOKUP(A1641,orders!A:C,3,0),employees!A:B,2,0)</f>
        <v>Steven Buchanan</v>
      </c>
    </row>
    <row r="1642" spans="1:11" x14ac:dyDescent="0.25">
      <c r="A1642">
        <v>10872</v>
      </c>
      <c r="B1642">
        <v>64</v>
      </c>
      <c r="C1642">
        <v>33.25</v>
      </c>
      <c r="D1642">
        <v>15</v>
      </c>
      <c r="E1642">
        <v>0.05</v>
      </c>
      <c r="F1642">
        <f t="shared" si="25"/>
        <v>473.8125</v>
      </c>
      <c r="G1642">
        <f>YEAR(VLOOKUP(A1642,orders!A:D,4,0))</f>
        <v>2015</v>
      </c>
      <c r="H1642">
        <f>MONTH(INDEX(orders!D:D,MATCH(A1642, orders!A:A,0)))</f>
        <v>2</v>
      </c>
      <c r="I1642" t="str">
        <f>VLOOKUP(VLOOKUP(B1642,products!A:F,6,0),categories!A:B,2,0)</f>
        <v>Grains &amp; Cereals</v>
      </c>
      <c r="J1642" t="str">
        <f>VLOOKUP(VLOOKUP(A1642,orders!A:B,2,0),customers!A:F,6,0)</f>
        <v>Spain</v>
      </c>
      <c r="K1642" t="str">
        <f>VLOOKUP(VLOOKUP(A1642,orders!A:C,3,0),employees!A:B,2,0)</f>
        <v>Steven Buchanan</v>
      </c>
    </row>
    <row r="1643" spans="1:11" x14ac:dyDescent="0.25">
      <c r="A1643">
        <v>10872</v>
      </c>
      <c r="B1643">
        <v>65</v>
      </c>
      <c r="C1643">
        <v>21.05</v>
      </c>
      <c r="D1643">
        <v>21</v>
      </c>
      <c r="E1643">
        <v>0.05</v>
      </c>
      <c r="F1643">
        <f t="shared" si="25"/>
        <v>419.94749999999999</v>
      </c>
      <c r="G1643">
        <f>YEAR(VLOOKUP(A1643,orders!A:D,4,0))</f>
        <v>2015</v>
      </c>
      <c r="H1643">
        <f>MONTH(INDEX(orders!D:D,MATCH(A1643, orders!A:A,0)))</f>
        <v>2</v>
      </c>
      <c r="I1643" t="str">
        <f>VLOOKUP(VLOOKUP(B1643,products!A:F,6,0),categories!A:B,2,0)</f>
        <v>Condiments</v>
      </c>
      <c r="J1643" t="str">
        <f>VLOOKUP(VLOOKUP(A1643,orders!A:B,2,0),customers!A:F,6,0)</f>
        <v>Spain</v>
      </c>
      <c r="K1643" t="str">
        <f>VLOOKUP(VLOOKUP(A1643,orders!A:C,3,0),employees!A:B,2,0)</f>
        <v>Steven Buchanan</v>
      </c>
    </row>
    <row r="1644" spans="1:11" x14ac:dyDescent="0.25">
      <c r="A1644">
        <v>10873</v>
      </c>
      <c r="B1644">
        <v>21</v>
      </c>
      <c r="C1644">
        <v>10</v>
      </c>
      <c r="D1644">
        <v>20</v>
      </c>
      <c r="E1644">
        <v>0</v>
      </c>
      <c r="F1644">
        <f t="shared" si="25"/>
        <v>200</v>
      </c>
      <c r="G1644">
        <f>YEAR(VLOOKUP(A1644,orders!A:D,4,0))</f>
        <v>2015</v>
      </c>
      <c r="H1644">
        <f>MONTH(INDEX(orders!D:D,MATCH(A1644, orders!A:A,0)))</f>
        <v>2</v>
      </c>
      <c r="I1644" t="str">
        <f>VLOOKUP(VLOOKUP(B1644,products!A:F,6,0),categories!A:B,2,0)</f>
        <v>Confections</v>
      </c>
      <c r="J1644" t="str">
        <f>VLOOKUP(VLOOKUP(A1644,orders!A:B,2,0),customers!A:F,6,0)</f>
        <v>Finland</v>
      </c>
      <c r="K1644" t="str">
        <f>VLOOKUP(VLOOKUP(A1644,orders!A:C,3,0),employees!A:B,2,0)</f>
        <v>Margaret Peacock</v>
      </c>
    </row>
    <row r="1645" spans="1:11" x14ac:dyDescent="0.25">
      <c r="A1645">
        <v>10873</v>
      </c>
      <c r="B1645">
        <v>28</v>
      </c>
      <c r="C1645">
        <v>45.6</v>
      </c>
      <c r="D1645">
        <v>3</v>
      </c>
      <c r="E1645">
        <v>0</v>
      </c>
      <c r="F1645">
        <f t="shared" si="25"/>
        <v>136.80000000000001</v>
      </c>
      <c r="G1645">
        <f>YEAR(VLOOKUP(A1645,orders!A:D,4,0))</f>
        <v>2015</v>
      </c>
      <c r="H1645">
        <f>MONTH(INDEX(orders!D:D,MATCH(A1645, orders!A:A,0)))</f>
        <v>2</v>
      </c>
      <c r="I1645" t="str">
        <f>VLOOKUP(VLOOKUP(B1645,products!A:F,6,0),categories!A:B,2,0)</f>
        <v>Produce</v>
      </c>
      <c r="J1645" t="str">
        <f>VLOOKUP(VLOOKUP(A1645,orders!A:B,2,0),customers!A:F,6,0)</f>
        <v>Finland</v>
      </c>
      <c r="K1645" t="str">
        <f>VLOOKUP(VLOOKUP(A1645,orders!A:C,3,0),employees!A:B,2,0)</f>
        <v>Margaret Peacock</v>
      </c>
    </row>
    <row r="1646" spans="1:11" x14ac:dyDescent="0.25">
      <c r="A1646">
        <v>10874</v>
      </c>
      <c r="B1646">
        <v>10</v>
      </c>
      <c r="C1646">
        <v>31</v>
      </c>
      <c r="D1646">
        <v>10</v>
      </c>
      <c r="E1646">
        <v>0</v>
      </c>
      <c r="F1646">
        <f t="shared" si="25"/>
        <v>310</v>
      </c>
      <c r="G1646">
        <f>YEAR(VLOOKUP(A1646,orders!A:D,4,0))</f>
        <v>2015</v>
      </c>
      <c r="H1646">
        <f>MONTH(INDEX(orders!D:D,MATCH(A1646, orders!A:A,0)))</f>
        <v>2</v>
      </c>
      <c r="I1646" t="str">
        <f>VLOOKUP(VLOOKUP(B1646,products!A:F,6,0),categories!A:B,2,0)</f>
        <v>Seafood</v>
      </c>
      <c r="J1646" t="str">
        <f>VLOOKUP(VLOOKUP(A1646,orders!A:B,2,0),customers!A:F,6,0)</f>
        <v>Spain</v>
      </c>
      <c r="K1646" t="str">
        <f>VLOOKUP(VLOOKUP(A1646,orders!A:C,3,0),employees!A:B,2,0)</f>
        <v>Steven Buchanan</v>
      </c>
    </row>
    <row r="1647" spans="1:11" x14ac:dyDescent="0.25">
      <c r="A1647">
        <v>10875</v>
      </c>
      <c r="B1647">
        <v>19</v>
      </c>
      <c r="C1647">
        <v>9.1999999999999993</v>
      </c>
      <c r="D1647">
        <v>25</v>
      </c>
      <c r="E1647">
        <v>0</v>
      </c>
      <c r="F1647">
        <f t="shared" si="25"/>
        <v>229.99999999999997</v>
      </c>
      <c r="G1647">
        <f>YEAR(VLOOKUP(A1647,orders!A:D,4,0))</f>
        <v>2015</v>
      </c>
      <c r="H1647">
        <f>MONTH(INDEX(orders!D:D,MATCH(A1647, orders!A:A,0)))</f>
        <v>2</v>
      </c>
      <c r="I1647" t="str">
        <f>VLOOKUP(VLOOKUP(B1647,products!A:F,6,0),categories!A:B,2,0)</f>
        <v>Confections</v>
      </c>
      <c r="J1647" t="str">
        <f>VLOOKUP(VLOOKUP(A1647,orders!A:B,2,0),customers!A:F,6,0)</f>
        <v>Sweden</v>
      </c>
      <c r="K1647" t="str">
        <f>VLOOKUP(VLOOKUP(A1647,orders!A:C,3,0),employees!A:B,2,0)</f>
        <v>Margaret Peacock</v>
      </c>
    </row>
    <row r="1648" spans="1:11" x14ac:dyDescent="0.25">
      <c r="A1648">
        <v>10875</v>
      </c>
      <c r="B1648">
        <v>47</v>
      </c>
      <c r="C1648">
        <v>9.5</v>
      </c>
      <c r="D1648">
        <v>21</v>
      </c>
      <c r="E1648">
        <v>0.1</v>
      </c>
      <c r="F1648">
        <f t="shared" si="25"/>
        <v>179.55</v>
      </c>
      <c r="G1648">
        <f>YEAR(VLOOKUP(A1648,orders!A:D,4,0))</f>
        <v>2015</v>
      </c>
      <c r="H1648">
        <f>MONTH(INDEX(orders!D:D,MATCH(A1648, orders!A:A,0)))</f>
        <v>2</v>
      </c>
      <c r="I1648" t="str">
        <f>VLOOKUP(VLOOKUP(B1648,products!A:F,6,0),categories!A:B,2,0)</f>
        <v>Confections</v>
      </c>
      <c r="J1648" t="str">
        <f>VLOOKUP(VLOOKUP(A1648,orders!A:B,2,0),customers!A:F,6,0)</f>
        <v>Sweden</v>
      </c>
      <c r="K1648" t="str">
        <f>VLOOKUP(VLOOKUP(A1648,orders!A:C,3,0),employees!A:B,2,0)</f>
        <v>Margaret Peacock</v>
      </c>
    </row>
    <row r="1649" spans="1:11" x14ac:dyDescent="0.25">
      <c r="A1649">
        <v>10875</v>
      </c>
      <c r="B1649">
        <v>49</v>
      </c>
      <c r="C1649">
        <v>20</v>
      </c>
      <c r="D1649">
        <v>15</v>
      </c>
      <c r="E1649">
        <v>0</v>
      </c>
      <c r="F1649">
        <f t="shared" si="25"/>
        <v>300</v>
      </c>
      <c r="G1649">
        <f>YEAR(VLOOKUP(A1649,orders!A:D,4,0))</f>
        <v>2015</v>
      </c>
      <c r="H1649">
        <f>MONTH(INDEX(orders!D:D,MATCH(A1649, orders!A:A,0)))</f>
        <v>2</v>
      </c>
      <c r="I1649" t="str">
        <f>VLOOKUP(VLOOKUP(B1649,products!A:F,6,0),categories!A:B,2,0)</f>
        <v>Confections</v>
      </c>
      <c r="J1649" t="str">
        <f>VLOOKUP(VLOOKUP(A1649,orders!A:B,2,0),customers!A:F,6,0)</f>
        <v>Sweden</v>
      </c>
      <c r="K1649" t="str">
        <f>VLOOKUP(VLOOKUP(A1649,orders!A:C,3,0),employees!A:B,2,0)</f>
        <v>Margaret Peacock</v>
      </c>
    </row>
    <row r="1650" spans="1:11" x14ac:dyDescent="0.25">
      <c r="A1650">
        <v>10876</v>
      </c>
      <c r="B1650">
        <v>46</v>
      </c>
      <c r="C1650">
        <v>12</v>
      </c>
      <c r="D1650">
        <v>21</v>
      </c>
      <c r="E1650">
        <v>0</v>
      </c>
      <c r="F1650">
        <f t="shared" si="25"/>
        <v>252</v>
      </c>
      <c r="G1650">
        <f>YEAR(VLOOKUP(A1650,orders!A:D,4,0))</f>
        <v>2015</v>
      </c>
      <c r="H1650">
        <f>MONTH(INDEX(orders!D:D,MATCH(A1650, orders!A:A,0)))</f>
        <v>2</v>
      </c>
      <c r="I1650" t="str">
        <f>VLOOKUP(VLOOKUP(B1650,products!A:F,6,0),categories!A:B,2,0)</f>
        <v>Seafood</v>
      </c>
      <c r="J1650" t="str">
        <f>VLOOKUP(VLOOKUP(A1650,orders!A:B,2,0),customers!A:F,6,0)</f>
        <v>France</v>
      </c>
      <c r="K1650" t="str">
        <f>VLOOKUP(VLOOKUP(A1650,orders!A:C,3,0),employees!A:B,2,0)</f>
        <v>Robert King</v>
      </c>
    </row>
    <row r="1651" spans="1:11" x14ac:dyDescent="0.25">
      <c r="A1651">
        <v>10876</v>
      </c>
      <c r="B1651">
        <v>64</v>
      </c>
      <c r="C1651">
        <v>33.25</v>
      </c>
      <c r="D1651">
        <v>20</v>
      </c>
      <c r="E1651">
        <v>0</v>
      </c>
      <c r="F1651">
        <f t="shared" si="25"/>
        <v>665</v>
      </c>
      <c r="G1651">
        <f>YEAR(VLOOKUP(A1651,orders!A:D,4,0))</f>
        <v>2015</v>
      </c>
      <c r="H1651">
        <f>MONTH(INDEX(orders!D:D,MATCH(A1651, orders!A:A,0)))</f>
        <v>2</v>
      </c>
      <c r="I1651" t="str">
        <f>VLOOKUP(VLOOKUP(B1651,products!A:F,6,0),categories!A:B,2,0)</f>
        <v>Grains &amp; Cereals</v>
      </c>
      <c r="J1651" t="str">
        <f>VLOOKUP(VLOOKUP(A1651,orders!A:B,2,0),customers!A:F,6,0)</f>
        <v>France</v>
      </c>
      <c r="K1651" t="str">
        <f>VLOOKUP(VLOOKUP(A1651,orders!A:C,3,0),employees!A:B,2,0)</f>
        <v>Robert King</v>
      </c>
    </row>
    <row r="1652" spans="1:11" x14ac:dyDescent="0.25">
      <c r="A1652">
        <v>10877</v>
      </c>
      <c r="B1652">
        <v>16</v>
      </c>
      <c r="C1652">
        <v>17.45</v>
      </c>
      <c r="D1652">
        <v>30</v>
      </c>
      <c r="E1652">
        <v>0.25</v>
      </c>
      <c r="F1652">
        <f t="shared" si="25"/>
        <v>392.625</v>
      </c>
      <c r="G1652">
        <f>YEAR(VLOOKUP(A1652,orders!A:D,4,0))</f>
        <v>2015</v>
      </c>
      <c r="H1652">
        <f>MONTH(INDEX(orders!D:D,MATCH(A1652, orders!A:A,0)))</f>
        <v>2</v>
      </c>
      <c r="I1652" t="str">
        <f>VLOOKUP(VLOOKUP(B1652,products!A:F,6,0),categories!A:B,2,0)</f>
        <v>Confections</v>
      </c>
      <c r="J1652" t="str">
        <f>VLOOKUP(VLOOKUP(A1652,orders!A:B,2,0),customers!A:F,6,0)</f>
        <v>Brazil</v>
      </c>
      <c r="K1652" t="str">
        <f>VLOOKUP(VLOOKUP(A1652,orders!A:C,3,0),employees!A:B,2,0)</f>
        <v>Nancy Davolio</v>
      </c>
    </row>
    <row r="1653" spans="1:11" x14ac:dyDescent="0.25">
      <c r="A1653">
        <v>10877</v>
      </c>
      <c r="B1653">
        <v>18</v>
      </c>
      <c r="C1653">
        <v>62.5</v>
      </c>
      <c r="D1653">
        <v>25</v>
      </c>
      <c r="E1653">
        <v>0</v>
      </c>
      <c r="F1653">
        <f t="shared" si="25"/>
        <v>1562.5</v>
      </c>
      <c r="G1653">
        <f>YEAR(VLOOKUP(A1653,orders!A:D,4,0))</f>
        <v>2015</v>
      </c>
      <c r="H1653">
        <f>MONTH(INDEX(orders!D:D,MATCH(A1653, orders!A:A,0)))</f>
        <v>2</v>
      </c>
      <c r="I1653" t="str">
        <f>VLOOKUP(VLOOKUP(B1653,products!A:F,6,0),categories!A:B,2,0)</f>
        <v>Seafood</v>
      </c>
      <c r="J1653" t="str">
        <f>VLOOKUP(VLOOKUP(A1653,orders!A:B,2,0),customers!A:F,6,0)</f>
        <v>Brazil</v>
      </c>
      <c r="K1653" t="str">
        <f>VLOOKUP(VLOOKUP(A1653,orders!A:C,3,0),employees!A:B,2,0)</f>
        <v>Nancy Davolio</v>
      </c>
    </row>
    <row r="1654" spans="1:11" x14ac:dyDescent="0.25">
      <c r="A1654">
        <v>10878</v>
      </c>
      <c r="B1654">
        <v>20</v>
      </c>
      <c r="C1654">
        <v>81</v>
      </c>
      <c r="D1654">
        <v>20</v>
      </c>
      <c r="E1654">
        <v>0.05</v>
      </c>
      <c r="F1654">
        <f t="shared" si="25"/>
        <v>1539</v>
      </c>
      <c r="G1654">
        <f>YEAR(VLOOKUP(A1654,orders!A:D,4,0))</f>
        <v>2015</v>
      </c>
      <c r="H1654">
        <f>MONTH(INDEX(orders!D:D,MATCH(A1654, orders!A:A,0)))</f>
        <v>2</v>
      </c>
      <c r="I1654" t="str">
        <f>VLOOKUP(VLOOKUP(B1654,products!A:F,6,0),categories!A:B,2,0)</f>
        <v>Confections</v>
      </c>
      <c r="J1654" t="str">
        <f>VLOOKUP(VLOOKUP(A1654,orders!A:B,2,0),customers!A:F,6,0)</f>
        <v>Germany</v>
      </c>
      <c r="K1654" t="str">
        <f>VLOOKUP(VLOOKUP(A1654,orders!A:C,3,0),employees!A:B,2,0)</f>
        <v>Margaret Peacock</v>
      </c>
    </row>
    <row r="1655" spans="1:11" x14ac:dyDescent="0.25">
      <c r="A1655">
        <v>10879</v>
      </c>
      <c r="B1655">
        <v>40</v>
      </c>
      <c r="C1655">
        <v>18.399999999999999</v>
      </c>
      <c r="D1655">
        <v>12</v>
      </c>
      <c r="E1655">
        <v>0</v>
      </c>
      <c r="F1655">
        <f t="shared" si="25"/>
        <v>220.79999999999998</v>
      </c>
      <c r="G1655">
        <f>YEAR(VLOOKUP(A1655,orders!A:D,4,0))</f>
        <v>2015</v>
      </c>
      <c r="H1655">
        <f>MONTH(INDEX(orders!D:D,MATCH(A1655, orders!A:A,0)))</f>
        <v>2</v>
      </c>
      <c r="I1655" t="str">
        <f>VLOOKUP(VLOOKUP(B1655,products!A:F,6,0),categories!A:B,2,0)</f>
        <v>Seafood</v>
      </c>
      <c r="J1655" t="str">
        <f>VLOOKUP(VLOOKUP(A1655,orders!A:B,2,0),customers!A:F,6,0)</f>
        <v>Finland</v>
      </c>
      <c r="K1655" t="str">
        <f>VLOOKUP(VLOOKUP(A1655,orders!A:C,3,0),employees!A:B,2,0)</f>
        <v>Janet Leverling</v>
      </c>
    </row>
    <row r="1656" spans="1:11" x14ac:dyDescent="0.25">
      <c r="A1656">
        <v>10879</v>
      </c>
      <c r="B1656">
        <v>65</v>
      </c>
      <c r="C1656">
        <v>21.05</v>
      </c>
      <c r="D1656">
        <v>10</v>
      </c>
      <c r="E1656">
        <v>0</v>
      </c>
      <c r="F1656">
        <f t="shared" si="25"/>
        <v>210.5</v>
      </c>
      <c r="G1656">
        <f>YEAR(VLOOKUP(A1656,orders!A:D,4,0))</f>
        <v>2015</v>
      </c>
      <c r="H1656">
        <f>MONTH(INDEX(orders!D:D,MATCH(A1656, orders!A:A,0)))</f>
        <v>2</v>
      </c>
      <c r="I1656" t="str">
        <f>VLOOKUP(VLOOKUP(B1656,products!A:F,6,0),categories!A:B,2,0)</f>
        <v>Condiments</v>
      </c>
      <c r="J1656" t="str">
        <f>VLOOKUP(VLOOKUP(A1656,orders!A:B,2,0),customers!A:F,6,0)</f>
        <v>Finland</v>
      </c>
      <c r="K1656" t="str">
        <f>VLOOKUP(VLOOKUP(A1656,orders!A:C,3,0),employees!A:B,2,0)</f>
        <v>Janet Leverling</v>
      </c>
    </row>
    <row r="1657" spans="1:11" x14ac:dyDescent="0.25">
      <c r="A1657">
        <v>10879</v>
      </c>
      <c r="B1657">
        <v>76</v>
      </c>
      <c r="C1657">
        <v>18</v>
      </c>
      <c r="D1657">
        <v>10</v>
      </c>
      <c r="E1657">
        <v>0</v>
      </c>
      <c r="F1657">
        <f t="shared" si="25"/>
        <v>180</v>
      </c>
      <c r="G1657">
        <f>YEAR(VLOOKUP(A1657,orders!A:D,4,0))</f>
        <v>2015</v>
      </c>
      <c r="H1657">
        <f>MONTH(INDEX(orders!D:D,MATCH(A1657, orders!A:A,0)))</f>
        <v>2</v>
      </c>
      <c r="I1657" t="str">
        <f>VLOOKUP(VLOOKUP(B1657,products!A:F,6,0),categories!A:B,2,0)</f>
        <v>Beverages</v>
      </c>
      <c r="J1657" t="str">
        <f>VLOOKUP(VLOOKUP(A1657,orders!A:B,2,0),customers!A:F,6,0)</f>
        <v>Finland</v>
      </c>
      <c r="K1657" t="str">
        <f>VLOOKUP(VLOOKUP(A1657,orders!A:C,3,0),employees!A:B,2,0)</f>
        <v>Janet Leverling</v>
      </c>
    </row>
    <row r="1658" spans="1:11" x14ac:dyDescent="0.25">
      <c r="A1658">
        <v>10880</v>
      </c>
      <c r="B1658">
        <v>23</v>
      </c>
      <c r="C1658">
        <v>9</v>
      </c>
      <c r="D1658">
        <v>30</v>
      </c>
      <c r="E1658">
        <v>0.2</v>
      </c>
      <c r="F1658">
        <f t="shared" si="25"/>
        <v>216</v>
      </c>
      <c r="G1658">
        <f>YEAR(VLOOKUP(A1658,orders!A:D,4,0))</f>
        <v>2015</v>
      </c>
      <c r="H1658">
        <f>MONTH(INDEX(orders!D:D,MATCH(A1658, orders!A:A,0)))</f>
        <v>2</v>
      </c>
      <c r="I1658" t="str">
        <f>VLOOKUP(VLOOKUP(B1658,products!A:F,6,0),categories!A:B,2,0)</f>
        <v>Grains &amp; Cereals</v>
      </c>
      <c r="J1658" t="str">
        <f>VLOOKUP(VLOOKUP(A1658,orders!A:B,2,0),customers!A:F,6,0)</f>
        <v>Sweden</v>
      </c>
      <c r="K1658" t="str">
        <f>VLOOKUP(VLOOKUP(A1658,orders!A:C,3,0),employees!A:B,2,0)</f>
        <v>Robert King</v>
      </c>
    </row>
    <row r="1659" spans="1:11" x14ac:dyDescent="0.25">
      <c r="A1659">
        <v>10880</v>
      </c>
      <c r="B1659">
        <v>61</v>
      </c>
      <c r="C1659">
        <v>28.5</v>
      </c>
      <c r="D1659">
        <v>30</v>
      </c>
      <c r="E1659">
        <v>0.2</v>
      </c>
      <c r="F1659">
        <f t="shared" si="25"/>
        <v>684</v>
      </c>
      <c r="G1659">
        <f>YEAR(VLOOKUP(A1659,orders!A:D,4,0))</f>
        <v>2015</v>
      </c>
      <c r="H1659">
        <f>MONTH(INDEX(orders!D:D,MATCH(A1659, orders!A:A,0)))</f>
        <v>2</v>
      </c>
      <c r="I1659" t="str">
        <f>VLOOKUP(VLOOKUP(B1659,products!A:F,6,0),categories!A:B,2,0)</f>
        <v>Condiments</v>
      </c>
      <c r="J1659" t="str">
        <f>VLOOKUP(VLOOKUP(A1659,orders!A:B,2,0),customers!A:F,6,0)</f>
        <v>Sweden</v>
      </c>
      <c r="K1659" t="str">
        <f>VLOOKUP(VLOOKUP(A1659,orders!A:C,3,0),employees!A:B,2,0)</f>
        <v>Robert King</v>
      </c>
    </row>
    <row r="1660" spans="1:11" x14ac:dyDescent="0.25">
      <c r="A1660">
        <v>10880</v>
      </c>
      <c r="B1660">
        <v>70</v>
      </c>
      <c r="C1660">
        <v>15</v>
      </c>
      <c r="D1660">
        <v>50</v>
      </c>
      <c r="E1660">
        <v>0.2</v>
      </c>
      <c r="F1660">
        <f t="shared" si="25"/>
        <v>600</v>
      </c>
      <c r="G1660">
        <f>YEAR(VLOOKUP(A1660,orders!A:D,4,0))</f>
        <v>2015</v>
      </c>
      <c r="H1660">
        <f>MONTH(INDEX(orders!D:D,MATCH(A1660, orders!A:A,0)))</f>
        <v>2</v>
      </c>
      <c r="I1660" t="str">
        <f>VLOOKUP(VLOOKUP(B1660,products!A:F,6,0),categories!A:B,2,0)</f>
        <v>Beverages</v>
      </c>
      <c r="J1660" t="str">
        <f>VLOOKUP(VLOOKUP(A1660,orders!A:B,2,0),customers!A:F,6,0)</f>
        <v>Sweden</v>
      </c>
      <c r="K1660" t="str">
        <f>VLOOKUP(VLOOKUP(A1660,orders!A:C,3,0),employees!A:B,2,0)</f>
        <v>Robert King</v>
      </c>
    </row>
    <row r="1661" spans="1:11" x14ac:dyDescent="0.25">
      <c r="A1661">
        <v>10881</v>
      </c>
      <c r="B1661">
        <v>73</v>
      </c>
      <c r="C1661">
        <v>15</v>
      </c>
      <c r="D1661">
        <v>10</v>
      </c>
      <c r="E1661">
        <v>0</v>
      </c>
      <c r="F1661">
        <f t="shared" si="25"/>
        <v>150</v>
      </c>
      <c r="G1661">
        <f>YEAR(VLOOKUP(A1661,orders!A:D,4,0))</f>
        <v>2015</v>
      </c>
      <c r="H1661">
        <f>MONTH(INDEX(orders!D:D,MATCH(A1661, orders!A:A,0)))</f>
        <v>2</v>
      </c>
      <c r="I1661" t="str">
        <f>VLOOKUP(VLOOKUP(B1661,products!A:F,6,0),categories!A:B,2,0)</f>
        <v>Seafood</v>
      </c>
      <c r="J1661" t="str">
        <f>VLOOKUP(VLOOKUP(A1661,orders!A:B,2,0),customers!A:F,6,0)</f>
        <v>Argentina</v>
      </c>
      <c r="K1661" t="str">
        <f>VLOOKUP(VLOOKUP(A1661,orders!A:C,3,0),employees!A:B,2,0)</f>
        <v>Margaret Peacock</v>
      </c>
    </row>
    <row r="1662" spans="1:11" x14ac:dyDescent="0.25">
      <c r="A1662">
        <v>10882</v>
      </c>
      <c r="B1662">
        <v>42</v>
      </c>
      <c r="C1662">
        <v>14</v>
      </c>
      <c r="D1662">
        <v>25</v>
      </c>
      <c r="E1662">
        <v>0</v>
      </c>
      <c r="F1662">
        <f t="shared" si="25"/>
        <v>350</v>
      </c>
      <c r="G1662">
        <f>YEAR(VLOOKUP(A1662,orders!A:D,4,0))</f>
        <v>2015</v>
      </c>
      <c r="H1662">
        <f>MONTH(INDEX(orders!D:D,MATCH(A1662, orders!A:A,0)))</f>
        <v>2</v>
      </c>
      <c r="I1662" t="str">
        <f>VLOOKUP(VLOOKUP(B1662,products!A:F,6,0),categories!A:B,2,0)</f>
        <v>Grains &amp; Cereals</v>
      </c>
      <c r="J1662" t="str">
        <f>VLOOKUP(VLOOKUP(A1662,orders!A:B,2,0),customers!A:F,6,0)</f>
        <v>USA</v>
      </c>
      <c r="K1662" t="str">
        <f>VLOOKUP(VLOOKUP(A1662,orders!A:C,3,0),employees!A:B,2,0)</f>
        <v>Margaret Peacock</v>
      </c>
    </row>
    <row r="1663" spans="1:11" x14ac:dyDescent="0.25">
      <c r="A1663">
        <v>10882</v>
      </c>
      <c r="B1663">
        <v>49</v>
      </c>
      <c r="C1663">
        <v>20</v>
      </c>
      <c r="D1663">
        <v>20</v>
      </c>
      <c r="E1663">
        <v>0.15</v>
      </c>
      <c r="F1663">
        <f t="shared" si="25"/>
        <v>340</v>
      </c>
      <c r="G1663">
        <f>YEAR(VLOOKUP(A1663,orders!A:D,4,0))</f>
        <v>2015</v>
      </c>
      <c r="H1663">
        <f>MONTH(INDEX(orders!D:D,MATCH(A1663, orders!A:A,0)))</f>
        <v>2</v>
      </c>
      <c r="I1663" t="str">
        <f>VLOOKUP(VLOOKUP(B1663,products!A:F,6,0),categories!A:B,2,0)</f>
        <v>Confections</v>
      </c>
      <c r="J1663" t="str">
        <f>VLOOKUP(VLOOKUP(A1663,orders!A:B,2,0),customers!A:F,6,0)</f>
        <v>USA</v>
      </c>
      <c r="K1663" t="str">
        <f>VLOOKUP(VLOOKUP(A1663,orders!A:C,3,0),employees!A:B,2,0)</f>
        <v>Margaret Peacock</v>
      </c>
    </row>
    <row r="1664" spans="1:11" x14ac:dyDescent="0.25">
      <c r="A1664">
        <v>10882</v>
      </c>
      <c r="B1664">
        <v>54</v>
      </c>
      <c r="C1664">
        <v>7.45</v>
      </c>
      <c r="D1664">
        <v>32</v>
      </c>
      <c r="E1664">
        <v>0.15</v>
      </c>
      <c r="F1664">
        <f t="shared" si="25"/>
        <v>202.64</v>
      </c>
      <c r="G1664">
        <f>YEAR(VLOOKUP(A1664,orders!A:D,4,0))</f>
        <v>2015</v>
      </c>
      <c r="H1664">
        <f>MONTH(INDEX(orders!D:D,MATCH(A1664, orders!A:A,0)))</f>
        <v>2</v>
      </c>
      <c r="I1664" t="str">
        <f>VLOOKUP(VLOOKUP(B1664,products!A:F,6,0),categories!A:B,2,0)</f>
        <v>Meat &amp; Poultry</v>
      </c>
      <c r="J1664" t="str">
        <f>VLOOKUP(VLOOKUP(A1664,orders!A:B,2,0),customers!A:F,6,0)</f>
        <v>USA</v>
      </c>
      <c r="K1664" t="str">
        <f>VLOOKUP(VLOOKUP(A1664,orders!A:C,3,0),employees!A:B,2,0)</f>
        <v>Margaret Peacock</v>
      </c>
    </row>
    <row r="1665" spans="1:11" x14ac:dyDescent="0.25">
      <c r="A1665">
        <v>10883</v>
      </c>
      <c r="B1665">
        <v>24</v>
      </c>
      <c r="C1665">
        <v>4.5</v>
      </c>
      <c r="D1665">
        <v>8</v>
      </c>
      <c r="E1665">
        <v>0</v>
      </c>
      <c r="F1665">
        <f t="shared" si="25"/>
        <v>36</v>
      </c>
      <c r="G1665">
        <f>YEAR(VLOOKUP(A1665,orders!A:D,4,0))</f>
        <v>2015</v>
      </c>
      <c r="H1665">
        <f>MONTH(INDEX(orders!D:D,MATCH(A1665, orders!A:A,0)))</f>
        <v>2</v>
      </c>
      <c r="I1665" t="str">
        <f>VLOOKUP(VLOOKUP(B1665,products!A:F,6,0),categories!A:B,2,0)</f>
        <v>Beverages</v>
      </c>
      <c r="J1665" t="str">
        <f>VLOOKUP(VLOOKUP(A1665,orders!A:B,2,0),customers!A:F,6,0)</f>
        <v>USA</v>
      </c>
      <c r="K1665" t="str">
        <f>VLOOKUP(VLOOKUP(A1665,orders!A:C,3,0),employees!A:B,2,0)</f>
        <v>Laura Callahan</v>
      </c>
    </row>
    <row r="1666" spans="1:11" x14ac:dyDescent="0.25">
      <c r="A1666">
        <v>10884</v>
      </c>
      <c r="B1666">
        <v>21</v>
      </c>
      <c r="C1666">
        <v>10</v>
      </c>
      <c r="D1666">
        <v>40</v>
      </c>
      <c r="E1666">
        <v>0.05</v>
      </c>
      <c r="F1666">
        <f t="shared" si="25"/>
        <v>380</v>
      </c>
      <c r="G1666">
        <f>YEAR(VLOOKUP(A1666,orders!A:D,4,0))</f>
        <v>2015</v>
      </c>
      <c r="H1666">
        <f>MONTH(INDEX(orders!D:D,MATCH(A1666, orders!A:A,0)))</f>
        <v>2</v>
      </c>
      <c r="I1666" t="str">
        <f>VLOOKUP(VLOOKUP(B1666,products!A:F,6,0),categories!A:B,2,0)</f>
        <v>Confections</v>
      </c>
      <c r="J1666" t="str">
        <f>VLOOKUP(VLOOKUP(A1666,orders!A:B,2,0),customers!A:F,6,0)</f>
        <v>USA</v>
      </c>
      <c r="K1666" t="str">
        <f>VLOOKUP(VLOOKUP(A1666,orders!A:C,3,0),employees!A:B,2,0)</f>
        <v>Margaret Peacock</v>
      </c>
    </row>
    <row r="1667" spans="1:11" x14ac:dyDescent="0.25">
      <c r="A1667">
        <v>10884</v>
      </c>
      <c r="B1667">
        <v>56</v>
      </c>
      <c r="C1667">
        <v>38</v>
      </c>
      <c r="D1667">
        <v>21</v>
      </c>
      <c r="E1667">
        <v>0.05</v>
      </c>
      <c r="F1667">
        <f t="shared" ref="F1667:F1730" si="26">C1667*D1667*(1-E1667)</f>
        <v>758.09999999999991</v>
      </c>
      <c r="G1667">
        <f>YEAR(VLOOKUP(A1667,orders!A:D,4,0))</f>
        <v>2015</v>
      </c>
      <c r="H1667">
        <f>MONTH(INDEX(orders!D:D,MATCH(A1667, orders!A:A,0)))</f>
        <v>2</v>
      </c>
      <c r="I1667" t="str">
        <f>VLOOKUP(VLOOKUP(B1667,products!A:F,6,0),categories!A:B,2,0)</f>
        <v>Grains &amp; Cereals</v>
      </c>
      <c r="J1667" t="str">
        <f>VLOOKUP(VLOOKUP(A1667,orders!A:B,2,0),customers!A:F,6,0)</f>
        <v>USA</v>
      </c>
      <c r="K1667" t="str">
        <f>VLOOKUP(VLOOKUP(A1667,orders!A:C,3,0),employees!A:B,2,0)</f>
        <v>Margaret Peacock</v>
      </c>
    </row>
    <row r="1668" spans="1:11" x14ac:dyDescent="0.25">
      <c r="A1668">
        <v>10884</v>
      </c>
      <c r="B1668">
        <v>65</v>
      </c>
      <c r="C1668">
        <v>21.05</v>
      </c>
      <c r="D1668">
        <v>12</v>
      </c>
      <c r="E1668">
        <v>0.05</v>
      </c>
      <c r="F1668">
        <f t="shared" si="26"/>
        <v>239.97</v>
      </c>
      <c r="G1668">
        <f>YEAR(VLOOKUP(A1668,orders!A:D,4,0))</f>
        <v>2015</v>
      </c>
      <c r="H1668">
        <f>MONTH(INDEX(orders!D:D,MATCH(A1668, orders!A:A,0)))</f>
        <v>2</v>
      </c>
      <c r="I1668" t="str">
        <f>VLOOKUP(VLOOKUP(B1668,products!A:F,6,0),categories!A:B,2,0)</f>
        <v>Condiments</v>
      </c>
      <c r="J1668" t="str">
        <f>VLOOKUP(VLOOKUP(A1668,orders!A:B,2,0),customers!A:F,6,0)</f>
        <v>USA</v>
      </c>
      <c r="K1668" t="str">
        <f>VLOOKUP(VLOOKUP(A1668,orders!A:C,3,0),employees!A:B,2,0)</f>
        <v>Margaret Peacock</v>
      </c>
    </row>
    <row r="1669" spans="1:11" x14ac:dyDescent="0.25">
      <c r="A1669">
        <v>10885</v>
      </c>
      <c r="B1669">
        <v>2</v>
      </c>
      <c r="C1669">
        <v>19</v>
      </c>
      <c r="D1669">
        <v>20</v>
      </c>
      <c r="E1669">
        <v>0</v>
      </c>
      <c r="F1669">
        <f t="shared" si="26"/>
        <v>380</v>
      </c>
      <c r="G1669">
        <f>YEAR(VLOOKUP(A1669,orders!A:D,4,0))</f>
        <v>2015</v>
      </c>
      <c r="H1669">
        <f>MONTH(INDEX(orders!D:D,MATCH(A1669, orders!A:A,0)))</f>
        <v>2</v>
      </c>
      <c r="I1669" t="str">
        <f>VLOOKUP(VLOOKUP(B1669,products!A:F,6,0),categories!A:B,2,0)</f>
        <v>Beverages</v>
      </c>
      <c r="J1669" t="str">
        <f>VLOOKUP(VLOOKUP(A1669,orders!A:B,2,0),customers!A:F,6,0)</f>
        <v>Belgium</v>
      </c>
      <c r="K1669" t="str">
        <f>VLOOKUP(VLOOKUP(A1669,orders!A:C,3,0),employees!A:B,2,0)</f>
        <v>Michael Suyama</v>
      </c>
    </row>
    <row r="1670" spans="1:11" x14ac:dyDescent="0.25">
      <c r="A1670">
        <v>10885</v>
      </c>
      <c r="B1670">
        <v>24</v>
      </c>
      <c r="C1670">
        <v>4.5</v>
      </c>
      <c r="D1670">
        <v>12</v>
      </c>
      <c r="E1670">
        <v>0</v>
      </c>
      <c r="F1670">
        <f t="shared" si="26"/>
        <v>54</v>
      </c>
      <c r="G1670">
        <f>YEAR(VLOOKUP(A1670,orders!A:D,4,0))</f>
        <v>2015</v>
      </c>
      <c r="H1670">
        <f>MONTH(INDEX(orders!D:D,MATCH(A1670, orders!A:A,0)))</f>
        <v>2</v>
      </c>
      <c r="I1670" t="str">
        <f>VLOOKUP(VLOOKUP(B1670,products!A:F,6,0),categories!A:B,2,0)</f>
        <v>Beverages</v>
      </c>
      <c r="J1670" t="str">
        <f>VLOOKUP(VLOOKUP(A1670,orders!A:B,2,0),customers!A:F,6,0)</f>
        <v>Belgium</v>
      </c>
      <c r="K1670" t="str">
        <f>VLOOKUP(VLOOKUP(A1670,orders!A:C,3,0),employees!A:B,2,0)</f>
        <v>Michael Suyama</v>
      </c>
    </row>
    <row r="1671" spans="1:11" x14ac:dyDescent="0.25">
      <c r="A1671">
        <v>10885</v>
      </c>
      <c r="B1671">
        <v>70</v>
      </c>
      <c r="C1671">
        <v>15</v>
      </c>
      <c r="D1671">
        <v>30</v>
      </c>
      <c r="E1671">
        <v>0</v>
      </c>
      <c r="F1671">
        <f t="shared" si="26"/>
        <v>450</v>
      </c>
      <c r="G1671">
        <f>YEAR(VLOOKUP(A1671,orders!A:D,4,0))</f>
        <v>2015</v>
      </c>
      <c r="H1671">
        <f>MONTH(INDEX(orders!D:D,MATCH(A1671, orders!A:A,0)))</f>
        <v>2</v>
      </c>
      <c r="I1671" t="str">
        <f>VLOOKUP(VLOOKUP(B1671,products!A:F,6,0),categories!A:B,2,0)</f>
        <v>Beverages</v>
      </c>
      <c r="J1671" t="str">
        <f>VLOOKUP(VLOOKUP(A1671,orders!A:B,2,0),customers!A:F,6,0)</f>
        <v>Belgium</v>
      </c>
      <c r="K1671" t="str">
        <f>VLOOKUP(VLOOKUP(A1671,orders!A:C,3,0),employees!A:B,2,0)</f>
        <v>Michael Suyama</v>
      </c>
    </row>
    <row r="1672" spans="1:11" x14ac:dyDescent="0.25">
      <c r="A1672">
        <v>10885</v>
      </c>
      <c r="B1672">
        <v>77</v>
      </c>
      <c r="C1672">
        <v>13</v>
      </c>
      <c r="D1672">
        <v>25</v>
      </c>
      <c r="E1672">
        <v>0</v>
      </c>
      <c r="F1672">
        <f t="shared" si="26"/>
        <v>325</v>
      </c>
      <c r="G1672">
        <f>YEAR(VLOOKUP(A1672,orders!A:D,4,0))</f>
        <v>2015</v>
      </c>
      <c r="H1672">
        <f>MONTH(INDEX(orders!D:D,MATCH(A1672, orders!A:A,0)))</f>
        <v>2</v>
      </c>
      <c r="I1672" t="str">
        <f>VLOOKUP(VLOOKUP(B1672,products!A:F,6,0),categories!A:B,2,0)</f>
        <v>Condiments</v>
      </c>
      <c r="J1672" t="str">
        <f>VLOOKUP(VLOOKUP(A1672,orders!A:B,2,0),customers!A:F,6,0)</f>
        <v>Belgium</v>
      </c>
      <c r="K1672" t="str">
        <f>VLOOKUP(VLOOKUP(A1672,orders!A:C,3,0),employees!A:B,2,0)</f>
        <v>Michael Suyama</v>
      </c>
    </row>
    <row r="1673" spans="1:11" x14ac:dyDescent="0.25">
      <c r="A1673">
        <v>10886</v>
      </c>
      <c r="B1673">
        <v>10</v>
      </c>
      <c r="C1673">
        <v>31</v>
      </c>
      <c r="D1673">
        <v>70</v>
      </c>
      <c r="E1673">
        <v>0</v>
      </c>
      <c r="F1673">
        <f t="shared" si="26"/>
        <v>2170</v>
      </c>
      <c r="G1673">
        <f>YEAR(VLOOKUP(A1673,orders!A:D,4,0))</f>
        <v>2015</v>
      </c>
      <c r="H1673">
        <f>MONTH(INDEX(orders!D:D,MATCH(A1673, orders!A:A,0)))</f>
        <v>2</v>
      </c>
      <c r="I1673" t="str">
        <f>VLOOKUP(VLOOKUP(B1673,products!A:F,6,0),categories!A:B,2,0)</f>
        <v>Seafood</v>
      </c>
      <c r="J1673" t="str">
        <f>VLOOKUP(VLOOKUP(A1673,orders!A:B,2,0),customers!A:F,6,0)</f>
        <v>Brazil</v>
      </c>
      <c r="K1673" t="str">
        <f>VLOOKUP(VLOOKUP(A1673,orders!A:C,3,0),employees!A:B,2,0)</f>
        <v>Nancy Davolio</v>
      </c>
    </row>
    <row r="1674" spans="1:11" x14ac:dyDescent="0.25">
      <c r="A1674">
        <v>10886</v>
      </c>
      <c r="B1674">
        <v>31</v>
      </c>
      <c r="C1674">
        <v>12.5</v>
      </c>
      <c r="D1674">
        <v>35</v>
      </c>
      <c r="E1674">
        <v>0</v>
      </c>
      <c r="F1674">
        <f t="shared" si="26"/>
        <v>437.5</v>
      </c>
      <c r="G1674">
        <f>YEAR(VLOOKUP(A1674,orders!A:D,4,0))</f>
        <v>2015</v>
      </c>
      <c r="H1674">
        <f>MONTH(INDEX(orders!D:D,MATCH(A1674, orders!A:A,0)))</f>
        <v>2</v>
      </c>
      <c r="I1674" t="str">
        <f>VLOOKUP(VLOOKUP(B1674,products!A:F,6,0),categories!A:B,2,0)</f>
        <v>Dairy Products</v>
      </c>
      <c r="J1674" t="str">
        <f>VLOOKUP(VLOOKUP(A1674,orders!A:B,2,0),customers!A:F,6,0)</f>
        <v>Brazil</v>
      </c>
      <c r="K1674" t="str">
        <f>VLOOKUP(VLOOKUP(A1674,orders!A:C,3,0),employees!A:B,2,0)</f>
        <v>Nancy Davolio</v>
      </c>
    </row>
    <row r="1675" spans="1:11" x14ac:dyDescent="0.25">
      <c r="A1675">
        <v>10886</v>
      </c>
      <c r="B1675">
        <v>77</v>
      </c>
      <c r="C1675">
        <v>13</v>
      </c>
      <c r="D1675">
        <v>40</v>
      </c>
      <c r="E1675">
        <v>0</v>
      </c>
      <c r="F1675">
        <f t="shared" si="26"/>
        <v>520</v>
      </c>
      <c r="G1675">
        <f>YEAR(VLOOKUP(A1675,orders!A:D,4,0))</f>
        <v>2015</v>
      </c>
      <c r="H1675">
        <f>MONTH(INDEX(orders!D:D,MATCH(A1675, orders!A:A,0)))</f>
        <v>2</v>
      </c>
      <c r="I1675" t="str">
        <f>VLOOKUP(VLOOKUP(B1675,products!A:F,6,0),categories!A:B,2,0)</f>
        <v>Condiments</v>
      </c>
      <c r="J1675" t="str">
        <f>VLOOKUP(VLOOKUP(A1675,orders!A:B,2,0),customers!A:F,6,0)</f>
        <v>Brazil</v>
      </c>
      <c r="K1675" t="str">
        <f>VLOOKUP(VLOOKUP(A1675,orders!A:C,3,0),employees!A:B,2,0)</f>
        <v>Nancy Davolio</v>
      </c>
    </row>
    <row r="1676" spans="1:11" x14ac:dyDescent="0.25">
      <c r="A1676">
        <v>10887</v>
      </c>
      <c r="B1676">
        <v>25</v>
      </c>
      <c r="C1676">
        <v>14</v>
      </c>
      <c r="D1676">
        <v>5</v>
      </c>
      <c r="E1676">
        <v>0</v>
      </c>
      <c r="F1676">
        <f t="shared" si="26"/>
        <v>70</v>
      </c>
      <c r="G1676">
        <f>YEAR(VLOOKUP(A1676,orders!A:D,4,0))</f>
        <v>2015</v>
      </c>
      <c r="H1676">
        <f>MONTH(INDEX(orders!D:D,MATCH(A1676, orders!A:A,0)))</f>
        <v>2</v>
      </c>
      <c r="I1676" t="str">
        <f>VLOOKUP(VLOOKUP(B1676,products!A:F,6,0),categories!A:B,2,0)</f>
        <v>Confections</v>
      </c>
      <c r="J1676" t="str">
        <f>VLOOKUP(VLOOKUP(A1676,orders!A:B,2,0),customers!A:F,6,0)</f>
        <v>Spain</v>
      </c>
      <c r="K1676" t="str">
        <f>VLOOKUP(VLOOKUP(A1676,orders!A:C,3,0),employees!A:B,2,0)</f>
        <v>Laura Callahan</v>
      </c>
    </row>
    <row r="1677" spans="1:11" x14ac:dyDescent="0.25">
      <c r="A1677">
        <v>10888</v>
      </c>
      <c r="B1677">
        <v>2</v>
      </c>
      <c r="C1677">
        <v>19</v>
      </c>
      <c r="D1677">
        <v>20</v>
      </c>
      <c r="E1677">
        <v>0</v>
      </c>
      <c r="F1677">
        <f t="shared" si="26"/>
        <v>380</v>
      </c>
      <c r="G1677">
        <f>YEAR(VLOOKUP(A1677,orders!A:D,4,0))</f>
        <v>2015</v>
      </c>
      <c r="H1677">
        <f>MONTH(INDEX(orders!D:D,MATCH(A1677, orders!A:A,0)))</f>
        <v>2</v>
      </c>
      <c r="I1677" t="str">
        <f>VLOOKUP(VLOOKUP(B1677,products!A:F,6,0),categories!A:B,2,0)</f>
        <v>Beverages</v>
      </c>
      <c r="J1677" t="str">
        <f>VLOOKUP(VLOOKUP(A1677,orders!A:B,2,0),customers!A:F,6,0)</f>
        <v>Spain</v>
      </c>
      <c r="K1677" t="str">
        <f>VLOOKUP(VLOOKUP(A1677,orders!A:C,3,0),employees!A:B,2,0)</f>
        <v>Nancy Davolio</v>
      </c>
    </row>
    <row r="1678" spans="1:11" x14ac:dyDescent="0.25">
      <c r="A1678">
        <v>10888</v>
      </c>
      <c r="B1678">
        <v>68</v>
      </c>
      <c r="C1678">
        <v>12.5</v>
      </c>
      <c r="D1678">
        <v>18</v>
      </c>
      <c r="E1678">
        <v>0</v>
      </c>
      <c r="F1678">
        <f t="shared" si="26"/>
        <v>225</v>
      </c>
      <c r="G1678">
        <f>YEAR(VLOOKUP(A1678,orders!A:D,4,0))</f>
        <v>2015</v>
      </c>
      <c r="H1678">
        <f>MONTH(INDEX(orders!D:D,MATCH(A1678, orders!A:A,0)))</f>
        <v>2</v>
      </c>
      <c r="I1678" t="str">
        <f>VLOOKUP(VLOOKUP(B1678,products!A:F,6,0),categories!A:B,2,0)</f>
        <v>Confections</v>
      </c>
      <c r="J1678" t="str">
        <f>VLOOKUP(VLOOKUP(A1678,orders!A:B,2,0),customers!A:F,6,0)</f>
        <v>Spain</v>
      </c>
      <c r="K1678" t="str">
        <f>VLOOKUP(VLOOKUP(A1678,orders!A:C,3,0),employees!A:B,2,0)</f>
        <v>Nancy Davolio</v>
      </c>
    </row>
    <row r="1679" spans="1:11" x14ac:dyDescent="0.25">
      <c r="A1679">
        <v>10889</v>
      </c>
      <c r="B1679">
        <v>11</v>
      </c>
      <c r="C1679">
        <v>21</v>
      </c>
      <c r="D1679">
        <v>40</v>
      </c>
      <c r="E1679">
        <v>0</v>
      </c>
      <c r="F1679">
        <f t="shared" si="26"/>
        <v>840</v>
      </c>
      <c r="G1679">
        <f>YEAR(VLOOKUP(A1679,orders!A:D,4,0))</f>
        <v>2015</v>
      </c>
      <c r="H1679">
        <f>MONTH(INDEX(orders!D:D,MATCH(A1679, orders!A:A,0)))</f>
        <v>2</v>
      </c>
      <c r="I1679" t="str">
        <f>VLOOKUP(VLOOKUP(B1679,products!A:F,6,0),categories!A:B,2,0)</f>
        <v>Dairy Products</v>
      </c>
      <c r="J1679" t="str">
        <f>VLOOKUP(VLOOKUP(A1679,orders!A:B,2,0),customers!A:F,6,0)</f>
        <v>USA</v>
      </c>
      <c r="K1679" t="str">
        <f>VLOOKUP(VLOOKUP(A1679,orders!A:C,3,0),employees!A:B,2,0)</f>
        <v>Anne Dodsworth</v>
      </c>
    </row>
    <row r="1680" spans="1:11" x14ac:dyDescent="0.25">
      <c r="A1680">
        <v>10889</v>
      </c>
      <c r="B1680">
        <v>38</v>
      </c>
      <c r="C1680">
        <v>263.5</v>
      </c>
      <c r="D1680">
        <v>40</v>
      </c>
      <c r="E1680">
        <v>0</v>
      </c>
      <c r="F1680">
        <f t="shared" si="26"/>
        <v>10540</v>
      </c>
      <c r="G1680">
        <f>YEAR(VLOOKUP(A1680,orders!A:D,4,0))</f>
        <v>2015</v>
      </c>
      <c r="H1680">
        <f>MONTH(INDEX(orders!D:D,MATCH(A1680, orders!A:A,0)))</f>
        <v>2</v>
      </c>
      <c r="I1680" t="str">
        <f>VLOOKUP(VLOOKUP(B1680,products!A:F,6,0),categories!A:B,2,0)</f>
        <v>Beverages</v>
      </c>
      <c r="J1680" t="str">
        <f>VLOOKUP(VLOOKUP(A1680,orders!A:B,2,0),customers!A:F,6,0)</f>
        <v>USA</v>
      </c>
      <c r="K1680" t="str">
        <f>VLOOKUP(VLOOKUP(A1680,orders!A:C,3,0),employees!A:B,2,0)</f>
        <v>Anne Dodsworth</v>
      </c>
    </row>
    <row r="1681" spans="1:11" x14ac:dyDescent="0.25">
      <c r="A1681">
        <v>10890</v>
      </c>
      <c r="B1681">
        <v>17</v>
      </c>
      <c r="C1681">
        <v>39</v>
      </c>
      <c r="D1681">
        <v>15</v>
      </c>
      <c r="E1681">
        <v>0</v>
      </c>
      <c r="F1681">
        <f t="shared" si="26"/>
        <v>585</v>
      </c>
      <c r="G1681">
        <f>YEAR(VLOOKUP(A1681,orders!A:D,4,0))</f>
        <v>2015</v>
      </c>
      <c r="H1681">
        <f>MONTH(INDEX(orders!D:D,MATCH(A1681, orders!A:A,0)))</f>
        <v>2</v>
      </c>
      <c r="I1681" t="str">
        <f>VLOOKUP(VLOOKUP(B1681,products!A:F,6,0),categories!A:B,2,0)</f>
        <v>Meat &amp; Poultry</v>
      </c>
      <c r="J1681" t="str">
        <f>VLOOKUP(VLOOKUP(A1681,orders!A:B,2,0),customers!A:F,6,0)</f>
        <v>France</v>
      </c>
      <c r="K1681" t="str">
        <f>VLOOKUP(VLOOKUP(A1681,orders!A:C,3,0),employees!A:B,2,0)</f>
        <v>Robert King</v>
      </c>
    </row>
    <row r="1682" spans="1:11" x14ac:dyDescent="0.25">
      <c r="A1682">
        <v>10890</v>
      </c>
      <c r="B1682">
        <v>34</v>
      </c>
      <c r="C1682">
        <v>14</v>
      </c>
      <c r="D1682">
        <v>10</v>
      </c>
      <c r="E1682">
        <v>0</v>
      </c>
      <c r="F1682">
        <f t="shared" si="26"/>
        <v>140</v>
      </c>
      <c r="G1682">
        <f>YEAR(VLOOKUP(A1682,orders!A:D,4,0))</f>
        <v>2015</v>
      </c>
      <c r="H1682">
        <f>MONTH(INDEX(orders!D:D,MATCH(A1682, orders!A:A,0)))</f>
        <v>2</v>
      </c>
      <c r="I1682" t="str">
        <f>VLOOKUP(VLOOKUP(B1682,products!A:F,6,0),categories!A:B,2,0)</f>
        <v>Beverages</v>
      </c>
      <c r="J1682" t="str">
        <f>VLOOKUP(VLOOKUP(A1682,orders!A:B,2,0),customers!A:F,6,0)</f>
        <v>France</v>
      </c>
      <c r="K1682" t="str">
        <f>VLOOKUP(VLOOKUP(A1682,orders!A:C,3,0),employees!A:B,2,0)</f>
        <v>Robert King</v>
      </c>
    </row>
    <row r="1683" spans="1:11" x14ac:dyDescent="0.25">
      <c r="A1683">
        <v>10890</v>
      </c>
      <c r="B1683">
        <v>41</v>
      </c>
      <c r="C1683">
        <v>9.65</v>
      </c>
      <c r="D1683">
        <v>14</v>
      </c>
      <c r="E1683">
        <v>0</v>
      </c>
      <c r="F1683">
        <f t="shared" si="26"/>
        <v>135.1</v>
      </c>
      <c r="G1683">
        <f>YEAR(VLOOKUP(A1683,orders!A:D,4,0))</f>
        <v>2015</v>
      </c>
      <c r="H1683">
        <f>MONTH(INDEX(orders!D:D,MATCH(A1683, orders!A:A,0)))</f>
        <v>2</v>
      </c>
      <c r="I1683" t="str">
        <f>VLOOKUP(VLOOKUP(B1683,products!A:F,6,0),categories!A:B,2,0)</f>
        <v>Seafood</v>
      </c>
      <c r="J1683" t="str">
        <f>VLOOKUP(VLOOKUP(A1683,orders!A:B,2,0),customers!A:F,6,0)</f>
        <v>France</v>
      </c>
      <c r="K1683" t="str">
        <f>VLOOKUP(VLOOKUP(A1683,orders!A:C,3,0),employees!A:B,2,0)</f>
        <v>Robert King</v>
      </c>
    </row>
    <row r="1684" spans="1:11" x14ac:dyDescent="0.25">
      <c r="A1684">
        <v>10891</v>
      </c>
      <c r="B1684">
        <v>30</v>
      </c>
      <c r="C1684">
        <v>25.89</v>
      </c>
      <c r="D1684">
        <v>15</v>
      </c>
      <c r="E1684">
        <v>0.05</v>
      </c>
      <c r="F1684">
        <f t="shared" si="26"/>
        <v>368.9325</v>
      </c>
      <c r="G1684">
        <f>YEAR(VLOOKUP(A1684,orders!A:D,4,0))</f>
        <v>2015</v>
      </c>
      <c r="H1684">
        <f>MONTH(INDEX(orders!D:D,MATCH(A1684, orders!A:A,0)))</f>
        <v>2</v>
      </c>
      <c r="I1684" t="str">
        <f>VLOOKUP(VLOOKUP(B1684,products!A:F,6,0),categories!A:B,2,0)</f>
        <v>Seafood</v>
      </c>
      <c r="J1684" t="str">
        <f>VLOOKUP(VLOOKUP(A1684,orders!A:B,2,0),customers!A:F,6,0)</f>
        <v>Germany</v>
      </c>
      <c r="K1684" t="str">
        <f>VLOOKUP(VLOOKUP(A1684,orders!A:C,3,0),employees!A:B,2,0)</f>
        <v>Robert King</v>
      </c>
    </row>
    <row r="1685" spans="1:11" x14ac:dyDescent="0.25">
      <c r="A1685">
        <v>10892</v>
      </c>
      <c r="B1685">
        <v>59</v>
      </c>
      <c r="C1685">
        <v>55</v>
      </c>
      <c r="D1685">
        <v>40</v>
      </c>
      <c r="E1685">
        <v>0.05</v>
      </c>
      <c r="F1685">
        <f t="shared" si="26"/>
        <v>2090</v>
      </c>
      <c r="G1685">
        <f>YEAR(VLOOKUP(A1685,orders!A:D,4,0))</f>
        <v>2015</v>
      </c>
      <c r="H1685">
        <f>MONTH(INDEX(orders!D:D,MATCH(A1685, orders!A:A,0)))</f>
        <v>2</v>
      </c>
      <c r="I1685" t="str">
        <f>VLOOKUP(VLOOKUP(B1685,products!A:F,6,0),categories!A:B,2,0)</f>
        <v>Dairy Products</v>
      </c>
      <c r="J1685" t="str">
        <f>VLOOKUP(VLOOKUP(A1685,orders!A:B,2,0),customers!A:F,6,0)</f>
        <v>Belgium</v>
      </c>
      <c r="K1685" t="str">
        <f>VLOOKUP(VLOOKUP(A1685,orders!A:C,3,0),employees!A:B,2,0)</f>
        <v>Margaret Peacock</v>
      </c>
    </row>
    <row r="1686" spans="1:11" x14ac:dyDescent="0.25">
      <c r="A1686">
        <v>10893</v>
      </c>
      <c r="B1686">
        <v>8</v>
      </c>
      <c r="C1686">
        <v>40</v>
      </c>
      <c r="D1686">
        <v>30</v>
      </c>
      <c r="E1686">
        <v>0</v>
      </c>
      <c r="F1686">
        <f t="shared" si="26"/>
        <v>1200</v>
      </c>
      <c r="G1686">
        <f>YEAR(VLOOKUP(A1686,orders!A:D,4,0))</f>
        <v>2015</v>
      </c>
      <c r="H1686">
        <f>MONTH(INDEX(orders!D:D,MATCH(A1686, orders!A:A,0)))</f>
        <v>2</v>
      </c>
      <c r="I1686" t="str">
        <f>VLOOKUP(VLOOKUP(B1686,products!A:F,6,0),categories!A:B,2,0)</f>
        <v>Condiments</v>
      </c>
      <c r="J1686" t="str">
        <f>VLOOKUP(VLOOKUP(A1686,orders!A:B,2,0),customers!A:F,6,0)</f>
        <v>Germany</v>
      </c>
      <c r="K1686" t="str">
        <f>VLOOKUP(VLOOKUP(A1686,orders!A:C,3,0),employees!A:B,2,0)</f>
        <v>Anne Dodsworth</v>
      </c>
    </row>
    <row r="1687" spans="1:11" x14ac:dyDescent="0.25">
      <c r="A1687">
        <v>10893</v>
      </c>
      <c r="B1687">
        <v>24</v>
      </c>
      <c r="C1687">
        <v>4.5</v>
      </c>
      <c r="D1687">
        <v>10</v>
      </c>
      <c r="E1687">
        <v>0</v>
      </c>
      <c r="F1687">
        <f t="shared" si="26"/>
        <v>45</v>
      </c>
      <c r="G1687">
        <f>YEAR(VLOOKUP(A1687,orders!A:D,4,0))</f>
        <v>2015</v>
      </c>
      <c r="H1687">
        <f>MONTH(INDEX(orders!D:D,MATCH(A1687, orders!A:A,0)))</f>
        <v>2</v>
      </c>
      <c r="I1687" t="str">
        <f>VLOOKUP(VLOOKUP(B1687,products!A:F,6,0),categories!A:B,2,0)</f>
        <v>Beverages</v>
      </c>
      <c r="J1687" t="str">
        <f>VLOOKUP(VLOOKUP(A1687,orders!A:B,2,0),customers!A:F,6,0)</f>
        <v>Germany</v>
      </c>
      <c r="K1687" t="str">
        <f>VLOOKUP(VLOOKUP(A1687,orders!A:C,3,0),employees!A:B,2,0)</f>
        <v>Anne Dodsworth</v>
      </c>
    </row>
    <row r="1688" spans="1:11" x14ac:dyDescent="0.25">
      <c r="A1688">
        <v>10893</v>
      </c>
      <c r="B1688">
        <v>29</v>
      </c>
      <c r="C1688">
        <v>123.79</v>
      </c>
      <c r="D1688">
        <v>24</v>
      </c>
      <c r="E1688">
        <v>0</v>
      </c>
      <c r="F1688">
        <f t="shared" si="26"/>
        <v>2970.96</v>
      </c>
      <c r="G1688">
        <f>YEAR(VLOOKUP(A1688,orders!A:D,4,0))</f>
        <v>2015</v>
      </c>
      <c r="H1688">
        <f>MONTH(INDEX(orders!D:D,MATCH(A1688, orders!A:A,0)))</f>
        <v>2</v>
      </c>
      <c r="I1688" t="str">
        <f>VLOOKUP(VLOOKUP(B1688,products!A:F,6,0),categories!A:B,2,0)</f>
        <v>Meat &amp; Poultry</v>
      </c>
      <c r="J1688" t="str">
        <f>VLOOKUP(VLOOKUP(A1688,orders!A:B,2,0),customers!A:F,6,0)</f>
        <v>Germany</v>
      </c>
      <c r="K1688" t="str">
        <f>VLOOKUP(VLOOKUP(A1688,orders!A:C,3,0),employees!A:B,2,0)</f>
        <v>Anne Dodsworth</v>
      </c>
    </row>
    <row r="1689" spans="1:11" x14ac:dyDescent="0.25">
      <c r="A1689">
        <v>10893</v>
      </c>
      <c r="B1689">
        <v>30</v>
      </c>
      <c r="C1689">
        <v>25.89</v>
      </c>
      <c r="D1689">
        <v>35</v>
      </c>
      <c r="E1689">
        <v>0</v>
      </c>
      <c r="F1689">
        <f t="shared" si="26"/>
        <v>906.15</v>
      </c>
      <c r="G1689">
        <f>YEAR(VLOOKUP(A1689,orders!A:D,4,0))</f>
        <v>2015</v>
      </c>
      <c r="H1689">
        <f>MONTH(INDEX(orders!D:D,MATCH(A1689, orders!A:A,0)))</f>
        <v>2</v>
      </c>
      <c r="I1689" t="str">
        <f>VLOOKUP(VLOOKUP(B1689,products!A:F,6,0),categories!A:B,2,0)</f>
        <v>Seafood</v>
      </c>
      <c r="J1689" t="str">
        <f>VLOOKUP(VLOOKUP(A1689,orders!A:B,2,0),customers!A:F,6,0)</f>
        <v>Germany</v>
      </c>
      <c r="K1689" t="str">
        <f>VLOOKUP(VLOOKUP(A1689,orders!A:C,3,0),employees!A:B,2,0)</f>
        <v>Anne Dodsworth</v>
      </c>
    </row>
    <row r="1690" spans="1:11" x14ac:dyDescent="0.25">
      <c r="A1690">
        <v>10893</v>
      </c>
      <c r="B1690">
        <v>36</v>
      </c>
      <c r="C1690">
        <v>19</v>
      </c>
      <c r="D1690">
        <v>20</v>
      </c>
      <c r="E1690">
        <v>0</v>
      </c>
      <c r="F1690">
        <f t="shared" si="26"/>
        <v>380</v>
      </c>
      <c r="G1690">
        <f>YEAR(VLOOKUP(A1690,orders!A:D,4,0))</f>
        <v>2015</v>
      </c>
      <c r="H1690">
        <f>MONTH(INDEX(orders!D:D,MATCH(A1690, orders!A:A,0)))</f>
        <v>2</v>
      </c>
      <c r="I1690" t="str">
        <f>VLOOKUP(VLOOKUP(B1690,products!A:F,6,0),categories!A:B,2,0)</f>
        <v>Seafood</v>
      </c>
      <c r="J1690" t="str">
        <f>VLOOKUP(VLOOKUP(A1690,orders!A:B,2,0),customers!A:F,6,0)</f>
        <v>Germany</v>
      </c>
      <c r="K1690" t="str">
        <f>VLOOKUP(VLOOKUP(A1690,orders!A:C,3,0),employees!A:B,2,0)</f>
        <v>Anne Dodsworth</v>
      </c>
    </row>
    <row r="1691" spans="1:11" x14ac:dyDescent="0.25">
      <c r="A1691">
        <v>10894</v>
      </c>
      <c r="B1691">
        <v>13</v>
      </c>
      <c r="C1691">
        <v>6</v>
      </c>
      <c r="D1691">
        <v>28</v>
      </c>
      <c r="E1691">
        <v>0.05</v>
      </c>
      <c r="F1691">
        <f t="shared" si="26"/>
        <v>159.6</v>
      </c>
      <c r="G1691">
        <f>YEAR(VLOOKUP(A1691,orders!A:D,4,0))</f>
        <v>2015</v>
      </c>
      <c r="H1691">
        <f>MONTH(INDEX(orders!D:D,MATCH(A1691, orders!A:A,0)))</f>
        <v>2</v>
      </c>
      <c r="I1691" t="str">
        <f>VLOOKUP(VLOOKUP(B1691,products!A:F,6,0),categories!A:B,2,0)</f>
        <v>Seafood</v>
      </c>
      <c r="J1691" t="str">
        <f>VLOOKUP(VLOOKUP(A1691,orders!A:B,2,0),customers!A:F,6,0)</f>
        <v>USA</v>
      </c>
      <c r="K1691" t="str">
        <f>VLOOKUP(VLOOKUP(A1691,orders!A:C,3,0),employees!A:B,2,0)</f>
        <v>Nancy Davolio</v>
      </c>
    </row>
    <row r="1692" spans="1:11" x14ac:dyDescent="0.25">
      <c r="A1692">
        <v>10894</v>
      </c>
      <c r="B1692">
        <v>69</v>
      </c>
      <c r="C1692">
        <v>36</v>
      </c>
      <c r="D1692">
        <v>50</v>
      </c>
      <c r="E1692">
        <v>0.05</v>
      </c>
      <c r="F1692">
        <f t="shared" si="26"/>
        <v>1710</v>
      </c>
      <c r="G1692">
        <f>YEAR(VLOOKUP(A1692,orders!A:D,4,0))</f>
        <v>2015</v>
      </c>
      <c r="H1692">
        <f>MONTH(INDEX(orders!D:D,MATCH(A1692, orders!A:A,0)))</f>
        <v>2</v>
      </c>
      <c r="I1692" t="str">
        <f>VLOOKUP(VLOOKUP(B1692,products!A:F,6,0),categories!A:B,2,0)</f>
        <v>Dairy Products</v>
      </c>
      <c r="J1692" t="str">
        <f>VLOOKUP(VLOOKUP(A1692,orders!A:B,2,0),customers!A:F,6,0)</f>
        <v>USA</v>
      </c>
      <c r="K1692" t="str">
        <f>VLOOKUP(VLOOKUP(A1692,orders!A:C,3,0),employees!A:B,2,0)</f>
        <v>Nancy Davolio</v>
      </c>
    </row>
    <row r="1693" spans="1:11" x14ac:dyDescent="0.25">
      <c r="A1693">
        <v>10894</v>
      </c>
      <c r="B1693">
        <v>75</v>
      </c>
      <c r="C1693">
        <v>7.75</v>
      </c>
      <c r="D1693">
        <v>120</v>
      </c>
      <c r="E1693">
        <v>0.05</v>
      </c>
      <c r="F1693">
        <f t="shared" si="26"/>
        <v>883.5</v>
      </c>
      <c r="G1693">
        <f>YEAR(VLOOKUP(A1693,orders!A:D,4,0))</f>
        <v>2015</v>
      </c>
      <c r="H1693">
        <f>MONTH(INDEX(orders!D:D,MATCH(A1693, orders!A:A,0)))</f>
        <v>2</v>
      </c>
      <c r="I1693" t="str">
        <f>VLOOKUP(VLOOKUP(B1693,products!A:F,6,0),categories!A:B,2,0)</f>
        <v>Beverages</v>
      </c>
      <c r="J1693" t="str">
        <f>VLOOKUP(VLOOKUP(A1693,orders!A:B,2,0),customers!A:F,6,0)</f>
        <v>USA</v>
      </c>
      <c r="K1693" t="str">
        <f>VLOOKUP(VLOOKUP(A1693,orders!A:C,3,0),employees!A:B,2,0)</f>
        <v>Nancy Davolio</v>
      </c>
    </row>
    <row r="1694" spans="1:11" x14ac:dyDescent="0.25">
      <c r="A1694">
        <v>10895</v>
      </c>
      <c r="B1694">
        <v>24</v>
      </c>
      <c r="C1694">
        <v>4.5</v>
      </c>
      <c r="D1694">
        <v>110</v>
      </c>
      <c r="E1694">
        <v>0</v>
      </c>
      <c r="F1694">
        <f t="shared" si="26"/>
        <v>495</v>
      </c>
      <c r="G1694">
        <f>YEAR(VLOOKUP(A1694,orders!A:D,4,0))</f>
        <v>2015</v>
      </c>
      <c r="H1694">
        <f>MONTH(INDEX(orders!D:D,MATCH(A1694, orders!A:A,0)))</f>
        <v>2</v>
      </c>
      <c r="I1694" t="str">
        <f>VLOOKUP(VLOOKUP(B1694,products!A:F,6,0),categories!A:B,2,0)</f>
        <v>Beverages</v>
      </c>
      <c r="J1694" t="str">
        <f>VLOOKUP(VLOOKUP(A1694,orders!A:B,2,0),customers!A:F,6,0)</f>
        <v>Austria</v>
      </c>
      <c r="K1694" t="str">
        <f>VLOOKUP(VLOOKUP(A1694,orders!A:C,3,0),employees!A:B,2,0)</f>
        <v>Janet Leverling</v>
      </c>
    </row>
    <row r="1695" spans="1:11" x14ac:dyDescent="0.25">
      <c r="A1695">
        <v>10895</v>
      </c>
      <c r="B1695">
        <v>39</v>
      </c>
      <c r="C1695">
        <v>18</v>
      </c>
      <c r="D1695">
        <v>45</v>
      </c>
      <c r="E1695">
        <v>0</v>
      </c>
      <c r="F1695">
        <f t="shared" si="26"/>
        <v>810</v>
      </c>
      <c r="G1695">
        <f>YEAR(VLOOKUP(A1695,orders!A:D,4,0))</f>
        <v>2015</v>
      </c>
      <c r="H1695">
        <f>MONTH(INDEX(orders!D:D,MATCH(A1695, orders!A:A,0)))</f>
        <v>2</v>
      </c>
      <c r="I1695" t="str">
        <f>VLOOKUP(VLOOKUP(B1695,products!A:F,6,0),categories!A:B,2,0)</f>
        <v>Beverages</v>
      </c>
      <c r="J1695" t="str">
        <f>VLOOKUP(VLOOKUP(A1695,orders!A:B,2,0),customers!A:F,6,0)</f>
        <v>Austria</v>
      </c>
      <c r="K1695" t="str">
        <f>VLOOKUP(VLOOKUP(A1695,orders!A:C,3,0),employees!A:B,2,0)</f>
        <v>Janet Leverling</v>
      </c>
    </row>
    <row r="1696" spans="1:11" x14ac:dyDescent="0.25">
      <c r="A1696">
        <v>10895</v>
      </c>
      <c r="B1696">
        <v>40</v>
      </c>
      <c r="C1696">
        <v>18.399999999999999</v>
      </c>
      <c r="D1696">
        <v>91</v>
      </c>
      <c r="E1696">
        <v>0</v>
      </c>
      <c r="F1696">
        <f t="shared" si="26"/>
        <v>1674.3999999999999</v>
      </c>
      <c r="G1696">
        <f>YEAR(VLOOKUP(A1696,orders!A:D,4,0))</f>
        <v>2015</v>
      </c>
      <c r="H1696">
        <f>MONTH(INDEX(orders!D:D,MATCH(A1696, orders!A:A,0)))</f>
        <v>2</v>
      </c>
      <c r="I1696" t="str">
        <f>VLOOKUP(VLOOKUP(B1696,products!A:F,6,0),categories!A:B,2,0)</f>
        <v>Seafood</v>
      </c>
      <c r="J1696" t="str">
        <f>VLOOKUP(VLOOKUP(A1696,orders!A:B,2,0),customers!A:F,6,0)</f>
        <v>Austria</v>
      </c>
      <c r="K1696" t="str">
        <f>VLOOKUP(VLOOKUP(A1696,orders!A:C,3,0),employees!A:B,2,0)</f>
        <v>Janet Leverling</v>
      </c>
    </row>
    <row r="1697" spans="1:11" x14ac:dyDescent="0.25">
      <c r="A1697">
        <v>10895</v>
      </c>
      <c r="B1697">
        <v>60</v>
      </c>
      <c r="C1697">
        <v>34</v>
      </c>
      <c r="D1697">
        <v>100</v>
      </c>
      <c r="E1697">
        <v>0</v>
      </c>
      <c r="F1697">
        <f t="shared" si="26"/>
        <v>3400</v>
      </c>
      <c r="G1697">
        <f>YEAR(VLOOKUP(A1697,orders!A:D,4,0))</f>
        <v>2015</v>
      </c>
      <c r="H1697">
        <f>MONTH(INDEX(orders!D:D,MATCH(A1697, orders!A:A,0)))</f>
        <v>2</v>
      </c>
      <c r="I1697" t="str">
        <f>VLOOKUP(VLOOKUP(B1697,products!A:F,6,0),categories!A:B,2,0)</f>
        <v>Dairy Products</v>
      </c>
      <c r="J1697" t="str">
        <f>VLOOKUP(VLOOKUP(A1697,orders!A:B,2,0),customers!A:F,6,0)</f>
        <v>Austria</v>
      </c>
      <c r="K1697" t="str">
        <f>VLOOKUP(VLOOKUP(A1697,orders!A:C,3,0),employees!A:B,2,0)</f>
        <v>Janet Leverling</v>
      </c>
    </row>
    <row r="1698" spans="1:11" x14ac:dyDescent="0.25">
      <c r="A1698">
        <v>10896</v>
      </c>
      <c r="B1698">
        <v>45</v>
      </c>
      <c r="C1698">
        <v>9.5</v>
      </c>
      <c r="D1698">
        <v>15</v>
      </c>
      <c r="E1698">
        <v>0</v>
      </c>
      <c r="F1698">
        <f t="shared" si="26"/>
        <v>142.5</v>
      </c>
      <c r="G1698">
        <f>YEAR(VLOOKUP(A1698,orders!A:D,4,0))</f>
        <v>2015</v>
      </c>
      <c r="H1698">
        <f>MONTH(INDEX(orders!D:D,MATCH(A1698, orders!A:A,0)))</f>
        <v>2</v>
      </c>
      <c r="I1698" t="str">
        <f>VLOOKUP(VLOOKUP(B1698,products!A:F,6,0),categories!A:B,2,0)</f>
        <v>Seafood</v>
      </c>
      <c r="J1698" t="str">
        <f>VLOOKUP(VLOOKUP(A1698,orders!A:B,2,0),customers!A:F,6,0)</f>
        <v>Belgium</v>
      </c>
      <c r="K1698" t="str">
        <f>VLOOKUP(VLOOKUP(A1698,orders!A:C,3,0),employees!A:B,2,0)</f>
        <v>Robert King</v>
      </c>
    </row>
    <row r="1699" spans="1:11" x14ac:dyDescent="0.25">
      <c r="A1699">
        <v>10896</v>
      </c>
      <c r="B1699">
        <v>56</v>
      </c>
      <c r="C1699">
        <v>38</v>
      </c>
      <c r="D1699">
        <v>16</v>
      </c>
      <c r="E1699">
        <v>0</v>
      </c>
      <c r="F1699">
        <f t="shared" si="26"/>
        <v>608</v>
      </c>
      <c r="G1699">
        <f>YEAR(VLOOKUP(A1699,orders!A:D,4,0))</f>
        <v>2015</v>
      </c>
      <c r="H1699">
        <f>MONTH(INDEX(orders!D:D,MATCH(A1699, orders!A:A,0)))</f>
        <v>2</v>
      </c>
      <c r="I1699" t="str">
        <f>VLOOKUP(VLOOKUP(B1699,products!A:F,6,0),categories!A:B,2,0)</f>
        <v>Grains &amp; Cereals</v>
      </c>
      <c r="J1699" t="str">
        <f>VLOOKUP(VLOOKUP(A1699,orders!A:B,2,0),customers!A:F,6,0)</f>
        <v>Belgium</v>
      </c>
      <c r="K1699" t="str">
        <f>VLOOKUP(VLOOKUP(A1699,orders!A:C,3,0),employees!A:B,2,0)</f>
        <v>Robert King</v>
      </c>
    </row>
    <row r="1700" spans="1:11" x14ac:dyDescent="0.25">
      <c r="A1700">
        <v>10897</v>
      </c>
      <c r="B1700">
        <v>29</v>
      </c>
      <c r="C1700">
        <v>123.79</v>
      </c>
      <c r="D1700">
        <v>80</v>
      </c>
      <c r="E1700">
        <v>0</v>
      </c>
      <c r="F1700">
        <f t="shared" si="26"/>
        <v>9903.2000000000007</v>
      </c>
      <c r="G1700">
        <f>YEAR(VLOOKUP(A1700,orders!A:D,4,0))</f>
        <v>2015</v>
      </c>
      <c r="H1700">
        <f>MONTH(INDEX(orders!D:D,MATCH(A1700, orders!A:A,0)))</f>
        <v>2</v>
      </c>
      <c r="I1700" t="str">
        <f>VLOOKUP(VLOOKUP(B1700,products!A:F,6,0),categories!A:B,2,0)</f>
        <v>Meat &amp; Poultry</v>
      </c>
      <c r="J1700" t="str">
        <f>VLOOKUP(VLOOKUP(A1700,orders!A:B,2,0),customers!A:F,6,0)</f>
        <v>Ireland</v>
      </c>
      <c r="K1700" t="str">
        <f>VLOOKUP(VLOOKUP(A1700,orders!A:C,3,0),employees!A:B,2,0)</f>
        <v>Janet Leverling</v>
      </c>
    </row>
    <row r="1701" spans="1:11" x14ac:dyDescent="0.25">
      <c r="A1701">
        <v>10897</v>
      </c>
      <c r="B1701">
        <v>30</v>
      </c>
      <c r="C1701">
        <v>25.89</v>
      </c>
      <c r="D1701">
        <v>36</v>
      </c>
      <c r="E1701">
        <v>0</v>
      </c>
      <c r="F1701">
        <f t="shared" si="26"/>
        <v>932.04</v>
      </c>
      <c r="G1701">
        <f>YEAR(VLOOKUP(A1701,orders!A:D,4,0))</f>
        <v>2015</v>
      </c>
      <c r="H1701">
        <f>MONTH(INDEX(orders!D:D,MATCH(A1701, orders!A:A,0)))</f>
        <v>2</v>
      </c>
      <c r="I1701" t="str">
        <f>VLOOKUP(VLOOKUP(B1701,products!A:F,6,0),categories!A:B,2,0)</f>
        <v>Seafood</v>
      </c>
      <c r="J1701" t="str">
        <f>VLOOKUP(VLOOKUP(A1701,orders!A:B,2,0),customers!A:F,6,0)</f>
        <v>Ireland</v>
      </c>
      <c r="K1701" t="str">
        <f>VLOOKUP(VLOOKUP(A1701,orders!A:C,3,0),employees!A:B,2,0)</f>
        <v>Janet Leverling</v>
      </c>
    </row>
    <row r="1702" spans="1:11" x14ac:dyDescent="0.25">
      <c r="A1702">
        <v>10898</v>
      </c>
      <c r="B1702">
        <v>13</v>
      </c>
      <c r="C1702">
        <v>6</v>
      </c>
      <c r="D1702">
        <v>5</v>
      </c>
      <c r="E1702">
        <v>0</v>
      </c>
      <c r="F1702">
        <f t="shared" si="26"/>
        <v>30</v>
      </c>
      <c r="G1702">
        <f>YEAR(VLOOKUP(A1702,orders!A:D,4,0))</f>
        <v>2015</v>
      </c>
      <c r="H1702">
        <f>MONTH(INDEX(orders!D:D,MATCH(A1702, orders!A:A,0)))</f>
        <v>2</v>
      </c>
      <c r="I1702" t="str">
        <f>VLOOKUP(VLOOKUP(B1702,products!A:F,6,0),categories!A:B,2,0)</f>
        <v>Seafood</v>
      </c>
      <c r="J1702" t="str">
        <f>VLOOKUP(VLOOKUP(A1702,orders!A:B,2,0),customers!A:F,6,0)</f>
        <v>Argentina</v>
      </c>
      <c r="K1702" t="str">
        <f>VLOOKUP(VLOOKUP(A1702,orders!A:C,3,0),employees!A:B,2,0)</f>
        <v>Margaret Peacock</v>
      </c>
    </row>
    <row r="1703" spans="1:11" x14ac:dyDescent="0.25">
      <c r="A1703">
        <v>10899</v>
      </c>
      <c r="B1703">
        <v>39</v>
      </c>
      <c r="C1703">
        <v>18</v>
      </c>
      <c r="D1703">
        <v>8</v>
      </c>
      <c r="E1703">
        <v>0.15</v>
      </c>
      <c r="F1703">
        <f t="shared" si="26"/>
        <v>122.39999999999999</v>
      </c>
      <c r="G1703">
        <f>YEAR(VLOOKUP(A1703,orders!A:D,4,0))</f>
        <v>2015</v>
      </c>
      <c r="H1703">
        <f>MONTH(INDEX(orders!D:D,MATCH(A1703, orders!A:A,0)))</f>
        <v>2</v>
      </c>
      <c r="I1703" t="str">
        <f>VLOOKUP(VLOOKUP(B1703,products!A:F,6,0),categories!A:B,2,0)</f>
        <v>Beverages</v>
      </c>
      <c r="J1703" t="str">
        <f>VLOOKUP(VLOOKUP(A1703,orders!A:B,2,0),customers!A:F,6,0)</f>
        <v>Venezuela</v>
      </c>
      <c r="K1703" t="str">
        <f>VLOOKUP(VLOOKUP(A1703,orders!A:C,3,0),employees!A:B,2,0)</f>
        <v>Steven Buchanan</v>
      </c>
    </row>
    <row r="1704" spans="1:11" x14ac:dyDescent="0.25">
      <c r="A1704">
        <v>10900</v>
      </c>
      <c r="B1704">
        <v>70</v>
      </c>
      <c r="C1704">
        <v>15</v>
      </c>
      <c r="D1704">
        <v>3</v>
      </c>
      <c r="E1704">
        <v>0.25</v>
      </c>
      <c r="F1704">
        <f t="shared" si="26"/>
        <v>33.75</v>
      </c>
      <c r="G1704">
        <f>YEAR(VLOOKUP(A1704,orders!A:D,4,0))</f>
        <v>2015</v>
      </c>
      <c r="H1704">
        <f>MONTH(INDEX(orders!D:D,MATCH(A1704, orders!A:A,0)))</f>
        <v>2</v>
      </c>
      <c r="I1704" t="str">
        <f>VLOOKUP(VLOOKUP(B1704,products!A:F,6,0),categories!A:B,2,0)</f>
        <v>Beverages</v>
      </c>
      <c r="J1704" t="str">
        <f>VLOOKUP(VLOOKUP(A1704,orders!A:B,2,0),customers!A:F,6,0)</f>
        <v>Brazil</v>
      </c>
      <c r="K1704" t="str">
        <f>VLOOKUP(VLOOKUP(A1704,orders!A:C,3,0),employees!A:B,2,0)</f>
        <v>Nancy Davolio</v>
      </c>
    </row>
    <row r="1705" spans="1:11" x14ac:dyDescent="0.25">
      <c r="A1705">
        <v>10901</v>
      </c>
      <c r="B1705">
        <v>41</v>
      </c>
      <c r="C1705">
        <v>9.65</v>
      </c>
      <c r="D1705">
        <v>30</v>
      </c>
      <c r="E1705">
        <v>0</v>
      </c>
      <c r="F1705">
        <f t="shared" si="26"/>
        <v>289.5</v>
      </c>
      <c r="G1705">
        <f>YEAR(VLOOKUP(A1705,orders!A:D,4,0))</f>
        <v>2015</v>
      </c>
      <c r="H1705">
        <f>MONTH(INDEX(orders!D:D,MATCH(A1705, orders!A:A,0)))</f>
        <v>2</v>
      </c>
      <c r="I1705" t="str">
        <f>VLOOKUP(VLOOKUP(B1705,products!A:F,6,0),categories!A:B,2,0)</f>
        <v>Seafood</v>
      </c>
      <c r="J1705" t="str">
        <f>VLOOKUP(VLOOKUP(A1705,orders!A:B,2,0),customers!A:F,6,0)</f>
        <v>Venezuela</v>
      </c>
      <c r="K1705" t="str">
        <f>VLOOKUP(VLOOKUP(A1705,orders!A:C,3,0),employees!A:B,2,0)</f>
        <v>Margaret Peacock</v>
      </c>
    </row>
    <row r="1706" spans="1:11" x14ac:dyDescent="0.25">
      <c r="A1706">
        <v>10901</v>
      </c>
      <c r="B1706">
        <v>71</v>
      </c>
      <c r="C1706">
        <v>21.5</v>
      </c>
      <c r="D1706">
        <v>30</v>
      </c>
      <c r="E1706">
        <v>0</v>
      </c>
      <c r="F1706">
        <f t="shared" si="26"/>
        <v>645</v>
      </c>
      <c r="G1706">
        <f>YEAR(VLOOKUP(A1706,orders!A:D,4,0))</f>
        <v>2015</v>
      </c>
      <c r="H1706">
        <f>MONTH(INDEX(orders!D:D,MATCH(A1706, orders!A:A,0)))</f>
        <v>2</v>
      </c>
      <c r="I1706" t="str">
        <f>VLOOKUP(VLOOKUP(B1706,products!A:F,6,0),categories!A:B,2,0)</f>
        <v>Dairy Products</v>
      </c>
      <c r="J1706" t="str">
        <f>VLOOKUP(VLOOKUP(A1706,orders!A:B,2,0),customers!A:F,6,0)</f>
        <v>Venezuela</v>
      </c>
      <c r="K1706" t="str">
        <f>VLOOKUP(VLOOKUP(A1706,orders!A:C,3,0),employees!A:B,2,0)</f>
        <v>Margaret Peacock</v>
      </c>
    </row>
    <row r="1707" spans="1:11" x14ac:dyDescent="0.25">
      <c r="A1707">
        <v>10902</v>
      </c>
      <c r="B1707">
        <v>55</v>
      </c>
      <c r="C1707">
        <v>24</v>
      </c>
      <c r="D1707">
        <v>30</v>
      </c>
      <c r="E1707">
        <v>0.15</v>
      </c>
      <c r="F1707">
        <f t="shared" si="26"/>
        <v>612</v>
      </c>
      <c r="G1707">
        <f>YEAR(VLOOKUP(A1707,orders!A:D,4,0))</f>
        <v>2015</v>
      </c>
      <c r="H1707">
        <f>MONTH(INDEX(orders!D:D,MATCH(A1707, orders!A:A,0)))</f>
        <v>2</v>
      </c>
      <c r="I1707" t="str">
        <f>VLOOKUP(VLOOKUP(B1707,products!A:F,6,0),categories!A:B,2,0)</f>
        <v>Meat &amp; Poultry</v>
      </c>
      <c r="J1707" t="str">
        <f>VLOOKUP(VLOOKUP(A1707,orders!A:B,2,0),customers!A:F,6,0)</f>
        <v>Sweden</v>
      </c>
      <c r="K1707" t="str">
        <f>VLOOKUP(VLOOKUP(A1707,orders!A:C,3,0),employees!A:B,2,0)</f>
        <v>Nancy Davolio</v>
      </c>
    </row>
    <row r="1708" spans="1:11" x14ac:dyDescent="0.25">
      <c r="A1708">
        <v>10902</v>
      </c>
      <c r="B1708">
        <v>62</v>
      </c>
      <c r="C1708">
        <v>49.3</v>
      </c>
      <c r="D1708">
        <v>6</v>
      </c>
      <c r="E1708">
        <v>0.15</v>
      </c>
      <c r="F1708">
        <f t="shared" si="26"/>
        <v>251.42999999999995</v>
      </c>
      <c r="G1708">
        <f>YEAR(VLOOKUP(A1708,orders!A:D,4,0))</f>
        <v>2015</v>
      </c>
      <c r="H1708">
        <f>MONTH(INDEX(orders!D:D,MATCH(A1708, orders!A:A,0)))</f>
        <v>2</v>
      </c>
      <c r="I1708" t="str">
        <f>VLOOKUP(VLOOKUP(B1708,products!A:F,6,0),categories!A:B,2,0)</f>
        <v>Confections</v>
      </c>
      <c r="J1708" t="str">
        <f>VLOOKUP(VLOOKUP(A1708,orders!A:B,2,0),customers!A:F,6,0)</f>
        <v>Sweden</v>
      </c>
      <c r="K1708" t="str">
        <f>VLOOKUP(VLOOKUP(A1708,orders!A:C,3,0),employees!A:B,2,0)</f>
        <v>Nancy Davolio</v>
      </c>
    </row>
    <row r="1709" spans="1:11" x14ac:dyDescent="0.25">
      <c r="A1709">
        <v>10903</v>
      </c>
      <c r="B1709">
        <v>13</v>
      </c>
      <c r="C1709">
        <v>6</v>
      </c>
      <c r="D1709">
        <v>40</v>
      </c>
      <c r="E1709">
        <v>0</v>
      </c>
      <c r="F1709">
        <f t="shared" si="26"/>
        <v>240</v>
      </c>
      <c r="G1709">
        <f>YEAR(VLOOKUP(A1709,orders!A:D,4,0))</f>
        <v>2015</v>
      </c>
      <c r="H1709">
        <f>MONTH(INDEX(orders!D:D,MATCH(A1709, orders!A:A,0)))</f>
        <v>2</v>
      </c>
      <c r="I1709" t="str">
        <f>VLOOKUP(VLOOKUP(B1709,products!A:F,6,0),categories!A:B,2,0)</f>
        <v>Seafood</v>
      </c>
      <c r="J1709" t="str">
        <f>VLOOKUP(VLOOKUP(A1709,orders!A:B,2,0),customers!A:F,6,0)</f>
        <v>Brazil</v>
      </c>
      <c r="K1709" t="str">
        <f>VLOOKUP(VLOOKUP(A1709,orders!A:C,3,0),employees!A:B,2,0)</f>
        <v>Janet Leverling</v>
      </c>
    </row>
    <row r="1710" spans="1:11" x14ac:dyDescent="0.25">
      <c r="A1710">
        <v>10903</v>
      </c>
      <c r="B1710">
        <v>65</v>
      </c>
      <c r="C1710">
        <v>21.05</v>
      </c>
      <c r="D1710">
        <v>21</v>
      </c>
      <c r="E1710">
        <v>0</v>
      </c>
      <c r="F1710">
        <f t="shared" si="26"/>
        <v>442.05</v>
      </c>
      <c r="G1710">
        <f>YEAR(VLOOKUP(A1710,orders!A:D,4,0))</f>
        <v>2015</v>
      </c>
      <c r="H1710">
        <f>MONTH(INDEX(orders!D:D,MATCH(A1710, orders!A:A,0)))</f>
        <v>2</v>
      </c>
      <c r="I1710" t="str">
        <f>VLOOKUP(VLOOKUP(B1710,products!A:F,6,0),categories!A:B,2,0)</f>
        <v>Condiments</v>
      </c>
      <c r="J1710" t="str">
        <f>VLOOKUP(VLOOKUP(A1710,orders!A:B,2,0),customers!A:F,6,0)</f>
        <v>Brazil</v>
      </c>
      <c r="K1710" t="str">
        <f>VLOOKUP(VLOOKUP(A1710,orders!A:C,3,0),employees!A:B,2,0)</f>
        <v>Janet Leverling</v>
      </c>
    </row>
    <row r="1711" spans="1:11" x14ac:dyDescent="0.25">
      <c r="A1711">
        <v>10903</v>
      </c>
      <c r="B1711">
        <v>68</v>
      </c>
      <c r="C1711">
        <v>12.5</v>
      </c>
      <c r="D1711">
        <v>20</v>
      </c>
      <c r="E1711">
        <v>0</v>
      </c>
      <c r="F1711">
        <f t="shared" si="26"/>
        <v>250</v>
      </c>
      <c r="G1711">
        <f>YEAR(VLOOKUP(A1711,orders!A:D,4,0))</f>
        <v>2015</v>
      </c>
      <c r="H1711">
        <f>MONTH(INDEX(orders!D:D,MATCH(A1711, orders!A:A,0)))</f>
        <v>2</v>
      </c>
      <c r="I1711" t="str">
        <f>VLOOKUP(VLOOKUP(B1711,products!A:F,6,0),categories!A:B,2,0)</f>
        <v>Confections</v>
      </c>
      <c r="J1711" t="str">
        <f>VLOOKUP(VLOOKUP(A1711,orders!A:B,2,0),customers!A:F,6,0)</f>
        <v>Brazil</v>
      </c>
      <c r="K1711" t="str">
        <f>VLOOKUP(VLOOKUP(A1711,orders!A:C,3,0),employees!A:B,2,0)</f>
        <v>Janet Leverling</v>
      </c>
    </row>
    <row r="1712" spans="1:11" x14ac:dyDescent="0.25">
      <c r="A1712">
        <v>10904</v>
      </c>
      <c r="B1712">
        <v>58</v>
      </c>
      <c r="C1712">
        <v>13.25</v>
      </c>
      <c r="D1712">
        <v>15</v>
      </c>
      <c r="E1712">
        <v>0</v>
      </c>
      <c r="F1712">
        <f t="shared" si="26"/>
        <v>198.75</v>
      </c>
      <c r="G1712">
        <f>YEAR(VLOOKUP(A1712,orders!A:D,4,0))</f>
        <v>2015</v>
      </c>
      <c r="H1712">
        <f>MONTH(INDEX(orders!D:D,MATCH(A1712, orders!A:A,0)))</f>
        <v>2</v>
      </c>
      <c r="I1712" t="str">
        <f>VLOOKUP(VLOOKUP(B1712,products!A:F,6,0),categories!A:B,2,0)</f>
        <v>Seafood</v>
      </c>
      <c r="J1712" t="str">
        <f>VLOOKUP(VLOOKUP(A1712,orders!A:B,2,0),customers!A:F,6,0)</f>
        <v>USA</v>
      </c>
      <c r="K1712" t="str">
        <f>VLOOKUP(VLOOKUP(A1712,orders!A:C,3,0),employees!A:B,2,0)</f>
        <v>Janet Leverling</v>
      </c>
    </row>
    <row r="1713" spans="1:11" x14ac:dyDescent="0.25">
      <c r="A1713">
        <v>10904</v>
      </c>
      <c r="B1713">
        <v>62</v>
      </c>
      <c r="C1713">
        <v>49.3</v>
      </c>
      <c r="D1713">
        <v>35</v>
      </c>
      <c r="E1713">
        <v>0</v>
      </c>
      <c r="F1713">
        <f t="shared" si="26"/>
        <v>1725.5</v>
      </c>
      <c r="G1713">
        <f>YEAR(VLOOKUP(A1713,orders!A:D,4,0))</f>
        <v>2015</v>
      </c>
      <c r="H1713">
        <f>MONTH(INDEX(orders!D:D,MATCH(A1713, orders!A:A,0)))</f>
        <v>2</v>
      </c>
      <c r="I1713" t="str">
        <f>VLOOKUP(VLOOKUP(B1713,products!A:F,6,0),categories!A:B,2,0)</f>
        <v>Confections</v>
      </c>
      <c r="J1713" t="str">
        <f>VLOOKUP(VLOOKUP(A1713,orders!A:B,2,0),customers!A:F,6,0)</f>
        <v>USA</v>
      </c>
      <c r="K1713" t="str">
        <f>VLOOKUP(VLOOKUP(A1713,orders!A:C,3,0),employees!A:B,2,0)</f>
        <v>Janet Leverling</v>
      </c>
    </row>
    <row r="1714" spans="1:11" x14ac:dyDescent="0.25">
      <c r="A1714">
        <v>10905</v>
      </c>
      <c r="B1714">
        <v>1</v>
      </c>
      <c r="C1714">
        <v>18</v>
      </c>
      <c r="D1714">
        <v>20</v>
      </c>
      <c r="E1714">
        <v>0.05</v>
      </c>
      <c r="F1714">
        <f t="shared" si="26"/>
        <v>342</v>
      </c>
      <c r="G1714">
        <f>YEAR(VLOOKUP(A1714,orders!A:D,4,0))</f>
        <v>2015</v>
      </c>
      <c r="H1714">
        <f>MONTH(INDEX(orders!D:D,MATCH(A1714, orders!A:A,0)))</f>
        <v>2</v>
      </c>
      <c r="I1714" t="str">
        <f>VLOOKUP(VLOOKUP(B1714,products!A:F,6,0),categories!A:B,2,0)</f>
        <v>Beverages</v>
      </c>
      <c r="J1714" t="str">
        <f>VLOOKUP(VLOOKUP(A1714,orders!A:B,2,0),customers!A:F,6,0)</f>
        <v>Brazil</v>
      </c>
      <c r="K1714" t="str">
        <f>VLOOKUP(VLOOKUP(A1714,orders!A:C,3,0),employees!A:B,2,0)</f>
        <v>Anne Dodsworth</v>
      </c>
    </row>
    <row r="1715" spans="1:11" x14ac:dyDescent="0.25">
      <c r="A1715">
        <v>10906</v>
      </c>
      <c r="B1715">
        <v>61</v>
      </c>
      <c r="C1715">
        <v>28.5</v>
      </c>
      <c r="D1715">
        <v>15</v>
      </c>
      <c r="E1715">
        <v>0</v>
      </c>
      <c r="F1715">
        <f t="shared" si="26"/>
        <v>427.5</v>
      </c>
      <c r="G1715">
        <f>YEAR(VLOOKUP(A1715,orders!A:D,4,0))</f>
        <v>2015</v>
      </c>
      <c r="H1715">
        <f>MONTH(INDEX(orders!D:D,MATCH(A1715, orders!A:A,0)))</f>
        <v>2</v>
      </c>
      <c r="I1715" t="str">
        <f>VLOOKUP(VLOOKUP(B1715,products!A:F,6,0),categories!A:B,2,0)</f>
        <v>Condiments</v>
      </c>
      <c r="J1715" t="str">
        <f>VLOOKUP(VLOOKUP(A1715,orders!A:B,2,0),customers!A:F,6,0)</f>
        <v>Poland</v>
      </c>
      <c r="K1715" t="str">
        <f>VLOOKUP(VLOOKUP(A1715,orders!A:C,3,0),employees!A:B,2,0)</f>
        <v>Margaret Peacock</v>
      </c>
    </row>
    <row r="1716" spans="1:11" x14ac:dyDescent="0.25">
      <c r="A1716">
        <v>10907</v>
      </c>
      <c r="B1716">
        <v>75</v>
      </c>
      <c r="C1716">
        <v>7.75</v>
      </c>
      <c r="D1716">
        <v>14</v>
      </c>
      <c r="E1716">
        <v>0</v>
      </c>
      <c r="F1716">
        <f t="shared" si="26"/>
        <v>108.5</v>
      </c>
      <c r="G1716">
        <f>YEAR(VLOOKUP(A1716,orders!A:D,4,0))</f>
        <v>2015</v>
      </c>
      <c r="H1716">
        <f>MONTH(INDEX(orders!D:D,MATCH(A1716, orders!A:A,0)))</f>
        <v>2</v>
      </c>
      <c r="I1716" t="str">
        <f>VLOOKUP(VLOOKUP(B1716,products!A:F,6,0),categories!A:B,2,0)</f>
        <v>Beverages</v>
      </c>
      <c r="J1716" t="str">
        <f>VLOOKUP(VLOOKUP(A1716,orders!A:B,2,0),customers!A:F,6,0)</f>
        <v>France</v>
      </c>
      <c r="K1716" t="str">
        <f>VLOOKUP(VLOOKUP(A1716,orders!A:C,3,0),employees!A:B,2,0)</f>
        <v>Michael Suyama</v>
      </c>
    </row>
    <row r="1717" spans="1:11" x14ac:dyDescent="0.25">
      <c r="A1717">
        <v>10908</v>
      </c>
      <c r="B1717">
        <v>7</v>
      </c>
      <c r="C1717">
        <v>30</v>
      </c>
      <c r="D1717">
        <v>20</v>
      </c>
      <c r="E1717">
        <v>0.05</v>
      </c>
      <c r="F1717">
        <f t="shared" si="26"/>
        <v>570</v>
      </c>
      <c r="G1717">
        <f>YEAR(VLOOKUP(A1717,orders!A:D,4,0))</f>
        <v>2015</v>
      </c>
      <c r="H1717">
        <f>MONTH(INDEX(orders!D:D,MATCH(A1717, orders!A:A,0)))</f>
        <v>2</v>
      </c>
      <c r="I1717" t="str">
        <f>VLOOKUP(VLOOKUP(B1717,products!A:F,6,0),categories!A:B,2,0)</f>
        <v>Produce</v>
      </c>
      <c r="J1717" t="str">
        <f>VLOOKUP(VLOOKUP(A1717,orders!A:B,2,0),customers!A:F,6,0)</f>
        <v>Italy</v>
      </c>
      <c r="K1717" t="str">
        <f>VLOOKUP(VLOOKUP(A1717,orders!A:C,3,0),employees!A:B,2,0)</f>
        <v>Margaret Peacock</v>
      </c>
    </row>
    <row r="1718" spans="1:11" x14ac:dyDescent="0.25">
      <c r="A1718">
        <v>10908</v>
      </c>
      <c r="B1718">
        <v>52</v>
      </c>
      <c r="C1718">
        <v>7</v>
      </c>
      <c r="D1718">
        <v>14</v>
      </c>
      <c r="E1718">
        <v>0.05</v>
      </c>
      <c r="F1718">
        <f t="shared" si="26"/>
        <v>93.1</v>
      </c>
      <c r="G1718">
        <f>YEAR(VLOOKUP(A1718,orders!A:D,4,0))</f>
        <v>2015</v>
      </c>
      <c r="H1718">
        <f>MONTH(INDEX(orders!D:D,MATCH(A1718, orders!A:A,0)))</f>
        <v>2</v>
      </c>
      <c r="I1718" t="str">
        <f>VLOOKUP(VLOOKUP(B1718,products!A:F,6,0),categories!A:B,2,0)</f>
        <v>Grains &amp; Cereals</v>
      </c>
      <c r="J1718" t="str">
        <f>VLOOKUP(VLOOKUP(A1718,orders!A:B,2,0),customers!A:F,6,0)</f>
        <v>Italy</v>
      </c>
      <c r="K1718" t="str">
        <f>VLOOKUP(VLOOKUP(A1718,orders!A:C,3,0),employees!A:B,2,0)</f>
        <v>Margaret Peacock</v>
      </c>
    </row>
    <row r="1719" spans="1:11" x14ac:dyDescent="0.25">
      <c r="A1719">
        <v>10909</v>
      </c>
      <c r="B1719">
        <v>7</v>
      </c>
      <c r="C1719">
        <v>30</v>
      </c>
      <c r="D1719">
        <v>12</v>
      </c>
      <c r="E1719">
        <v>0</v>
      </c>
      <c r="F1719">
        <f t="shared" si="26"/>
        <v>360</v>
      </c>
      <c r="G1719">
        <f>YEAR(VLOOKUP(A1719,orders!A:D,4,0))</f>
        <v>2015</v>
      </c>
      <c r="H1719">
        <f>MONTH(INDEX(orders!D:D,MATCH(A1719, orders!A:A,0)))</f>
        <v>2</v>
      </c>
      <c r="I1719" t="str">
        <f>VLOOKUP(VLOOKUP(B1719,products!A:F,6,0),categories!A:B,2,0)</f>
        <v>Produce</v>
      </c>
      <c r="J1719" t="str">
        <f>VLOOKUP(VLOOKUP(A1719,orders!A:B,2,0),customers!A:F,6,0)</f>
        <v>Norway</v>
      </c>
      <c r="K1719" t="str">
        <f>VLOOKUP(VLOOKUP(A1719,orders!A:C,3,0),employees!A:B,2,0)</f>
        <v>Nancy Davolio</v>
      </c>
    </row>
    <row r="1720" spans="1:11" x14ac:dyDescent="0.25">
      <c r="A1720">
        <v>10909</v>
      </c>
      <c r="B1720">
        <v>16</v>
      </c>
      <c r="C1720">
        <v>17.45</v>
      </c>
      <c r="D1720">
        <v>15</v>
      </c>
      <c r="E1720">
        <v>0</v>
      </c>
      <c r="F1720">
        <f t="shared" si="26"/>
        <v>261.75</v>
      </c>
      <c r="G1720">
        <f>YEAR(VLOOKUP(A1720,orders!A:D,4,0))</f>
        <v>2015</v>
      </c>
      <c r="H1720">
        <f>MONTH(INDEX(orders!D:D,MATCH(A1720, orders!A:A,0)))</f>
        <v>2</v>
      </c>
      <c r="I1720" t="str">
        <f>VLOOKUP(VLOOKUP(B1720,products!A:F,6,0),categories!A:B,2,0)</f>
        <v>Confections</v>
      </c>
      <c r="J1720" t="str">
        <f>VLOOKUP(VLOOKUP(A1720,orders!A:B,2,0),customers!A:F,6,0)</f>
        <v>Norway</v>
      </c>
      <c r="K1720" t="str">
        <f>VLOOKUP(VLOOKUP(A1720,orders!A:C,3,0),employees!A:B,2,0)</f>
        <v>Nancy Davolio</v>
      </c>
    </row>
    <row r="1721" spans="1:11" x14ac:dyDescent="0.25">
      <c r="A1721">
        <v>10909</v>
      </c>
      <c r="B1721">
        <v>41</v>
      </c>
      <c r="C1721">
        <v>9.65</v>
      </c>
      <c r="D1721">
        <v>5</v>
      </c>
      <c r="E1721">
        <v>0</v>
      </c>
      <c r="F1721">
        <f t="shared" si="26"/>
        <v>48.25</v>
      </c>
      <c r="G1721">
        <f>YEAR(VLOOKUP(A1721,orders!A:D,4,0))</f>
        <v>2015</v>
      </c>
      <c r="H1721">
        <f>MONTH(INDEX(orders!D:D,MATCH(A1721, orders!A:A,0)))</f>
        <v>2</v>
      </c>
      <c r="I1721" t="str">
        <f>VLOOKUP(VLOOKUP(B1721,products!A:F,6,0),categories!A:B,2,0)</f>
        <v>Seafood</v>
      </c>
      <c r="J1721" t="str">
        <f>VLOOKUP(VLOOKUP(A1721,orders!A:B,2,0),customers!A:F,6,0)</f>
        <v>Norway</v>
      </c>
      <c r="K1721" t="str">
        <f>VLOOKUP(VLOOKUP(A1721,orders!A:C,3,0),employees!A:B,2,0)</f>
        <v>Nancy Davolio</v>
      </c>
    </row>
    <row r="1722" spans="1:11" x14ac:dyDescent="0.25">
      <c r="A1722">
        <v>10910</v>
      </c>
      <c r="B1722">
        <v>19</v>
      </c>
      <c r="C1722">
        <v>9.1999999999999993</v>
      </c>
      <c r="D1722">
        <v>12</v>
      </c>
      <c r="E1722">
        <v>0</v>
      </c>
      <c r="F1722">
        <f t="shared" si="26"/>
        <v>110.39999999999999</v>
      </c>
      <c r="G1722">
        <f>YEAR(VLOOKUP(A1722,orders!A:D,4,0))</f>
        <v>2015</v>
      </c>
      <c r="H1722">
        <f>MONTH(INDEX(orders!D:D,MATCH(A1722, orders!A:A,0)))</f>
        <v>2</v>
      </c>
      <c r="I1722" t="str">
        <f>VLOOKUP(VLOOKUP(B1722,products!A:F,6,0),categories!A:B,2,0)</f>
        <v>Confections</v>
      </c>
      <c r="J1722" t="str">
        <f>VLOOKUP(VLOOKUP(A1722,orders!A:B,2,0),customers!A:F,6,0)</f>
        <v>Finland</v>
      </c>
      <c r="K1722" t="str">
        <f>VLOOKUP(VLOOKUP(A1722,orders!A:C,3,0),employees!A:B,2,0)</f>
        <v>Nancy Davolio</v>
      </c>
    </row>
    <row r="1723" spans="1:11" x14ac:dyDescent="0.25">
      <c r="A1723">
        <v>10910</v>
      </c>
      <c r="B1723">
        <v>49</v>
      </c>
      <c r="C1723">
        <v>20</v>
      </c>
      <c r="D1723">
        <v>10</v>
      </c>
      <c r="E1723">
        <v>0</v>
      </c>
      <c r="F1723">
        <f t="shared" si="26"/>
        <v>200</v>
      </c>
      <c r="G1723">
        <f>YEAR(VLOOKUP(A1723,orders!A:D,4,0))</f>
        <v>2015</v>
      </c>
      <c r="H1723">
        <f>MONTH(INDEX(orders!D:D,MATCH(A1723, orders!A:A,0)))</f>
        <v>2</v>
      </c>
      <c r="I1723" t="str">
        <f>VLOOKUP(VLOOKUP(B1723,products!A:F,6,0),categories!A:B,2,0)</f>
        <v>Confections</v>
      </c>
      <c r="J1723" t="str">
        <f>VLOOKUP(VLOOKUP(A1723,orders!A:B,2,0),customers!A:F,6,0)</f>
        <v>Finland</v>
      </c>
      <c r="K1723" t="str">
        <f>VLOOKUP(VLOOKUP(A1723,orders!A:C,3,0),employees!A:B,2,0)</f>
        <v>Nancy Davolio</v>
      </c>
    </row>
    <row r="1724" spans="1:11" x14ac:dyDescent="0.25">
      <c r="A1724">
        <v>10910</v>
      </c>
      <c r="B1724">
        <v>61</v>
      </c>
      <c r="C1724">
        <v>28.5</v>
      </c>
      <c r="D1724">
        <v>5</v>
      </c>
      <c r="E1724">
        <v>0</v>
      </c>
      <c r="F1724">
        <f t="shared" si="26"/>
        <v>142.5</v>
      </c>
      <c r="G1724">
        <f>YEAR(VLOOKUP(A1724,orders!A:D,4,0))</f>
        <v>2015</v>
      </c>
      <c r="H1724">
        <f>MONTH(INDEX(orders!D:D,MATCH(A1724, orders!A:A,0)))</f>
        <v>2</v>
      </c>
      <c r="I1724" t="str">
        <f>VLOOKUP(VLOOKUP(B1724,products!A:F,6,0),categories!A:B,2,0)</f>
        <v>Condiments</v>
      </c>
      <c r="J1724" t="str">
        <f>VLOOKUP(VLOOKUP(A1724,orders!A:B,2,0),customers!A:F,6,0)</f>
        <v>Finland</v>
      </c>
      <c r="K1724" t="str">
        <f>VLOOKUP(VLOOKUP(A1724,orders!A:C,3,0),employees!A:B,2,0)</f>
        <v>Nancy Davolio</v>
      </c>
    </row>
    <row r="1725" spans="1:11" x14ac:dyDescent="0.25">
      <c r="A1725">
        <v>10911</v>
      </c>
      <c r="B1725">
        <v>1</v>
      </c>
      <c r="C1725">
        <v>18</v>
      </c>
      <c r="D1725">
        <v>10</v>
      </c>
      <c r="E1725">
        <v>0</v>
      </c>
      <c r="F1725">
        <f t="shared" si="26"/>
        <v>180</v>
      </c>
      <c r="G1725">
        <f>YEAR(VLOOKUP(A1725,orders!A:D,4,0))</f>
        <v>2015</v>
      </c>
      <c r="H1725">
        <f>MONTH(INDEX(orders!D:D,MATCH(A1725, orders!A:A,0)))</f>
        <v>2</v>
      </c>
      <c r="I1725" t="str">
        <f>VLOOKUP(VLOOKUP(B1725,products!A:F,6,0),categories!A:B,2,0)</f>
        <v>Beverages</v>
      </c>
      <c r="J1725" t="str">
        <f>VLOOKUP(VLOOKUP(A1725,orders!A:B,2,0),customers!A:F,6,0)</f>
        <v>Spain</v>
      </c>
      <c r="K1725" t="str">
        <f>VLOOKUP(VLOOKUP(A1725,orders!A:C,3,0),employees!A:B,2,0)</f>
        <v>Janet Leverling</v>
      </c>
    </row>
    <row r="1726" spans="1:11" x14ac:dyDescent="0.25">
      <c r="A1726">
        <v>10911</v>
      </c>
      <c r="B1726">
        <v>17</v>
      </c>
      <c r="C1726">
        <v>39</v>
      </c>
      <c r="D1726">
        <v>12</v>
      </c>
      <c r="E1726">
        <v>0</v>
      </c>
      <c r="F1726">
        <f t="shared" si="26"/>
        <v>468</v>
      </c>
      <c r="G1726">
        <f>YEAR(VLOOKUP(A1726,orders!A:D,4,0))</f>
        <v>2015</v>
      </c>
      <c r="H1726">
        <f>MONTH(INDEX(orders!D:D,MATCH(A1726, orders!A:A,0)))</f>
        <v>2</v>
      </c>
      <c r="I1726" t="str">
        <f>VLOOKUP(VLOOKUP(B1726,products!A:F,6,0),categories!A:B,2,0)</f>
        <v>Meat &amp; Poultry</v>
      </c>
      <c r="J1726" t="str">
        <f>VLOOKUP(VLOOKUP(A1726,orders!A:B,2,0),customers!A:F,6,0)</f>
        <v>Spain</v>
      </c>
      <c r="K1726" t="str">
        <f>VLOOKUP(VLOOKUP(A1726,orders!A:C,3,0),employees!A:B,2,0)</f>
        <v>Janet Leverling</v>
      </c>
    </row>
    <row r="1727" spans="1:11" x14ac:dyDescent="0.25">
      <c r="A1727">
        <v>10911</v>
      </c>
      <c r="B1727">
        <v>67</v>
      </c>
      <c r="C1727">
        <v>14</v>
      </c>
      <c r="D1727">
        <v>15</v>
      </c>
      <c r="E1727">
        <v>0</v>
      </c>
      <c r="F1727">
        <f t="shared" si="26"/>
        <v>210</v>
      </c>
      <c r="G1727">
        <f>YEAR(VLOOKUP(A1727,orders!A:D,4,0))</f>
        <v>2015</v>
      </c>
      <c r="H1727">
        <f>MONTH(INDEX(orders!D:D,MATCH(A1727, orders!A:A,0)))</f>
        <v>2</v>
      </c>
      <c r="I1727" t="str">
        <f>VLOOKUP(VLOOKUP(B1727,products!A:F,6,0),categories!A:B,2,0)</f>
        <v>Beverages</v>
      </c>
      <c r="J1727" t="str">
        <f>VLOOKUP(VLOOKUP(A1727,orders!A:B,2,0),customers!A:F,6,0)</f>
        <v>Spain</v>
      </c>
      <c r="K1727" t="str">
        <f>VLOOKUP(VLOOKUP(A1727,orders!A:C,3,0),employees!A:B,2,0)</f>
        <v>Janet Leverling</v>
      </c>
    </row>
    <row r="1728" spans="1:11" x14ac:dyDescent="0.25">
      <c r="A1728">
        <v>10912</v>
      </c>
      <c r="B1728">
        <v>11</v>
      </c>
      <c r="C1728">
        <v>21</v>
      </c>
      <c r="D1728">
        <v>40</v>
      </c>
      <c r="E1728">
        <v>0.25</v>
      </c>
      <c r="F1728">
        <f t="shared" si="26"/>
        <v>630</v>
      </c>
      <c r="G1728">
        <f>YEAR(VLOOKUP(A1728,orders!A:D,4,0))</f>
        <v>2015</v>
      </c>
      <c r="H1728">
        <f>MONTH(INDEX(orders!D:D,MATCH(A1728, orders!A:A,0)))</f>
        <v>2</v>
      </c>
      <c r="I1728" t="str">
        <f>VLOOKUP(VLOOKUP(B1728,products!A:F,6,0),categories!A:B,2,0)</f>
        <v>Dairy Products</v>
      </c>
      <c r="J1728" t="str">
        <f>VLOOKUP(VLOOKUP(A1728,orders!A:B,2,0),customers!A:F,6,0)</f>
        <v>Ireland</v>
      </c>
      <c r="K1728" t="str">
        <f>VLOOKUP(VLOOKUP(A1728,orders!A:C,3,0),employees!A:B,2,0)</f>
        <v>Andrew Fuller</v>
      </c>
    </row>
    <row r="1729" spans="1:11" x14ac:dyDescent="0.25">
      <c r="A1729">
        <v>10912</v>
      </c>
      <c r="B1729">
        <v>29</v>
      </c>
      <c r="C1729">
        <v>123.79</v>
      </c>
      <c r="D1729">
        <v>60</v>
      </c>
      <c r="E1729">
        <v>0.25</v>
      </c>
      <c r="F1729">
        <f t="shared" si="26"/>
        <v>5570.55</v>
      </c>
      <c r="G1729">
        <f>YEAR(VLOOKUP(A1729,orders!A:D,4,0))</f>
        <v>2015</v>
      </c>
      <c r="H1729">
        <f>MONTH(INDEX(orders!D:D,MATCH(A1729, orders!A:A,0)))</f>
        <v>2</v>
      </c>
      <c r="I1729" t="str">
        <f>VLOOKUP(VLOOKUP(B1729,products!A:F,6,0),categories!A:B,2,0)</f>
        <v>Meat &amp; Poultry</v>
      </c>
      <c r="J1729" t="str">
        <f>VLOOKUP(VLOOKUP(A1729,orders!A:B,2,0),customers!A:F,6,0)</f>
        <v>Ireland</v>
      </c>
      <c r="K1729" t="str">
        <f>VLOOKUP(VLOOKUP(A1729,orders!A:C,3,0),employees!A:B,2,0)</f>
        <v>Andrew Fuller</v>
      </c>
    </row>
    <row r="1730" spans="1:11" x14ac:dyDescent="0.25">
      <c r="A1730">
        <v>10913</v>
      </c>
      <c r="B1730">
        <v>4</v>
      </c>
      <c r="C1730">
        <v>22</v>
      </c>
      <c r="D1730">
        <v>30</v>
      </c>
      <c r="E1730">
        <v>0.25</v>
      </c>
      <c r="F1730">
        <f t="shared" si="26"/>
        <v>495</v>
      </c>
      <c r="G1730">
        <f>YEAR(VLOOKUP(A1730,orders!A:D,4,0))</f>
        <v>2015</v>
      </c>
      <c r="H1730">
        <f>MONTH(INDEX(orders!D:D,MATCH(A1730, orders!A:A,0)))</f>
        <v>2</v>
      </c>
      <c r="I1730" t="str">
        <f>VLOOKUP(VLOOKUP(B1730,products!A:F,6,0),categories!A:B,2,0)</f>
        <v>Condiments</v>
      </c>
      <c r="J1730" t="str">
        <f>VLOOKUP(VLOOKUP(A1730,orders!A:B,2,0),customers!A:F,6,0)</f>
        <v>Brazil</v>
      </c>
      <c r="K1730" t="str">
        <f>VLOOKUP(VLOOKUP(A1730,orders!A:C,3,0),employees!A:B,2,0)</f>
        <v>Margaret Peacock</v>
      </c>
    </row>
    <row r="1731" spans="1:11" x14ac:dyDescent="0.25">
      <c r="A1731">
        <v>10913</v>
      </c>
      <c r="B1731">
        <v>33</v>
      </c>
      <c r="C1731">
        <v>2.5</v>
      </c>
      <c r="D1731">
        <v>40</v>
      </c>
      <c r="E1731">
        <v>0.25</v>
      </c>
      <c r="F1731">
        <f t="shared" ref="F1731:F1794" si="27">C1731*D1731*(1-E1731)</f>
        <v>75</v>
      </c>
      <c r="G1731">
        <f>YEAR(VLOOKUP(A1731,orders!A:D,4,0))</f>
        <v>2015</v>
      </c>
      <c r="H1731">
        <f>MONTH(INDEX(orders!D:D,MATCH(A1731, orders!A:A,0)))</f>
        <v>2</v>
      </c>
      <c r="I1731" t="str">
        <f>VLOOKUP(VLOOKUP(B1731,products!A:F,6,0),categories!A:B,2,0)</f>
        <v>Dairy Products</v>
      </c>
      <c r="J1731" t="str">
        <f>VLOOKUP(VLOOKUP(A1731,orders!A:B,2,0),customers!A:F,6,0)</f>
        <v>Brazil</v>
      </c>
      <c r="K1731" t="str">
        <f>VLOOKUP(VLOOKUP(A1731,orders!A:C,3,0),employees!A:B,2,0)</f>
        <v>Margaret Peacock</v>
      </c>
    </row>
    <row r="1732" spans="1:11" x14ac:dyDescent="0.25">
      <c r="A1732">
        <v>10913</v>
      </c>
      <c r="B1732">
        <v>58</v>
      </c>
      <c r="C1732">
        <v>13.25</v>
      </c>
      <c r="D1732">
        <v>15</v>
      </c>
      <c r="E1732">
        <v>0</v>
      </c>
      <c r="F1732">
        <f t="shared" si="27"/>
        <v>198.75</v>
      </c>
      <c r="G1732">
        <f>YEAR(VLOOKUP(A1732,orders!A:D,4,0))</f>
        <v>2015</v>
      </c>
      <c r="H1732">
        <f>MONTH(INDEX(orders!D:D,MATCH(A1732, orders!A:A,0)))</f>
        <v>2</v>
      </c>
      <c r="I1732" t="str">
        <f>VLOOKUP(VLOOKUP(B1732,products!A:F,6,0),categories!A:B,2,0)</f>
        <v>Seafood</v>
      </c>
      <c r="J1732" t="str">
        <f>VLOOKUP(VLOOKUP(A1732,orders!A:B,2,0),customers!A:F,6,0)</f>
        <v>Brazil</v>
      </c>
      <c r="K1732" t="str">
        <f>VLOOKUP(VLOOKUP(A1732,orders!A:C,3,0),employees!A:B,2,0)</f>
        <v>Margaret Peacock</v>
      </c>
    </row>
    <row r="1733" spans="1:11" x14ac:dyDescent="0.25">
      <c r="A1733">
        <v>10914</v>
      </c>
      <c r="B1733">
        <v>71</v>
      </c>
      <c r="C1733">
        <v>21.5</v>
      </c>
      <c r="D1733">
        <v>25</v>
      </c>
      <c r="E1733">
        <v>0</v>
      </c>
      <c r="F1733">
        <f t="shared" si="27"/>
        <v>537.5</v>
      </c>
      <c r="G1733">
        <f>YEAR(VLOOKUP(A1733,orders!A:D,4,0))</f>
        <v>2015</v>
      </c>
      <c r="H1733">
        <f>MONTH(INDEX(orders!D:D,MATCH(A1733, orders!A:A,0)))</f>
        <v>2</v>
      </c>
      <c r="I1733" t="str">
        <f>VLOOKUP(VLOOKUP(B1733,products!A:F,6,0),categories!A:B,2,0)</f>
        <v>Dairy Products</v>
      </c>
      <c r="J1733" t="str">
        <f>VLOOKUP(VLOOKUP(A1733,orders!A:B,2,0),customers!A:F,6,0)</f>
        <v>Brazil</v>
      </c>
      <c r="K1733" t="str">
        <f>VLOOKUP(VLOOKUP(A1733,orders!A:C,3,0),employees!A:B,2,0)</f>
        <v>Michael Suyama</v>
      </c>
    </row>
    <row r="1734" spans="1:11" x14ac:dyDescent="0.25">
      <c r="A1734">
        <v>10915</v>
      </c>
      <c r="B1734">
        <v>17</v>
      </c>
      <c r="C1734">
        <v>39</v>
      </c>
      <c r="D1734">
        <v>10</v>
      </c>
      <c r="E1734">
        <v>0</v>
      </c>
      <c r="F1734">
        <f t="shared" si="27"/>
        <v>390</v>
      </c>
      <c r="G1734">
        <f>YEAR(VLOOKUP(A1734,orders!A:D,4,0))</f>
        <v>2015</v>
      </c>
      <c r="H1734">
        <f>MONTH(INDEX(orders!D:D,MATCH(A1734, orders!A:A,0)))</f>
        <v>2</v>
      </c>
      <c r="I1734" t="str">
        <f>VLOOKUP(VLOOKUP(B1734,products!A:F,6,0),categories!A:B,2,0)</f>
        <v>Meat &amp; Poultry</v>
      </c>
      <c r="J1734" t="str">
        <f>VLOOKUP(VLOOKUP(A1734,orders!A:B,2,0),customers!A:F,6,0)</f>
        <v>Mexico</v>
      </c>
      <c r="K1734" t="str">
        <f>VLOOKUP(VLOOKUP(A1734,orders!A:C,3,0),employees!A:B,2,0)</f>
        <v>Andrew Fuller</v>
      </c>
    </row>
    <row r="1735" spans="1:11" x14ac:dyDescent="0.25">
      <c r="A1735">
        <v>10915</v>
      </c>
      <c r="B1735">
        <v>33</v>
      </c>
      <c r="C1735">
        <v>2.5</v>
      </c>
      <c r="D1735">
        <v>30</v>
      </c>
      <c r="E1735">
        <v>0</v>
      </c>
      <c r="F1735">
        <f t="shared" si="27"/>
        <v>75</v>
      </c>
      <c r="G1735">
        <f>YEAR(VLOOKUP(A1735,orders!A:D,4,0))</f>
        <v>2015</v>
      </c>
      <c r="H1735">
        <f>MONTH(INDEX(orders!D:D,MATCH(A1735, orders!A:A,0)))</f>
        <v>2</v>
      </c>
      <c r="I1735" t="str">
        <f>VLOOKUP(VLOOKUP(B1735,products!A:F,6,0),categories!A:B,2,0)</f>
        <v>Dairy Products</v>
      </c>
      <c r="J1735" t="str">
        <f>VLOOKUP(VLOOKUP(A1735,orders!A:B,2,0),customers!A:F,6,0)</f>
        <v>Mexico</v>
      </c>
      <c r="K1735" t="str">
        <f>VLOOKUP(VLOOKUP(A1735,orders!A:C,3,0),employees!A:B,2,0)</f>
        <v>Andrew Fuller</v>
      </c>
    </row>
    <row r="1736" spans="1:11" x14ac:dyDescent="0.25">
      <c r="A1736">
        <v>10915</v>
      </c>
      <c r="B1736">
        <v>54</v>
      </c>
      <c r="C1736">
        <v>7.45</v>
      </c>
      <c r="D1736">
        <v>10</v>
      </c>
      <c r="E1736">
        <v>0</v>
      </c>
      <c r="F1736">
        <f t="shared" si="27"/>
        <v>74.5</v>
      </c>
      <c r="G1736">
        <f>YEAR(VLOOKUP(A1736,orders!A:D,4,0))</f>
        <v>2015</v>
      </c>
      <c r="H1736">
        <f>MONTH(INDEX(orders!D:D,MATCH(A1736, orders!A:A,0)))</f>
        <v>2</v>
      </c>
      <c r="I1736" t="str">
        <f>VLOOKUP(VLOOKUP(B1736,products!A:F,6,0),categories!A:B,2,0)</f>
        <v>Meat &amp; Poultry</v>
      </c>
      <c r="J1736" t="str">
        <f>VLOOKUP(VLOOKUP(A1736,orders!A:B,2,0),customers!A:F,6,0)</f>
        <v>Mexico</v>
      </c>
      <c r="K1736" t="str">
        <f>VLOOKUP(VLOOKUP(A1736,orders!A:C,3,0),employees!A:B,2,0)</f>
        <v>Andrew Fuller</v>
      </c>
    </row>
    <row r="1737" spans="1:11" x14ac:dyDescent="0.25">
      <c r="A1737">
        <v>10916</v>
      </c>
      <c r="B1737">
        <v>16</v>
      </c>
      <c r="C1737">
        <v>17.45</v>
      </c>
      <c r="D1737">
        <v>6</v>
      </c>
      <c r="E1737">
        <v>0</v>
      </c>
      <c r="F1737">
        <f t="shared" si="27"/>
        <v>104.69999999999999</v>
      </c>
      <c r="G1737">
        <f>YEAR(VLOOKUP(A1737,orders!A:D,4,0))</f>
        <v>2015</v>
      </c>
      <c r="H1737">
        <f>MONTH(INDEX(orders!D:D,MATCH(A1737, orders!A:A,0)))</f>
        <v>2</v>
      </c>
      <c r="I1737" t="str">
        <f>VLOOKUP(VLOOKUP(B1737,products!A:F,6,0),categories!A:B,2,0)</f>
        <v>Confections</v>
      </c>
      <c r="J1737" t="str">
        <f>VLOOKUP(VLOOKUP(A1737,orders!A:B,2,0),customers!A:F,6,0)</f>
        <v>Argentina</v>
      </c>
      <c r="K1737" t="str">
        <f>VLOOKUP(VLOOKUP(A1737,orders!A:C,3,0),employees!A:B,2,0)</f>
        <v>Nancy Davolio</v>
      </c>
    </row>
    <row r="1738" spans="1:11" x14ac:dyDescent="0.25">
      <c r="A1738">
        <v>10916</v>
      </c>
      <c r="B1738">
        <v>32</v>
      </c>
      <c r="C1738">
        <v>32</v>
      </c>
      <c r="D1738">
        <v>6</v>
      </c>
      <c r="E1738">
        <v>0</v>
      </c>
      <c r="F1738">
        <f t="shared" si="27"/>
        <v>192</v>
      </c>
      <c r="G1738">
        <f>YEAR(VLOOKUP(A1738,orders!A:D,4,0))</f>
        <v>2015</v>
      </c>
      <c r="H1738">
        <f>MONTH(INDEX(orders!D:D,MATCH(A1738, orders!A:A,0)))</f>
        <v>2</v>
      </c>
      <c r="I1738" t="str">
        <f>VLOOKUP(VLOOKUP(B1738,products!A:F,6,0),categories!A:B,2,0)</f>
        <v>Dairy Products</v>
      </c>
      <c r="J1738" t="str">
        <f>VLOOKUP(VLOOKUP(A1738,orders!A:B,2,0),customers!A:F,6,0)</f>
        <v>Argentina</v>
      </c>
      <c r="K1738" t="str">
        <f>VLOOKUP(VLOOKUP(A1738,orders!A:C,3,0),employees!A:B,2,0)</f>
        <v>Nancy Davolio</v>
      </c>
    </row>
    <row r="1739" spans="1:11" x14ac:dyDescent="0.25">
      <c r="A1739">
        <v>10916</v>
      </c>
      <c r="B1739">
        <v>57</v>
      </c>
      <c r="C1739">
        <v>19.5</v>
      </c>
      <c r="D1739">
        <v>20</v>
      </c>
      <c r="E1739">
        <v>0</v>
      </c>
      <c r="F1739">
        <f t="shared" si="27"/>
        <v>390</v>
      </c>
      <c r="G1739">
        <f>YEAR(VLOOKUP(A1739,orders!A:D,4,0))</f>
        <v>2015</v>
      </c>
      <c r="H1739">
        <f>MONTH(INDEX(orders!D:D,MATCH(A1739, orders!A:A,0)))</f>
        <v>2</v>
      </c>
      <c r="I1739" t="str">
        <f>VLOOKUP(VLOOKUP(B1739,products!A:F,6,0),categories!A:B,2,0)</f>
        <v>Grains &amp; Cereals</v>
      </c>
      <c r="J1739" t="str">
        <f>VLOOKUP(VLOOKUP(A1739,orders!A:B,2,0),customers!A:F,6,0)</f>
        <v>Argentina</v>
      </c>
      <c r="K1739" t="str">
        <f>VLOOKUP(VLOOKUP(A1739,orders!A:C,3,0),employees!A:B,2,0)</f>
        <v>Nancy Davolio</v>
      </c>
    </row>
    <row r="1740" spans="1:11" x14ac:dyDescent="0.25">
      <c r="A1740">
        <v>10917</v>
      </c>
      <c r="B1740">
        <v>30</v>
      </c>
      <c r="C1740">
        <v>25.89</v>
      </c>
      <c r="D1740">
        <v>1</v>
      </c>
      <c r="E1740">
        <v>0</v>
      </c>
      <c r="F1740">
        <f t="shared" si="27"/>
        <v>25.89</v>
      </c>
      <c r="G1740">
        <f>YEAR(VLOOKUP(A1740,orders!A:D,4,0))</f>
        <v>2015</v>
      </c>
      <c r="H1740">
        <f>MONTH(INDEX(orders!D:D,MATCH(A1740, orders!A:A,0)))</f>
        <v>3</v>
      </c>
      <c r="I1740" t="str">
        <f>VLOOKUP(VLOOKUP(B1740,products!A:F,6,0),categories!A:B,2,0)</f>
        <v>Seafood</v>
      </c>
      <c r="J1740" t="str">
        <f>VLOOKUP(VLOOKUP(A1740,orders!A:B,2,0),customers!A:F,6,0)</f>
        <v>Spain</v>
      </c>
      <c r="K1740" t="str">
        <f>VLOOKUP(VLOOKUP(A1740,orders!A:C,3,0),employees!A:B,2,0)</f>
        <v>Margaret Peacock</v>
      </c>
    </row>
    <row r="1741" spans="1:11" x14ac:dyDescent="0.25">
      <c r="A1741">
        <v>10917</v>
      </c>
      <c r="B1741">
        <v>60</v>
      </c>
      <c r="C1741">
        <v>34</v>
      </c>
      <c r="D1741">
        <v>10</v>
      </c>
      <c r="E1741">
        <v>0</v>
      </c>
      <c r="F1741">
        <f t="shared" si="27"/>
        <v>340</v>
      </c>
      <c r="G1741">
        <f>YEAR(VLOOKUP(A1741,orders!A:D,4,0))</f>
        <v>2015</v>
      </c>
      <c r="H1741">
        <f>MONTH(INDEX(orders!D:D,MATCH(A1741, orders!A:A,0)))</f>
        <v>3</v>
      </c>
      <c r="I1741" t="str">
        <f>VLOOKUP(VLOOKUP(B1741,products!A:F,6,0),categories!A:B,2,0)</f>
        <v>Dairy Products</v>
      </c>
      <c r="J1741" t="str">
        <f>VLOOKUP(VLOOKUP(A1741,orders!A:B,2,0),customers!A:F,6,0)</f>
        <v>Spain</v>
      </c>
      <c r="K1741" t="str">
        <f>VLOOKUP(VLOOKUP(A1741,orders!A:C,3,0),employees!A:B,2,0)</f>
        <v>Margaret Peacock</v>
      </c>
    </row>
    <row r="1742" spans="1:11" x14ac:dyDescent="0.25">
      <c r="A1742">
        <v>10918</v>
      </c>
      <c r="B1742">
        <v>1</v>
      </c>
      <c r="C1742">
        <v>18</v>
      </c>
      <c r="D1742">
        <v>60</v>
      </c>
      <c r="E1742">
        <v>0.25</v>
      </c>
      <c r="F1742">
        <f t="shared" si="27"/>
        <v>810</v>
      </c>
      <c r="G1742">
        <f>YEAR(VLOOKUP(A1742,orders!A:D,4,0))</f>
        <v>2015</v>
      </c>
      <c r="H1742">
        <f>MONTH(INDEX(orders!D:D,MATCH(A1742, orders!A:A,0)))</f>
        <v>3</v>
      </c>
      <c r="I1742" t="str">
        <f>VLOOKUP(VLOOKUP(B1742,products!A:F,6,0),categories!A:B,2,0)</f>
        <v>Beverages</v>
      </c>
      <c r="J1742" t="str">
        <f>VLOOKUP(VLOOKUP(A1742,orders!A:B,2,0),customers!A:F,6,0)</f>
        <v>Canada</v>
      </c>
      <c r="K1742" t="str">
        <f>VLOOKUP(VLOOKUP(A1742,orders!A:C,3,0),employees!A:B,2,0)</f>
        <v>Janet Leverling</v>
      </c>
    </row>
    <row r="1743" spans="1:11" x14ac:dyDescent="0.25">
      <c r="A1743">
        <v>10918</v>
      </c>
      <c r="B1743">
        <v>60</v>
      </c>
      <c r="C1743">
        <v>34</v>
      </c>
      <c r="D1743">
        <v>25</v>
      </c>
      <c r="E1743">
        <v>0.25</v>
      </c>
      <c r="F1743">
        <f t="shared" si="27"/>
        <v>637.5</v>
      </c>
      <c r="G1743">
        <f>YEAR(VLOOKUP(A1743,orders!A:D,4,0))</f>
        <v>2015</v>
      </c>
      <c r="H1743">
        <f>MONTH(INDEX(orders!D:D,MATCH(A1743, orders!A:A,0)))</f>
        <v>3</v>
      </c>
      <c r="I1743" t="str">
        <f>VLOOKUP(VLOOKUP(B1743,products!A:F,6,0),categories!A:B,2,0)</f>
        <v>Dairy Products</v>
      </c>
      <c r="J1743" t="str">
        <f>VLOOKUP(VLOOKUP(A1743,orders!A:B,2,0),customers!A:F,6,0)</f>
        <v>Canada</v>
      </c>
      <c r="K1743" t="str">
        <f>VLOOKUP(VLOOKUP(A1743,orders!A:C,3,0),employees!A:B,2,0)</f>
        <v>Janet Leverling</v>
      </c>
    </row>
    <row r="1744" spans="1:11" x14ac:dyDescent="0.25">
      <c r="A1744">
        <v>10919</v>
      </c>
      <c r="B1744">
        <v>16</v>
      </c>
      <c r="C1744">
        <v>17.45</v>
      </c>
      <c r="D1744">
        <v>24</v>
      </c>
      <c r="E1744">
        <v>0</v>
      </c>
      <c r="F1744">
        <f t="shared" si="27"/>
        <v>418.79999999999995</v>
      </c>
      <c r="G1744">
        <f>YEAR(VLOOKUP(A1744,orders!A:D,4,0))</f>
        <v>2015</v>
      </c>
      <c r="H1744">
        <f>MONTH(INDEX(orders!D:D,MATCH(A1744, orders!A:A,0)))</f>
        <v>3</v>
      </c>
      <c r="I1744" t="str">
        <f>VLOOKUP(VLOOKUP(B1744,products!A:F,6,0),categories!A:B,2,0)</f>
        <v>Confections</v>
      </c>
      <c r="J1744" t="str">
        <f>VLOOKUP(VLOOKUP(A1744,orders!A:B,2,0),customers!A:F,6,0)</f>
        <v>Venezuela</v>
      </c>
      <c r="K1744" t="str">
        <f>VLOOKUP(VLOOKUP(A1744,orders!A:C,3,0),employees!A:B,2,0)</f>
        <v>Andrew Fuller</v>
      </c>
    </row>
    <row r="1745" spans="1:11" x14ac:dyDescent="0.25">
      <c r="A1745">
        <v>10919</v>
      </c>
      <c r="B1745">
        <v>25</v>
      </c>
      <c r="C1745">
        <v>14</v>
      </c>
      <c r="D1745">
        <v>24</v>
      </c>
      <c r="E1745">
        <v>0</v>
      </c>
      <c r="F1745">
        <f t="shared" si="27"/>
        <v>336</v>
      </c>
      <c r="G1745">
        <f>YEAR(VLOOKUP(A1745,orders!A:D,4,0))</f>
        <v>2015</v>
      </c>
      <c r="H1745">
        <f>MONTH(INDEX(orders!D:D,MATCH(A1745, orders!A:A,0)))</f>
        <v>3</v>
      </c>
      <c r="I1745" t="str">
        <f>VLOOKUP(VLOOKUP(B1745,products!A:F,6,0),categories!A:B,2,0)</f>
        <v>Confections</v>
      </c>
      <c r="J1745" t="str">
        <f>VLOOKUP(VLOOKUP(A1745,orders!A:B,2,0),customers!A:F,6,0)</f>
        <v>Venezuela</v>
      </c>
      <c r="K1745" t="str">
        <f>VLOOKUP(VLOOKUP(A1745,orders!A:C,3,0),employees!A:B,2,0)</f>
        <v>Andrew Fuller</v>
      </c>
    </row>
    <row r="1746" spans="1:11" x14ac:dyDescent="0.25">
      <c r="A1746">
        <v>10919</v>
      </c>
      <c r="B1746">
        <v>40</v>
      </c>
      <c r="C1746">
        <v>18.399999999999999</v>
      </c>
      <c r="D1746">
        <v>20</v>
      </c>
      <c r="E1746">
        <v>0</v>
      </c>
      <c r="F1746">
        <f t="shared" si="27"/>
        <v>368</v>
      </c>
      <c r="G1746">
        <f>YEAR(VLOOKUP(A1746,orders!A:D,4,0))</f>
        <v>2015</v>
      </c>
      <c r="H1746">
        <f>MONTH(INDEX(orders!D:D,MATCH(A1746, orders!A:A,0)))</f>
        <v>3</v>
      </c>
      <c r="I1746" t="str">
        <f>VLOOKUP(VLOOKUP(B1746,products!A:F,6,0),categories!A:B,2,0)</f>
        <v>Seafood</v>
      </c>
      <c r="J1746" t="str">
        <f>VLOOKUP(VLOOKUP(A1746,orders!A:B,2,0),customers!A:F,6,0)</f>
        <v>Venezuela</v>
      </c>
      <c r="K1746" t="str">
        <f>VLOOKUP(VLOOKUP(A1746,orders!A:C,3,0),employees!A:B,2,0)</f>
        <v>Andrew Fuller</v>
      </c>
    </row>
    <row r="1747" spans="1:11" x14ac:dyDescent="0.25">
      <c r="A1747">
        <v>10920</v>
      </c>
      <c r="B1747">
        <v>50</v>
      </c>
      <c r="C1747">
        <v>16.25</v>
      </c>
      <c r="D1747">
        <v>24</v>
      </c>
      <c r="E1747">
        <v>0</v>
      </c>
      <c r="F1747">
        <f t="shared" si="27"/>
        <v>390</v>
      </c>
      <c r="G1747">
        <f>YEAR(VLOOKUP(A1747,orders!A:D,4,0))</f>
        <v>2015</v>
      </c>
      <c r="H1747">
        <f>MONTH(INDEX(orders!D:D,MATCH(A1747, orders!A:A,0)))</f>
        <v>3</v>
      </c>
      <c r="I1747" t="str">
        <f>VLOOKUP(VLOOKUP(B1747,products!A:F,6,0),categories!A:B,2,0)</f>
        <v>Confections</v>
      </c>
      <c r="J1747" t="str">
        <f>VLOOKUP(VLOOKUP(A1747,orders!A:B,2,0),customers!A:F,6,0)</f>
        <v>UK</v>
      </c>
      <c r="K1747" t="str">
        <f>VLOOKUP(VLOOKUP(A1747,orders!A:C,3,0),employees!A:B,2,0)</f>
        <v>Margaret Peacock</v>
      </c>
    </row>
    <row r="1748" spans="1:11" x14ac:dyDescent="0.25">
      <c r="A1748">
        <v>10921</v>
      </c>
      <c r="B1748">
        <v>35</v>
      </c>
      <c r="C1748">
        <v>18</v>
      </c>
      <c r="D1748">
        <v>10</v>
      </c>
      <c r="E1748">
        <v>0</v>
      </c>
      <c r="F1748">
        <f t="shared" si="27"/>
        <v>180</v>
      </c>
      <c r="G1748">
        <f>YEAR(VLOOKUP(A1748,orders!A:D,4,0))</f>
        <v>2015</v>
      </c>
      <c r="H1748">
        <f>MONTH(INDEX(orders!D:D,MATCH(A1748, orders!A:A,0)))</f>
        <v>3</v>
      </c>
      <c r="I1748" t="str">
        <f>VLOOKUP(VLOOKUP(B1748,products!A:F,6,0),categories!A:B,2,0)</f>
        <v>Beverages</v>
      </c>
      <c r="J1748" t="str">
        <f>VLOOKUP(VLOOKUP(A1748,orders!A:B,2,0),customers!A:F,6,0)</f>
        <v>Denmark</v>
      </c>
      <c r="K1748" t="str">
        <f>VLOOKUP(VLOOKUP(A1748,orders!A:C,3,0),employees!A:B,2,0)</f>
        <v>Nancy Davolio</v>
      </c>
    </row>
    <row r="1749" spans="1:11" x14ac:dyDescent="0.25">
      <c r="A1749">
        <v>10921</v>
      </c>
      <c r="B1749">
        <v>63</v>
      </c>
      <c r="C1749">
        <v>43.9</v>
      </c>
      <c r="D1749">
        <v>40</v>
      </c>
      <c r="E1749">
        <v>0</v>
      </c>
      <c r="F1749">
        <f t="shared" si="27"/>
        <v>1756</v>
      </c>
      <c r="G1749">
        <f>YEAR(VLOOKUP(A1749,orders!A:D,4,0))</f>
        <v>2015</v>
      </c>
      <c r="H1749">
        <f>MONTH(INDEX(orders!D:D,MATCH(A1749, orders!A:A,0)))</f>
        <v>3</v>
      </c>
      <c r="I1749" t="str">
        <f>VLOOKUP(VLOOKUP(B1749,products!A:F,6,0),categories!A:B,2,0)</f>
        <v>Condiments</v>
      </c>
      <c r="J1749" t="str">
        <f>VLOOKUP(VLOOKUP(A1749,orders!A:B,2,0),customers!A:F,6,0)</f>
        <v>Denmark</v>
      </c>
      <c r="K1749" t="str">
        <f>VLOOKUP(VLOOKUP(A1749,orders!A:C,3,0),employees!A:B,2,0)</f>
        <v>Nancy Davolio</v>
      </c>
    </row>
    <row r="1750" spans="1:11" x14ac:dyDescent="0.25">
      <c r="A1750">
        <v>10922</v>
      </c>
      <c r="B1750">
        <v>17</v>
      </c>
      <c r="C1750">
        <v>39</v>
      </c>
      <c r="D1750">
        <v>15</v>
      </c>
      <c r="E1750">
        <v>0</v>
      </c>
      <c r="F1750">
        <f t="shared" si="27"/>
        <v>585</v>
      </c>
      <c r="G1750">
        <f>YEAR(VLOOKUP(A1750,orders!A:D,4,0))</f>
        <v>2015</v>
      </c>
      <c r="H1750">
        <f>MONTH(INDEX(orders!D:D,MATCH(A1750, orders!A:A,0)))</f>
        <v>3</v>
      </c>
      <c r="I1750" t="str">
        <f>VLOOKUP(VLOOKUP(B1750,products!A:F,6,0),categories!A:B,2,0)</f>
        <v>Meat &amp; Poultry</v>
      </c>
      <c r="J1750" t="str">
        <f>VLOOKUP(VLOOKUP(A1750,orders!A:B,2,0),customers!A:F,6,0)</f>
        <v>Brazil</v>
      </c>
      <c r="K1750" t="str">
        <f>VLOOKUP(VLOOKUP(A1750,orders!A:C,3,0),employees!A:B,2,0)</f>
        <v>Steven Buchanan</v>
      </c>
    </row>
    <row r="1751" spans="1:11" x14ac:dyDescent="0.25">
      <c r="A1751">
        <v>10922</v>
      </c>
      <c r="B1751">
        <v>24</v>
      </c>
      <c r="C1751">
        <v>4.5</v>
      </c>
      <c r="D1751">
        <v>35</v>
      </c>
      <c r="E1751">
        <v>0</v>
      </c>
      <c r="F1751">
        <f t="shared" si="27"/>
        <v>157.5</v>
      </c>
      <c r="G1751">
        <f>YEAR(VLOOKUP(A1751,orders!A:D,4,0))</f>
        <v>2015</v>
      </c>
      <c r="H1751">
        <f>MONTH(INDEX(orders!D:D,MATCH(A1751, orders!A:A,0)))</f>
        <v>3</v>
      </c>
      <c r="I1751" t="str">
        <f>VLOOKUP(VLOOKUP(B1751,products!A:F,6,0),categories!A:B,2,0)</f>
        <v>Beverages</v>
      </c>
      <c r="J1751" t="str">
        <f>VLOOKUP(VLOOKUP(A1751,orders!A:B,2,0),customers!A:F,6,0)</f>
        <v>Brazil</v>
      </c>
      <c r="K1751" t="str">
        <f>VLOOKUP(VLOOKUP(A1751,orders!A:C,3,0),employees!A:B,2,0)</f>
        <v>Steven Buchanan</v>
      </c>
    </row>
    <row r="1752" spans="1:11" x14ac:dyDescent="0.25">
      <c r="A1752">
        <v>10923</v>
      </c>
      <c r="B1752">
        <v>42</v>
      </c>
      <c r="C1752">
        <v>14</v>
      </c>
      <c r="D1752">
        <v>10</v>
      </c>
      <c r="E1752">
        <v>0.2</v>
      </c>
      <c r="F1752">
        <f t="shared" si="27"/>
        <v>112</v>
      </c>
      <c r="G1752">
        <f>YEAR(VLOOKUP(A1752,orders!A:D,4,0))</f>
        <v>2015</v>
      </c>
      <c r="H1752">
        <f>MONTH(INDEX(orders!D:D,MATCH(A1752, orders!A:A,0)))</f>
        <v>3</v>
      </c>
      <c r="I1752" t="str">
        <f>VLOOKUP(VLOOKUP(B1752,products!A:F,6,0),categories!A:B,2,0)</f>
        <v>Grains &amp; Cereals</v>
      </c>
      <c r="J1752" t="str">
        <f>VLOOKUP(VLOOKUP(A1752,orders!A:B,2,0),customers!A:F,6,0)</f>
        <v>France</v>
      </c>
      <c r="K1752" t="str">
        <f>VLOOKUP(VLOOKUP(A1752,orders!A:C,3,0),employees!A:B,2,0)</f>
        <v>Robert King</v>
      </c>
    </row>
    <row r="1753" spans="1:11" x14ac:dyDescent="0.25">
      <c r="A1753">
        <v>10923</v>
      </c>
      <c r="B1753">
        <v>43</v>
      </c>
      <c r="C1753">
        <v>46</v>
      </c>
      <c r="D1753">
        <v>10</v>
      </c>
      <c r="E1753">
        <v>0.2</v>
      </c>
      <c r="F1753">
        <f t="shared" si="27"/>
        <v>368</v>
      </c>
      <c r="G1753">
        <f>YEAR(VLOOKUP(A1753,orders!A:D,4,0))</f>
        <v>2015</v>
      </c>
      <c r="H1753">
        <f>MONTH(INDEX(orders!D:D,MATCH(A1753, orders!A:A,0)))</f>
        <v>3</v>
      </c>
      <c r="I1753" t="str">
        <f>VLOOKUP(VLOOKUP(B1753,products!A:F,6,0),categories!A:B,2,0)</f>
        <v>Beverages</v>
      </c>
      <c r="J1753" t="str">
        <f>VLOOKUP(VLOOKUP(A1753,orders!A:B,2,0),customers!A:F,6,0)</f>
        <v>France</v>
      </c>
      <c r="K1753" t="str">
        <f>VLOOKUP(VLOOKUP(A1753,orders!A:C,3,0),employees!A:B,2,0)</f>
        <v>Robert King</v>
      </c>
    </row>
    <row r="1754" spans="1:11" x14ac:dyDescent="0.25">
      <c r="A1754">
        <v>10923</v>
      </c>
      <c r="B1754">
        <v>67</v>
      </c>
      <c r="C1754">
        <v>14</v>
      </c>
      <c r="D1754">
        <v>24</v>
      </c>
      <c r="E1754">
        <v>0.2</v>
      </c>
      <c r="F1754">
        <f t="shared" si="27"/>
        <v>268.8</v>
      </c>
      <c r="G1754">
        <f>YEAR(VLOOKUP(A1754,orders!A:D,4,0))</f>
        <v>2015</v>
      </c>
      <c r="H1754">
        <f>MONTH(INDEX(orders!D:D,MATCH(A1754, orders!A:A,0)))</f>
        <v>3</v>
      </c>
      <c r="I1754" t="str">
        <f>VLOOKUP(VLOOKUP(B1754,products!A:F,6,0),categories!A:B,2,0)</f>
        <v>Beverages</v>
      </c>
      <c r="J1754" t="str">
        <f>VLOOKUP(VLOOKUP(A1754,orders!A:B,2,0),customers!A:F,6,0)</f>
        <v>France</v>
      </c>
      <c r="K1754" t="str">
        <f>VLOOKUP(VLOOKUP(A1754,orders!A:C,3,0),employees!A:B,2,0)</f>
        <v>Robert King</v>
      </c>
    </row>
    <row r="1755" spans="1:11" x14ac:dyDescent="0.25">
      <c r="A1755">
        <v>10924</v>
      </c>
      <c r="B1755">
        <v>10</v>
      </c>
      <c r="C1755">
        <v>31</v>
      </c>
      <c r="D1755">
        <v>20</v>
      </c>
      <c r="E1755">
        <v>0.1</v>
      </c>
      <c r="F1755">
        <f t="shared" si="27"/>
        <v>558</v>
      </c>
      <c r="G1755">
        <f>YEAR(VLOOKUP(A1755,orders!A:D,4,0))</f>
        <v>2015</v>
      </c>
      <c r="H1755">
        <f>MONTH(INDEX(orders!D:D,MATCH(A1755, orders!A:A,0)))</f>
        <v>3</v>
      </c>
      <c r="I1755" t="str">
        <f>VLOOKUP(VLOOKUP(B1755,products!A:F,6,0),categories!A:B,2,0)</f>
        <v>Seafood</v>
      </c>
      <c r="J1755" t="str">
        <f>VLOOKUP(VLOOKUP(A1755,orders!A:B,2,0),customers!A:F,6,0)</f>
        <v>Sweden</v>
      </c>
      <c r="K1755" t="str">
        <f>VLOOKUP(VLOOKUP(A1755,orders!A:C,3,0),employees!A:B,2,0)</f>
        <v>Janet Leverling</v>
      </c>
    </row>
    <row r="1756" spans="1:11" x14ac:dyDescent="0.25">
      <c r="A1756">
        <v>10924</v>
      </c>
      <c r="B1756">
        <v>28</v>
      </c>
      <c r="C1756">
        <v>45.6</v>
      </c>
      <c r="D1756">
        <v>30</v>
      </c>
      <c r="E1756">
        <v>0.1</v>
      </c>
      <c r="F1756">
        <f t="shared" si="27"/>
        <v>1231.2</v>
      </c>
      <c r="G1756">
        <f>YEAR(VLOOKUP(A1756,orders!A:D,4,0))</f>
        <v>2015</v>
      </c>
      <c r="H1756">
        <f>MONTH(INDEX(orders!D:D,MATCH(A1756, orders!A:A,0)))</f>
        <v>3</v>
      </c>
      <c r="I1756" t="str">
        <f>VLOOKUP(VLOOKUP(B1756,products!A:F,6,0),categories!A:B,2,0)</f>
        <v>Produce</v>
      </c>
      <c r="J1756" t="str">
        <f>VLOOKUP(VLOOKUP(A1756,orders!A:B,2,0),customers!A:F,6,0)</f>
        <v>Sweden</v>
      </c>
      <c r="K1756" t="str">
        <f>VLOOKUP(VLOOKUP(A1756,orders!A:C,3,0),employees!A:B,2,0)</f>
        <v>Janet Leverling</v>
      </c>
    </row>
    <row r="1757" spans="1:11" x14ac:dyDescent="0.25">
      <c r="A1757">
        <v>10924</v>
      </c>
      <c r="B1757">
        <v>75</v>
      </c>
      <c r="C1757">
        <v>7.75</v>
      </c>
      <c r="D1757">
        <v>6</v>
      </c>
      <c r="E1757">
        <v>0</v>
      </c>
      <c r="F1757">
        <f t="shared" si="27"/>
        <v>46.5</v>
      </c>
      <c r="G1757">
        <f>YEAR(VLOOKUP(A1757,orders!A:D,4,0))</f>
        <v>2015</v>
      </c>
      <c r="H1757">
        <f>MONTH(INDEX(orders!D:D,MATCH(A1757, orders!A:A,0)))</f>
        <v>3</v>
      </c>
      <c r="I1757" t="str">
        <f>VLOOKUP(VLOOKUP(B1757,products!A:F,6,0),categories!A:B,2,0)</f>
        <v>Beverages</v>
      </c>
      <c r="J1757" t="str">
        <f>VLOOKUP(VLOOKUP(A1757,orders!A:B,2,0),customers!A:F,6,0)</f>
        <v>Sweden</v>
      </c>
      <c r="K1757" t="str">
        <f>VLOOKUP(VLOOKUP(A1757,orders!A:C,3,0),employees!A:B,2,0)</f>
        <v>Janet Leverling</v>
      </c>
    </row>
    <row r="1758" spans="1:11" x14ac:dyDescent="0.25">
      <c r="A1758">
        <v>10925</v>
      </c>
      <c r="B1758">
        <v>36</v>
      </c>
      <c r="C1758">
        <v>19</v>
      </c>
      <c r="D1758">
        <v>25</v>
      </c>
      <c r="E1758">
        <v>0.15</v>
      </c>
      <c r="F1758">
        <f t="shared" si="27"/>
        <v>403.75</v>
      </c>
      <c r="G1758">
        <f>YEAR(VLOOKUP(A1758,orders!A:D,4,0))</f>
        <v>2015</v>
      </c>
      <c r="H1758">
        <f>MONTH(INDEX(orders!D:D,MATCH(A1758, orders!A:A,0)))</f>
        <v>3</v>
      </c>
      <c r="I1758" t="str">
        <f>VLOOKUP(VLOOKUP(B1758,products!A:F,6,0),categories!A:B,2,0)</f>
        <v>Seafood</v>
      </c>
      <c r="J1758" t="str">
        <f>VLOOKUP(VLOOKUP(A1758,orders!A:B,2,0),customers!A:F,6,0)</f>
        <v>Brazil</v>
      </c>
      <c r="K1758" t="str">
        <f>VLOOKUP(VLOOKUP(A1758,orders!A:C,3,0),employees!A:B,2,0)</f>
        <v>Janet Leverling</v>
      </c>
    </row>
    <row r="1759" spans="1:11" x14ac:dyDescent="0.25">
      <c r="A1759">
        <v>10925</v>
      </c>
      <c r="B1759">
        <v>52</v>
      </c>
      <c r="C1759">
        <v>7</v>
      </c>
      <c r="D1759">
        <v>12</v>
      </c>
      <c r="E1759">
        <v>0.15</v>
      </c>
      <c r="F1759">
        <f t="shared" si="27"/>
        <v>71.399999999999991</v>
      </c>
      <c r="G1759">
        <f>YEAR(VLOOKUP(A1759,orders!A:D,4,0))</f>
        <v>2015</v>
      </c>
      <c r="H1759">
        <f>MONTH(INDEX(orders!D:D,MATCH(A1759, orders!A:A,0)))</f>
        <v>3</v>
      </c>
      <c r="I1759" t="str">
        <f>VLOOKUP(VLOOKUP(B1759,products!A:F,6,0),categories!A:B,2,0)</f>
        <v>Grains &amp; Cereals</v>
      </c>
      <c r="J1759" t="str">
        <f>VLOOKUP(VLOOKUP(A1759,orders!A:B,2,0),customers!A:F,6,0)</f>
        <v>Brazil</v>
      </c>
      <c r="K1759" t="str">
        <f>VLOOKUP(VLOOKUP(A1759,orders!A:C,3,0),employees!A:B,2,0)</f>
        <v>Janet Leverling</v>
      </c>
    </row>
    <row r="1760" spans="1:11" x14ac:dyDescent="0.25">
      <c r="A1760">
        <v>10926</v>
      </c>
      <c r="B1760">
        <v>11</v>
      </c>
      <c r="C1760">
        <v>21</v>
      </c>
      <c r="D1760">
        <v>2</v>
      </c>
      <c r="E1760">
        <v>0</v>
      </c>
      <c r="F1760">
        <f t="shared" si="27"/>
        <v>42</v>
      </c>
      <c r="G1760">
        <f>YEAR(VLOOKUP(A1760,orders!A:D,4,0))</f>
        <v>2015</v>
      </c>
      <c r="H1760">
        <f>MONTH(INDEX(orders!D:D,MATCH(A1760, orders!A:A,0)))</f>
        <v>3</v>
      </c>
      <c r="I1760" t="str">
        <f>VLOOKUP(VLOOKUP(B1760,products!A:F,6,0),categories!A:B,2,0)</f>
        <v>Dairy Products</v>
      </c>
      <c r="J1760" t="str">
        <f>VLOOKUP(VLOOKUP(A1760,orders!A:B,2,0),customers!A:F,6,0)</f>
        <v>Mexico</v>
      </c>
      <c r="K1760" t="str">
        <f>VLOOKUP(VLOOKUP(A1760,orders!A:C,3,0),employees!A:B,2,0)</f>
        <v>Margaret Peacock</v>
      </c>
    </row>
    <row r="1761" spans="1:11" x14ac:dyDescent="0.25">
      <c r="A1761">
        <v>10926</v>
      </c>
      <c r="B1761">
        <v>13</v>
      </c>
      <c r="C1761">
        <v>6</v>
      </c>
      <c r="D1761">
        <v>10</v>
      </c>
      <c r="E1761">
        <v>0</v>
      </c>
      <c r="F1761">
        <f t="shared" si="27"/>
        <v>60</v>
      </c>
      <c r="G1761">
        <f>YEAR(VLOOKUP(A1761,orders!A:D,4,0))</f>
        <v>2015</v>
      </c>
      <c r="H1761">
        <f>MONTH(INDEX(orders!D:D,MATCH(A1761, orders!A:A,0)))</f>
        <v>3</v>
      </c>
      <c r="I1761" t="str">
        <f>VLOOKUP(VLOOKUP(B1761,products!A:F,6,0),categories!A:B,2,0)</f>
        <v>Seafood</v>
      </c>
      <c r="J1761" t="str">
        <f>VLOOKUP(VLOOKUP(A1761,orders!A:B,2,0),customers!A:F,6,0)</f>
        <v>Mexico</v>
      </c>
      <c r="K1761" t="str">
        <f>VLOOKUP(VLOOKUP(A1761,orders!A:C,3,0),employees!A:B,2,0)</f>
        <v>Margaret Peacock</v>
      </c>
    </row>
    <row r="1762" spans="1:11" x14ac:dyDescent="0.25">
      <c r="A1762">
        <v>10926</v>
      </c>
      <c r="B1762">
        <v>19</v>
      </c>
      <c r="C1762">
        <v>9.1999999999999993</v>
      </c>
      <c r="D1762">
        <v>7</v>
      </c>
      <c r="E1762">
        <v>0</v>
      </c>
      <c r="F1762">
        <f t="shared" si="27"/>
        <v>64.399999999999991</v>
      </c>
      <c r="G1762">
        <f>YEAR(VLOOKUP(A1762,orders!A:D,4,0))</f>
        <v>2015</v>
      </c>
      <c r="H1762">
        <f>MONTH(INDEX(orders!D:D,MATCH(A1762, orders!A:A,0)))</f>
        <v>3</v>
      </c>
      <c r="I1762" t="str">
        <f>VLOOKUP(VLOOKUP(B1762,products!A:F,6,0),categories!A:B,2,0)</f>
        <v>Confections</v>
      </c>
      <c r="J1762" t="str">
        <f>VLOOKUP(VLOOKUP(A1762,orders!A:B,2,0),customers!A:F,6,0)</f>
        <v>Mexico</v>
      </c>
      <c r="K1762" t="str">
        <f>VLOOKUP(VLOOKUP(A1762,orders!A:C,3,0),employees!A:B,2,0)</f>
        <v>Margaret Peacock</v>
      </c>
    </row>
    <row r="1763" spans="1:11" x14ac:dyDescent="0.25">
      <c r="A1763">
        <v>10926</v>
      </c>
      <c r="B1763">
        <v>72</v>
      </c>
      <c r="C1763">
        <v>34.799999999999997</v>
      </c>
      <c r="D1763">
        <v>10</v>
      </c>
      <c r="E1763">
        <v>0</v>
      </c>
      <c r="F1763">
        <f t="shared" si="27"/>
        <v>348</v>
      </c>
      <c r="G1763">
        <f>YEAR(VLOOKUP(A1763,orders!A:D,4,0))</f>
        <v>2015</v>
      </c>
      <c r="H1763">
        <f>MONTH(INDEX(orders!D:D,MATCH(A1763, orders!A:A,0)))</f>
        <v>3</v>
      </c>
      <c r="I1763" t="str">
        <f>VLOOKUP(VLOOKUP(B1763,products!A:F,6,0),categories!A:B,2,0)</f>
        <v>Dairy Products</v>
      </c>
      <c r="J1763" t="str">
        <f>VLOOKUP(VLOOKUP(A1763,orders!A:B,2,0),customers!A:F,6,0)</f>
        <v>Mexico</v>
      </c>
      <c r="K1763" t="str">
        <f>VLOOKUP(VLOOKUP(A1763,orders!A:C,3,0),employees!A:B,2,0)</f>
        <v>Margaret Peacock</v>
      </c>
    </row>
    <row r="1764" spans="1:11" x14ac:dyDescent="0.25">
      <c r="A1764">
        <v>10927</v>
      </c>
      <c r="B1764">
        <v>20</v>
      </c>
      <c r="C1764">
        <v>81</v>
      </c>
      <c r="D1764">
        <v>5</v>
      </c>
      <c r="E1764">
        <v>0</v>
      </c>
      <c r="F1764">
        <f t="shared" si="27"/>
        <v>405</v>
      </c>
      <c r="G1764">
        <f>YEAR(VLOOKUP(A1764,orders!A:D,4,0))</f>
        <v>2015</v>
      </c>
      <c r="H1764">
        <f>MONTH(INDEX(orders!D:D,MATCH(A1764, orders!A:A,0)))</f>
        <v>3</v>
      </c>
      <c r="I1764" t="str">
        <f>VLOOKUP(VLOOKUP(B1764,products!A:F,6,0),categories!A:B,2,0)</f>
        <v>Confections</v>
      </c>
      <c r="J1764" t="str">
        <f>VLOOKUP(VLOOKUP(A1764,orders!A:B,2,0),customers!A:F,6,0)</f>
        <v>France</v>
      </c>
      <c r="K1764" t="str">
        <f>VLOOKUP(VLOOKUP(A1764,orders!A:C,3,0),employees!A:B,2,0)</f>
        <v>Margaret Peacock</v>
      </c>
    </row>
    <row r="1765" spans="1:11" x14ac:dyDescent="0.25">
      <c r="A1765">
        <v>10927</v>
      </c>
      <c r="B1765">
        <v>52</v>
      </c>
      <c r="C1765">
        <v>7</v>
      </c>
      <c r="D1765">
        <v>5</v>
      </c>
      <c r="E1765">
        <v>0</v>
      </c>
      <c r="F1765">
        <f t="shared" si="27"/>
        <v>35</v>
      </c>
      <c r="G1765">
        <f>YEAR(VLOOKUP(A1765,orders!A:D,4,0))</f>
        <v>2015</v>
      </c>
      <c r="H1765">
        <f>MONTH(INDEX(orders!D:D,MATCH(A1765, orders!A:A,0)))</f>
        <v>3</v>
      </c>
      <c r="I1765" t="str">
        <f>VLOOKUP(VLOOKUP(B1765,products!A:F,6,0),categories!A:B,2,0)</f>
        <v>Grains &amp; Cereals</v>
      </c>
      <c r="J1765" t="str">
        <f>VLOOKUP(VLOOKUP(A1765,orders!A:B,2,0),customers!A:F,6,0)</f>
        <v>France</v>
      </c>
      <c r="K1765" t="str">
        <f>VLOOKUP(VLOOKUP(A1765,orders!A:C,3,0),employees!A:B,2,0)</f>
        <v>Margaret Peacock</v>
      </c>
    </row>
    <row r="1766" spans="1:11" x14ac:dyDescent="0.25">
      <c r="A1766">
        <v>10927</v>
      </c>
      <c r="B1766">
        <v>76</v>
      </c>
      <c r="C1766">
        <v>18</v>
      </c>
      <c r="D1766">
        <v>20</v>
      </c>
      <c r="E1766">
        <v>0</v>
      </c>
      <c r="F1766">
        <f t="shared" si="27"/>
        <v>360</v>
      </c>
      <c r="G1766">
        <f>YEAR(VLOOKUP(A1766,orders!A:D,4,0))</f>
        <v>2015</v>
      </c>
      <c r="H1766">
        <f>MONTH(INDEX(orders!D:D,MATCH(A1766, orders!A:A,0)))</f>
        <v>3</v>
      </c>
      <c r="I1766" t="str">
        <f>VLOOKUP(VLOOKUP(B1766,products!A:F,6,0),categories!A:B,2,0)</f>
        <v>Beverages</v>
      </c>
      <c r="J1766" t="str">
        <f>VLOOKUP(VLOOKUP(A1766,orders!A:B,2,0),customers!A:F,6,0)</f>
        <v>France</v>
      </c>
      <c r="K1766" t="str">
        <f>VLOOKUP(VLOOKUP(A1766,orders!A:C,3,0),employees!A:B,2,0)</f>
        <v>Margaret Peacock</v>
      </c>
    </row>
    <row r="1767" spans="1:11" x14ac:dyDescent="0.25">
      <c r="A1767">
        <v>10928</v>
      </c>
      <c r="B1767">
        <v>47</v>
      </c>
      <c r="C1767">
        <v>9.5</v>
      </c>
      <c r="D1767">
        <v>5</v>
      </c>
      <c r="E1767">
        <v>0</v>
      </c>
      <c r="F1767">
        <f t="shared" si="27"/>
        <v>47.5</v>
      </c>
      <c r="G1767">
        <f>YEAR(VLOOKUP(A1767,orders!A:D,4,0))</f>
        <v>2015</v>
      </c>
      <c r="H1767">
        <f>MONTH(INDEX(orders!D:D,MATCH(A1767, orders!A:A,0)))</f>
        <v>3</v>
      </c>
      <c r="I1767" t="str">
        <f>VLOOKUP(VLOOKUP(B1767,products!A:F,6,0),categories!A:B,2,0)</f>
        <v>Confections</v>
      </c>
      <c r="J1767" t="str">
        <f>VLOOKUP(VLOOKUP(A1767,orders!A:B,2,0),customers!A:F,6,0)</f>
        <v>Spain</v>
      </c>
      <c r="K1767" t="str">
        <f>VLOOKUP(VLOOKUP(A1767,orders!A:C,3,0),employees!A:B,2,0)</f>
        <v>Nancy Davolio</v>
      </c>
    </row>
    <row r="1768" spans="1:11" x14ac:dyDescent="0.25">
      <c r="A1768">
        <v>10928</v>
      </c>
      <c r="B1768">
        <v>76</v>
      </c>
      <c r="C1768">
        <v>18</v>
      </c>
      <c r="D1768">
        <v>5</v>
      </c>
      <c r="E1768">
        <v>0</v>
      </c>
      <c r="F1768">
        <f t="shared" si="27"/>
        <v>90</v>
      </c>
      <c r="G1768">
        <f>YEAR(VLOOKUP(A1768,orders!A:D,4,0))</f>
        <v>2015</v>
      </c>
      <c r="H1768">
        <f>MONTH(INDEX(orders!D:D,MATCH(A1768, orders!A:A,0)))</f>
        <v>3</v>
      </c>
      <c r="I1768" t="str">
        <f>VLOOKUP(VLOOKUP(B1768,products!A:F,6,0),categories!A:B,2,0)</f>
        <v>Beverages</v>
      </c>
      <c r="J1768" t="str">
        <f>VLOOKUP(VLOOKUP(A1768,orders!A:B,2,0),customers!A:F,6,0)</f>
        <v>Spain</v>
      </c>
      <c r="K1768" t="str">
        <f>VLOOKUP(VLOOKUP(A1768,orders!A:C,3,0),employees!A:B,2,0)</f>
        <v>Nancy Davolio</v>
      </c>
    </row>
    <row r="1769" spans="1:11" x14ac:dyDescent="0.25">
      <c r="A1769">
        <v>10929</v>
      </c>
      <c r="B1769">
        <v>21</v>
      </c>
      <c r="C1769">
        <v>10</v>
      </c>
      <c r="D1769">
        <v>60</v>
      </c>
      <c r="E1769">
        <v>0</v>
      </c>
      <c r="F1769">
        <f t="shared" si="27"/>
        <v>600</v>
      </c>
      <c r="G1769">
        <f>YEAR(VLOOKUP(A1769,orders!A:D,4,0))</f>
        <v>2015</v>
      </c>
      <c r="H1769">
        <f>MONTH(INDEX(orders!D:D,MATCH(A1769, orders!A:A,0)))</f>
        <v>3</v>
      </c>
      <c r="I1769" t="str">
        <f>VLOOKUP(VLOOKUP(B1769,products!A:F,6,0),categories!A:B,2,0)</f>
        <v>Confections</v>
      </c>
      <c r="J1769" t="str">
        <f>VLOOKUP(VLOOKUP(A1769,orders!A:B,2,0),customers!A:F,6,0)</f>
        <v>Germany</v>
      </c>
      <c r="K1769" t="str">
        <f>VLOOKUP(VLOOKUP(A1769,orders!A:C,3,0),employees!A:B,2,0)</f>
        <v>Michael Suyama</v>
      </c>
    </row>
    <row r="1770" spans="1:11" x14ac:dyDescent="0.25">
      <c r="A1770">
        <v>10929</v>
      </c>
      <c r="B1770">
        <v>75</v>
      </c>
      <c r="C1770">
        <v>7.75</v>
      </c>
      <c r="D1770">
        <v>49</v>
      </c>
      <c r="E1770">
        <v>0</v>
      </c>
      <c r="F1770">
        <f t="shared" si="27"/>
        <v>379.75</v>
      </c>
      <c r="G1770">
        <f>YEAR(VLOOKUP(A1770,orders!A:D,4,0))</f>
        <v>2015</v>
      </c>
      <c r="H1770">
        <f>MONTH(INDEX(orders!D:D,MATCH(A1770, orders!A:A,0)))</f>
        <v>3</v>
      </c>
      <c r="I1770" t="str">
        <f>VLOOKUP(VLOOKUP(B1770,products!A:F,6,0),categories!A:B,2,0)</f>
        <v>Beverages</v>
      </c>
      <c r="J1770" t="str">
        <f>VLOOKUP(VLOOKUP(A1770,orders!A:B,2,0),customers!A:F,6,0)</f>
        <v>Germany</v>
      </c>
      <c r="K1770" t="str">
        <f>VLOOKUP(VLOOKUP(A1770,orders!A:C,3,0),employees!A:B,2,0)</f>
        <v>Michael Suyama</v>
      </c>
    </row>
    <row r="1771" spans="1:11" x14ac:dyDescent="0.25">
      <c r="A1771">
        <v>10929</v>
      </c>
      <c r="B1771">
        <v>77</v>
      </c>
      <c r="C1771">
        <v>13</v>
      </c>
      <c r="D1771">
        <v>15</v>
      </c>
      <c r="E1771">
        <v>0</v>
      </c>
      <c r="F1771">
        <f t="shared" si="27"/>
        <v>195</v>
      </c>
      <c r="G1771">
        <f>YEAR(VLOOKUP(A1771,orders!A:D,4,0))</f>
        <v>2015</v>
      </c>
      <c r="H1771">
        <f>MONTH(INDEX(orders!D:D,MATCH(A1771, orders!A:A,0)))</f>
        <v>3</v>
      </c>
      <c r="I1771" t="str">
        <f>VLOOKUP(VLOOKUP(B1771,products!A:F,6,0),categories!A:B,2,0)</f>
        <v>Condiments</v>
      </c>
      <c r="J1771" t="str">
        <f>VLOOKUP(VLOOKUP(A1771,orders!A:B,2,0),customers!A:F,6,0)</f>
        <v>Germany</v>
      </c>
      <c r="K1771" t="str">
        <f>VLOOKUP(VLOOKUP(A1771,orders!A:C,3,0),employees!A:B,2,0)</f>
        <v>Michael Suyama</v>
      </c>
    </row>
    <row r="1772" spans="1:11" x14ac:dyDescent="0.25">
      <c r="A1772">
        <v>10930</v>
      </c>
      <c r="B1772">
        <v>21</v>
      </c>
      <c r="C1772">
        <v>10</v>
      </c>
      <c r="D1772">
        <v>36</v>
      </c>
      <c r="E1772">
        <v>0</v>
      </c>
      <c r="F1772">
        <f t="shared" si="27"/>
        <v>360</v>
      </c>
      <c r="G1772">
        <f>YEAR(VLOOKUP(A1772,orders!A:D,4,0))</f>
        <v>2015</v>
      </c>
      <c r="H1772">
        <f>MONTH(INDEX(orders!D:D,MATCH(A1772, orders!A:A,0)))</f>
        <v>3</v>
      </c>
      <c r="I1772" t="str">
        <f>VLOOKUP(VLOOKUP(B1772,products!A:F,6,0),categories!A:B,2,0)</f>
        <v>Confections</v>
      </c>
      <c r="J1772" t="str">
        <f>VLOOKUP(VLOOKUP(A1772,orders!A:B,2,0),customers!A:F,6,0)</f>
        <v>Belgium</v>
      </c>
      <c r="K1772" t="str">
        <f>VLOOKUP(VLOOKUP(A1772,orders!A:C,3,0),employees!A:B,2,0)</f>
        <v>Margaret Peacock</v>
      </c>
    </row>
    <row r="1773" spans="1:11" x14ac:dyDescent="0.25">
      <c r="A1773">
        <v>10930</v>
      </c>
      <c r="B1773">
        <v>27</v>
      </c>
      <c r="C1773">
        <v>43.9</v>
      </c>
      <c r="D1773">
        <v>25</v>
      </c>
      <c r="E1773">
        <v>0</v>
      </c>
      <c r="F1773">
        <f t="shared" si="27"/>
        <v>1097.5</v>
      </c>
      <c r="G1773">
        <f>YEAR(VLOOKUP(A1773,orders!A:D,4,0))</f>
        <v>2015</v>
      </c>
      <c r="H1773">
        <f>MONTH(INDEX(orders!D:D,MATCH(A1773, orders!A:A,0)))</f>
        <v>3</v>
      </c>
      <c r="I1773" t="str">
        <f>VLOOKUP(VLOOKUP(B1773,products!A:F,6,0),categories!A:B,2,0)</f>
        <v>Confections</v>
      </c>
      <c r="J1773" t="str">
        <f>VLOOKUP(VLOOKUP(A1773,orders!A:B,2,0),customers!A:F,6,0)</f>
        <v>Belgium</v>
      </c>
      <c r="K1773" t="str">
        <f>VLOOKUP(VLOOKUP(A1773,orders!A:C,3,0),employees!A:B,2,0)</f>
        <v>Margaret Peacock</v>
      </c>
    </row>
    <row r="1774" spans="1:11" x14ac:dyDescent="0.25">
      <c r="A1774">
        <v>10930</v>
      </c>
      <c r="B1774">
        <v>55</v>
      </c>
      <c r="C1774">
        <v>24</v>
      </c>
      <c r="D1774">
        <v>25</v>
      </c>
      <c r="E1774">
        <v>0.2</v>
      </c>
      <c r="F1774">
        <f t="shared" si="27"/>
        <v>480</v>
      </c>
      <c r="G1774">
        <f>YEAR(VLOOKUP(A1774,orders!A:D,4,0))</f>
        <v>2015</v>
      </c>
      <c r="H1774">
        <f>MONTH(INDEX(orders!D:D,MATCH(A1774, orders!A:A,0)))</f>
        <v>3</v>
      </c>
      <c r="I1774" t="str">
        <f>VLOOKUP(VLOOKUP(B1774,products!A:F,6,0),categories!A:B,2,0)</f>
        <v>Meat &amp; Poultry</v>
      </c>
      <c r="J1774" t="str">
        <f>VLOOKUP(VLOOKUP(A1774,orders!A:B,2,0),customers!A:F,6,0)</f>
        <v>Belgium</v>
      </c>
      <c r="K1774" t="str">
        <f>VLOOKUP(VLOOKUP(A1774,orders!A:C,3,0),employees!A:B,2,0)</f>
        <v>Margaret Peacock</v>
      </c>
    </row>
    <row r="1775" spans="1:11" x14ac:dyDescent="0.25">
      <c r="A1775">
        <v>10930</v>
      </c>
      <c r="B1775">
        <v>58</v>
      </c>
      <c r="C1775">
        <v>13.25</v>
      </c>
      <c r="D1775">
        <v>30</v>
      </c>
      <c r="E1775">
        <v>0.2</v>
      </c>
      <c r="F1775">
        <f t="shared" si="27"/>
        <v>318</v>
      </c>
      <c r="G1775">
        <f>YEAR(VLOOKUP(A1775,orders!A:D,4,0))</f>
        <v>2015</v>
      </c>
      <c r="H1775">
        <f>MONTH(INDEX(orders!D:D,MATCH(A1775, orders!A:A,0)))</f>
        <v>3</v>
      </c>
      <c r="I1775" t="str">
        <f>VLOOKUP(VLOOKUP(B1775,products!A:F,6,0),categories!A:B,2,0)</f>
        <v>Seafood</v>
      </c>
      <c r="J1775" t="str">
        <f>VLOOKUP(VLOOKUP(A1775,orders!A:B,2,0),customers!A:F,6,0)</f>
        <v>Belgium</v>
      </c>
      <c r="K1775" t="str">
        <f>VLOOKUP(VLOOKUP(A1775,orders!A:C,3,0),employees!A:B,2,0)</f>
        <v>Margaret Peacock</v>
      </c>
    </row>
    <row r="1776" spans="1:11" x14ac:dyDescent="0.25">
      <c r="A1776">
        <v>10931</v>
      </c>
      <c r="B1776">
        <v>13</v>
      </c>
      <c r="C1776">
        <v>6</v>
      </c>
      <c r="D1776">
        <v>42</v>
      </c>
      <c r="E1776">
        <v>0.15</v>
      </c>
      <c r="F1776">
        <f t="shared" si="27"/>
        <v>214.2</v>
      </c>
      <c r="G1776">
        <f>YEAR(VLOOKUP(A1776,orders!A:D,4,0))</f>
        <v>2015</v>
      </c>
      <c r="H1776">
        <f>MONTH(INDEX(orders!D:D,MATCH(A1776, orders!A:A,0)))</f>
        <v>3</v>
      </c>
      <c r="I1776" t="str">
        <f>VLOOKUP(VLOOKUP(B1776,products!A:F,6,0),categories!A:B,2,0)</f>
        <v>Seafood</v>
      </c>
      <c r="J1776" t="str">
        <f>VLOOKUP(VLOOKUP(A1776,orders!A:B,2,0),customers!A:F,6,0)</f>
        <v>Switzerland</v>
      </c>
      <c r="K1776" t="str">
        <f>VLOOKUP(VLOOKUP(A1776,orders!A:C,3,0),employees!A:B,2,0)</f>
        <v>Margaret Peacock</v>
      </c>
    </row>
    <row r="1777" spans="1:11" x14ac:dyDescent="0.25">
      <c r="A1777">
        <v>10931</v>
      </c>
      <c r="B1777">
        <v>57</v>
      </c>
      <c r="C1777">
        <v>19.5</v>
      </c>
      <c r="D1777">
        <v>30</v>
      </c>
      <c r="E1777">
        <v>0</v>
      </c>
      <c r="F1777">
        <f t="shared" si="27"/>
        <v>585</v>
      </c>
      <c r="G1777">
        <f>YEAR(VLOOKUP(A1777,orders!A:D,4,0))</f>
        <v>2015</v>
      </c>
      <c r="H1777">
        <f>MONTH(INDEX(orders!D:D,MATCH(A1777, orders!A:A,0)))</f>
        <v>3</v>
      </c>
      <c r="I1777" t="str">
        <f>VLOOKUP(VLOOKUP(B1777,products!A:F,6,0),categories!A:B,2,0)</f>
        <v>Grains &amp; Cereals</v>
      </c>
      <c r="J1777" t="str">
        <f>VLOOKUP(VLOOKUP(A1777,orders!A:B,2,0),customers!A:F,6,0)</f>
        <v>Switzerland</v>
      </c>
      <c r="K1777" t="str">
        <f>VLOOKUP(VLOOKUP(A1777,orders!A:C,3,0),employees!A:B,2,0)</f>
        <v>Margaret Peacock</v>
      </c>
    </row>
    <row r="1778" spans="1:11" x14ac:dyDescent="0.25">
      <c r="A1778">
        <v>10932</v>
      </c>
      <c r="B1778">
        <v>16</v>
      </c>
      <c r="C1778">
        <v>17.45</v>
      </c>
      <c r="D1778">
        <v>30</v>
      </c>
      <c r="E1778">
        <v>0.1</v>
      </c>
      <c r="F1778">
        <f t="shared" si="27"/>
        <v>471.15000000000003</v>
      </c>
      <c r="G1778">
        <f>YEAR(VLOOKUP(A1778,orders!A:D,4,0))</f>
        <v>2015</v>
      </c>
      <c r="H1778">
        <f>MONTH(INDEX(orders!D:D,MATCH(A1778, orders!A:A,0)))</f>
        <v>3</v>
      </c>
      <c r="I1778" t="str">
        <f>VLOOKUP(VLOOKUP(B1778,products!A:F,6,0),categories!A:B,2,0)</f>
        <v>Confections</v>
      </c>
      <c r="J1778" t="str">
        <f>VLOOKUP(VLOOKUP(A1778,orders!A:B,2,0),customers!A:F,6,0)</f>
        <v>France</v>
      </c>
      <c r="K1778" t="str">
        <f>VLOOKUP(VLOOKUP(A1778,orders!A:C,3,0),employees!A:B,2,0)</f>
        <v>Laura Callahan</v>
      </c>
    </row>
    <row r="1779" spans="1:11" x14ac:dyDescent="0.25">
      <c r="A1779">
        <v>10932</v>
      </c>
      <c r="B1779">
        <v>62</v>
      </c>
      <c r="C1779">
        <v>49.3</v>
      </c>
      <c r="D1779">
        <v>14</v>
      </c>
      <c r="E1779">
        <v>0.1</v>
      </c>
      <c r="F1779">
        <f t="shared" si="27"/>
        <v>621.17999999999995</v>
      </c>
      <c r="G1779">
        <f>YEAR(VLOOKUP(A1779,orders!A:D,4,0))</f>
        <v>2015</v>
      </c>
      <c r="H1779">
        <f>MONTH(INDEX(orders!D:D,MATCH(A1779, orders!A:A,0)))</f>
        <v>3</v>
      </c>
      <c r="I1779" t="str">
        <f>VLOOKUP(VLOOKUP(B1779,products!A:F,6,0),categories!A:B,2,0)</f>
        <v>Confections</v>
      </c>
      <c r="J1779" t="str">
        <f>VLOOKUP(VLOOKUP(A1779,orders!A:B,2,0),customers!A:F,6,0)</f>
        <v>France</v>
      </c>
      <c r="K1779" t="str">
        <f>VLOOKUP(VLOOKUP(A1779,orders!A:C,3,0),employees!A:B,2,0)</f>
        <v>Laura Callahan</v>
      </c>
    </row>
    <row r="1780" spans="1:11" x14ac:dyDescent="0.25">
      <c r="A1780">
        <v>10932</v>
      </c>
      <c r="B1780">
        <v>72</v>
      </c>
      <c r="C1780">
        <v>34.799999999999997</v>
      </c>
      <c r="D1780">
        <v>16</v>
      </c>
      <c r="E1780">
        <v>0</v>
      </c>
      <c r="F1780">
        <f t="shared" si="27"/>
        <v>556.79999999999995</v>
      </c>
      <c r="G1780">
        <f>YEAR(VLOOKUP(A1780,orders!A:D,4,0))</f>
        <v>2015</v>
      </c>
      <c r="H1780">
        <f>MONTH(INDEX(orders!D:D,MATCH(A1780, orders!A:A,0)))</f>
        <v>3</v>
      </c>
      <c r="I1780" t="str">
        <f>VLOOKUP(VLOOKUP(B1780,products!A:F,6,0),categories!A:B,2,0)</f>
        <v>Dairy Products</v>
      </c>
      <c r="J1780" t="str">
        <f>VLOOKUP(VLOOKUP(A1780,orders!A:B,2,0),customers!A:F,6,0)</f>
        <v>France</v>
      </c>
      <c r="K1780" t="str">
        <f>VLOOKUP(VLOOKUP(A1780,orders!A:C,3,0),employees!A:B,2,0)</f>
        <v>Laura Callahan</v>
      </c>
    </row>
    <row r="1781" spans="1:11" x14ac:dyDescent="0.25">
      <c r="A1781">
        <v>10932</v>
      </c>
      <c r="B1781">
        <v>75</v>
      </c>
      <c r="C1781">
        <v>7.75</v>
      </c>
      <c r="D1781">
        <v>20</v>
      </c>
      <c r="E1781">
        <v>0.1</v>
      </c>
      <c r="F1781">
        <f t="shared" si="27"/>
        <v>139.5</v>
      </c>
      <c r="G1781">
        <f>YEAR(VLOOKUP(A1781,orders!A:D,4,0))</f>
        <v>2015</v>
      </c>
      <c r="H1781">
        <f>MONTH(INDEX(orders!D:D,MATCH(A1781, orders!A:A,0)))</f>
        <v>3</v>
      </c>
      <c r="I1781" t="str">
        <f>VLOOKUP(VLOOKUP(B1781,products!A:F,6,0),categories!A:B,2,0)</f>
        <v>Beverages</v>
      </c>
      <c r="J1781" t="str">
        <f>VLOOKUP(VLOOKUP(A1781,orders!A:B,2,0),customers!A:F,6,0)</f>
        <v>France</v>
      </c>
      <c r="K1781" t="str">
        <f>VLOOKUP(VLOOKUP(A1781,orders!A:C,3,0),employees!A:B,2,0)</f>
        <v>Laura Callahan</v>
      </c>
    </row>
    <row r="1782" spans="1:11" x14ac:dyDescent="0.25">
      <c r="A1782">
        <v>10933</v>
      </c>
      <c r="B1782">
        <v>53</v>
      </c>
      <c r="C1782">
        <v>32.799999999999997</v>
      </c>
      <c r="D1782">
        <v>2</v>
      </c>
      <c r="E1782">
        <v>0</v>
      </c>
      <c r="F1782">
        <f t="shared" si="27"/>
        <v>65.599999999999994</v>
      </c>
      <c r="G1782">
        <f>YEAR(VLOOKUP(A1782,orders!A:D,4,0))</f>
        <v>2015</v>
      </c>
      <c r="H1782">
        <f>MONTH(INDEX(orders!D:D,MATCH(A1782, orders!A:A,0)))</f>
        <v>3</v>
      </c>
      <c r="I1782" t="str">
        <f>VLOOKUP(VLOOKUP(B1782,products!A:F,6,0),categories!A:B,2,0)</f>
        <v>Meat &amp; Poultry</v>
      </c>
      <c r="J1782" t="str">
        <f>VLOOKUP(VLOOKUP(A1782,orders!A:B,2,0),customers!A:F,6,0)</f>
        <v>UK</v>
      </c>
      <c r="K1782" t="str">
        <f>VLOOKUP(VLOOKUP(A1782,orders!A:C,3,0),employees!A:B,2,0)</f>
        <v>Michael Suyama</v>
      </c>
    </row>
    <row r="1783" spans="1:11" x14ac:dyDescent="0.25">
      <c r="A1783">
        <v>10933</v>
      </c>
      <c r="B1783">
        <v>61</v>
      </c>
      <c r="C1783">
        <v>28.5</v>
      </c>
      <c r="D1783">
        <v>30</v>
      </c>
      <c r="E1783">
        <v>0</v>
      </c>
      <c r="F1783">
        <f t="shared" si="27"/>
        <v>855</v>
      </c>
      <c r="G1783">
        <f>YEAR(VLOOKUP(A1783,orders!A:D,4,0))</f>
        <v>2015</v>
      </c>
      <c r="H1783">
        <f>MONTH(INDEX(orders!D:D,MATCH(A1783, orders!A:A,0)))</f>
        <v>3</v>
      </c>
      <c r="I1783" t="str">
        <f>VLOOKUP(VLOOKUP(B1783,products!A:F,6,0),categories!A:B,2,0)</f>
        <v>Condiments</v>
      </c>
      <c r="J1783" t="str">
        <f>VLOOKUP(VLOOKUP(A1783,orders!A:B,2,0),customers!A:F,6,0)</f>
        <v>UK</v>
      </c>
      <c r="K1783" t="str">
        <f>VLOOKUP(VLOOKUP(A1783,orders!A:C,3,0),employees!A:B,2,0)</f>
        <v>Michael Suyama</v>
      </c>
    </row>
    <row r="1784" spans="1:11" x14ac:dyDescent="0.25">
      <c r="A1784">
        <v>10934</v>
      </c>
      <c r="B1784">
        <v>6</v>
      </c>
      <c r="C1784">
        <v>25</v>
      </c>
      <c r="D1784">
        <v>20</v>
      </c>
      <c r="E1784">
        <v>0</v>
      </c>
      <c r="F1784">
        <f t="shared" si="27"/>
        <v>500</v>
      </c>
      <c r="G1784">
        <f>YEAR(VLOOKUP(A1784,orders!A:D,4,0))</f>
        <v>2015</v>
      </c>
      <c r="H1784">
        <f>MONTH(INDEX(orders!D:D,MATCH(A1784, orders!A:A,0)))</f>
        <v>3</v>
      </c>
      <c r="I1784" t="str">
        <f>VLOOKUP(VLOOKUP(B1784,products!A:F,6,0),categories!A:B,2,0)</f>
        <v>Condiments</v>
      </c>
      <c r="J1784" t="str">
        <f>VLOOKUP(VLOOKUP(A1784,orders!A:B,2,0),customers!A:F,6,0)</f>
        <v>Germany</v>
      </c>
      <c r="K1784" t="str">
        <f>VLOOKUP(VLOOKUP(A1784,orders!A:C,3,0),employees!A:B,2,0)</f>
        <v>Janet Leverling</v>
      </c>
    </row>
    <row r="1785" spans="1:11" x14ac:dyDescent="0.25">
      <c r="A1785">
        <v>10935</v>
      </c>
      <c r="B1785">
        <v>1</v>
      </c>
      <c r="C1785">
        <v>18</v>
      </c>
      <c r="D1785">
        <v>21</v>
      </c>
      <c r="E1785">
        <v>0</v>
      </c>
      <c r="F1785">
        <f t="shared" si="27"/>
        <v>378</v>
      </c>
      <c r="G1785">
        <f>YEAR(VLOOKUP(A1785,orders!A:D,4,0))</f>
        <v>2015</v>
      </c>
      <c r="H1785">
        <f>MONTH(INDEX(orders!D:D,MATCH(A1785, orders!A:A,0)))</f>
        <v>3</v>
      </c>
      <c r="I1785" t="str">
        <f>VLOOKUP(VLOOKUP(B1785,products!A:F,6,0),categories!A:B,2,0)</f>
        <v>Beverages</v>
      </c>
      <c r="J1785" t="str">
        <f>VLOOKUP(VLOOKUP(A1785,orders!A:B,2,0),customers!A:F,6,0)</f>
        <v>Brazil</v>
      </c>
      <c r="K1785" t="str">
        <f>VLOOKUP(VLOOKUP(A1785,orders!A:C,3,0),employees!A:B,2,0)</f>
        <v>Margaret Peacock</v>
      </c>
    </row>
    <row r="1786" spans="1:11" x14ac:dyDescent="0.25">
      <c r="A1786">
        <v>10935</v>
      </c>
      <c r="B1786">
        <v>18</v>
      </c>
      <c r="C1786">
        <v>62.5</v>
      </c>
      <c r="D1786">
        <v>4</v>
      </c>
      <c r="E1786">
        <v>0.25</v>
      </c>
      <c r="F1786">
        <f t="shared" si="27"/>
        <v>187.5</v>
      </c>
      <c r="G1786">
        <f>YEAR(VLOOKUP(A1786,orders!A:D,4,0))</f>
        <v>2015</v>
      </c>
      <c r="H1786">
        <f>MONTH(INDEX(orders!D:D,MATCH(A1786, orders!A:A,0)))</f>
        <v>3</v>
      </c>
      <c r="I1786" t="str">
        <f>VLOOKUP(VLOOKUP(B1786,products!A:F,6,0),categories!A:B,2,0)</f>
        <v>Seafood</v>
      </c>
      <c r="J1786" t="str">
        <f>VLOOKUP(VLOOKUP(A1786,orders!A:B,2,0),customers!A:F,6,0)</f>
        <v>Brazil</v>
      </c>
      <c r="K1786" t="str">
        <f>VLOOKUP(VLOOKUP(A1786,orders!A:C,3,0),employees!A:B,2,0)</f>
        <v>Margaret Peacock</v>
      </c>
    </row>
    <row r="1787" spans="1:11" x14ac:dyDescent="0.25">
      <c r="A1787">
        <v>10935</v>
      </c>
      <c r="B1787">
        <v>23</v>
      </c>
      <c r="C1787">
        <v>9</v>
      </c>
      <c r="D1787">
        <v>8</v>
      </c>
      <c r="E1787">
        <v>0.25</v>
      </c>
      <c r="F1787">
        <f t="shared" si="27"/>
        <v>54</v>
      </c>
      <c r="G1787">
        <f>YEAR(VLOOKUP(A1787,orders!A:D,4,0))</f>
        <v>2015</v>
      </c>
      <c r="H1787">
        <f>MONTH(INDEX(orders!D:D,MATCH(A1787, orders!A:A,0)))</f>
        <v>3</v>
      </c>
      <c r="I1787" t="str">
        <f>VLOOKUP(VLOOKUP(B1787,products!A:F,6,0),categories!A:B,2,0)</f>
        <v>Grains &amp; Cereals</v>
      </c>
      <c r="J1787" t="str">
        <f>VLOOKUP(VLOOKUP(A1787,orders!A:B,2,0),customers!A:F,6,0)</f>
        <v>Brazil</v>
      </c>
      <c r="K1787" t="str">
        <f>VLOOKUP(VLOOKUP(A1787,orders!A:C,3,0),employees!A:B,2,0)</f>
        <v>Margaret Peacock</v>
      </c>
    </row>
    <row r="1788" spans="1:11" x14ac:dyDescent="0.25">
      <c r="A1788">
        <v>10936</v>
      </c>
      <c r="B1788">
        <v>36</v>
      </c>
      <c r="C1788">
        <v>19</v>
      </c>
      <c r="D1788">
        <v>30</v>
      </c>
      <c r="E1788">
        <v>0.2</v>
      </c>
      <c r="F1788">
        <f t="shared" si="27"/>
        <v>456</v>
      </c>
      <c r="G1788">
        <f>YEAR(VLOOKUP(A1788,orders!A:D,4,0))</f>
        <v>2015</v>
      </c>
      <c r="H1788">
        <f>MONTH(INDEX(orders!D:D,MATCH(A1788, orders!A:A,0)))</f>
        <v>3</v>
      </c>
      <c r="I1788" t="str">
        <f>VLOOKUP(VLOOKUP(B1788,products!A:F,6,0),categories!A:B,2,0)</f>
        <v>Seafood</v>
      </c>
      <c r="J1788" t="str">
        <f>VLOOKUP(VLOOKUP(A1788,orders!A:B,2,0),customers!A:F,6,0)</f>
        <v>USA</v>
      </c>
      <c r="K1788" t="str">
        <f>VLOOKUP(VLOOKUP(A1788,orders!A:C,3,0),employees!A:B,2,0)</f>
        <v>Janet Leverling</v>
      </c>
    </row>
    <row r="1789" spans="1:11" x14ac:dyDescent="0.25">
      <c r="A1789">
        <v>10937</v>
      </c>
      <c r="B1789">
        <v>28</v>
      </c>
      <c r="C1789">
        <v>45.6</v>
      </c>
      <c r="D1789">
        <v>8</v>
      </c>
      <c r="E1789">
        <v>0</v>
      </c>
      <c r="F1789">
        <f t="shared" si="27"/>
        <v>364.8</v>
      </c>
      <c r="G1789">
        <f>YEAR(VLOOKUP(A1789,orders!A:D,4,0))</f>
        <v>2015</v>
      </c>
      <c r="H1789">
        <f>MONTH(INDEX(orders!D:D,MATCH(A1789, orders!A:A,0)))</f>
        <v>3</v>
      </c>
      <c r="I1789" t="str">
        <f>VLOOKUP(VLOOKUP(B1789,products!A:F,6,0),categories!A:B,2,0)</f>
        <v>Produce</v>
      </c>
      <c r="J1789" t="str">
        <f>VLOOKUP(VLOOKUP(A1789,orders!A:B,2,0),customers!A:F,6,0)</f>
        <v>Argentina</v>
      </c>
      <c r="K1789" t="str">
        <f>VLOOKUP(VLOOKUP(A1789,orders!A:C,3,0),employees!A:B,2,0)</f>
        <v>Robert King</v>
      </c>
    </row>
    <row r="1790" spans="1:11" x14ac:dyDescent="0.25">
      <c r="A1790">
        <v>10937</v>
      </c>
      <c r="B1790">
        <v>34</v>
      </c>
      <c r="C1790">
        <v>14</v>
      </c>
      <c r="D1790">
        <v>20</v>
      </c>
      <c r="E1790">
        <v>0</v>
      </c>
      <c r="F1790">
        <f t="shared" si="27"/>
        <v>280</v>
      </c>
      <c r="G1790">
        <f>YEAR(VLOOKUP(A1790,orders!A:D,4,0))</f>
        <v>2015</v>
      </c>
      <c r="H1790">
        <f>MONTH(INDEX(orders!D:D,MATCH(A1790, orders!A:A,0)))</f>
        <v>3</v>
      </c>
      <c r="I1790" t="str">
        <f>VLOOKUP(VLOOKUP(B1790,products!A:F,6,0),categories!A:B,2,0)</f>
        <v>Beverages</v>
      </c>
      <c r="J1790" t="str">
        <f>VLOOKUP(VLOOKUP(A1790,orders!A:B,2,0),customers!A:F,6,0)</f>
        <v>Argentina</v>
      </c>
      <c r="K1790" t="str">
        <f>VLOOKUP(VLOOKUP(A1790,orders!A:C,3,0),employees!A:B,2,0)</f>
        <v>Robert King</v>
      </c>
    </row>
    <row r="1791" spans="1:11" x14ac:dyDescent="0.25">
      <c r="A1791">
        <v>10938</v>
      </c>
      <c r="B1791">
        <v>13</v>
      </c>
      <c r="C1791">
        <v>6</v>
      </c>
      <c r="D1791">
        <v>20</v>
      </c>
      <c r="E1791">
        <v>0.25</v>
      </c>
      <c r="F1791">
        <f t="shared" si="27"/>
        <v>90</v>
      </c>
      <c r="G1791">
        <f>YEAR(VLOOKUP(A1791,orders!A:D,4,0))</f>
        <v>2015</v>
      </c>
      <c r="H1791">
        <f>MONTH(INDEX(orders!D:D,MATCH(A1791, orders!A:A,0)))</f>
        <v>3</v>
      </c>
      <c r="I1791" t="str">
        <f>VLOOKUP(VLOOKUP(B1791,products!A:F,6,0),categories!A:B,2,0)</f>
        <v>Seafood</v>
      </c>
      <c r="J1791" t="str">
        <f>VLOOKUP(VLOOKUP(A1791,orders!A:B,2,0),customers!A:F,6,0)</f>
        <v>Germany</v>
      </c>
      <c r="K1791" t="str">
        <f>VLOOKUP(VLOOKUP(A1791,orders!A:C,3,0),employees!A:B,2,0)</f>
        <v>Janet Leverling</v>
      </c>
    </row>
    <row r="1792" spans="1:11" x14ac:dyDescent="0.25">
      <c r="A1792">
        <v>10938</v>
      </c>
      <c r="B1792">
        <v>43</v>
      </c>
      <c r="C1792">
        <v>46</v>
      </c>
      <c r="D1792">
        <v>24</v>
      </c>
      <c r="E1792">
        <v>0.25</v>
      </c>
      <c r="F1792">
        <f t="shared" si="27"/>
        <v>828</v>
      </c>
      <c r="G1792">
        <f>YEAR(VLOOKUP(A1792,orders!A:D,4,0))</f>
        <v>2015</v>
      </c>
      <c r="H1792">
        <f>MONTH(INDEX(orders!D:D,MATCH(A1792, orders!A:A,0)))</f>
        <v>3</v>
      </c>
      <c r="I1792" t="str">
        <f>VLOOKUP(VLOOKUP(B1792,products!A:F,6,0),categories!A:B,2,0)</f>
        <v>Beverages</v>
      </c>
      <c r="J1792" t="str">
        <f>VLOOKUP(VLOOKUP(A1792,orders!A:B,2,0),customers!A:F,6,0)</f>
        <v>Germany</v>
      </c>
      <c r="K1792" t="str">
        <f>VLOOKUP(VLOOKUP(A1792,orders!A:C,3,0),employees!A:B,2,0)</f>
        <v>Janet Leverling</v>
      </c>
    </row>
    <row r="1793" spans="1:11" x14ac:dyDescent="0.25">
      <c r="A1793">
        <v>10938</v>
      </c>
      <c r="B1793">
        <v>60</v>
      </c>
      <c r="C1793">
        <v>34</v>
      </c>
      <c r="D1793">
        <v>49</v>
      </c>
      <c r="E1793">
        <v>0.25</v>
      </c>
      <c r="F1793">
        <f t="shared" si="27"/>
        <v>1249.5</v>
      </c>
      <c r="G1793">
        <f>YEAR(VLOOKUP(A1793,orders!A:D,4,0))</f>
        <v>2015</v>
      </c>
      <c r="H1793">
        <f>MONTH(INDEX(orders!D:D,MATCH(A1793, orders!A:A,0)))</f>
        <v>3</v>
      </c>
      <c r="I1793" t="str">
        <f>VLOOKUP(VLOOKUP(B1793,products!A:F,6,0),categories!A:B,2,0)</f>
        <v>Dairy Products</v>
      </c>
      <c r="J1793" t="str">
        <f>VLOOKUP(VLOOKUP(A1793,orders!A:B,2,0),customers!A:F,6,0)</f>
        <v>Germany</v>
      </c>
      <c r="K1793" t="str">
        <f>VLOOKUP(VLOOKUP(A1793,orders!A:C,3,0),employees!A:B,2,0)</f>
        <v>Janet Leverling</v>
      </c>
    </row>
    <row r="1794" spans="1:11" x14ac:dyDescent="0.25">
      <c r="A1794">
        <v>10938</v>
      </c>
      <c r="B1794">
        <v>71</v>
      </c>
      <c r="C1794">
        <v>21.5</v>
      </c>
      <c r="D1794">
        <v>35</v>
      </c>
      <c r="E1794">
        <v>0.25</v>
      </c>
      <c r="F1794">
        <f t="shared" si="27"/>
        <v>564.375</v>
      </c>
      <c r="G1794">
        <f>YEAR(VLOOKUP(A1794,orders!A:D,4,0))</f>
        <v>2015</v>
      </c>
      <c r="H1794">
        <f>MONTH(INDEX(orders!D:D,MATCH(A1794, orders!A:A,0)))</f>
        <v>3</v>
      </c>
      <c r="I1794" t="str">
        <f>VLOOKUP(VLOOKUP(B1794,products!A:F,6,0),categories!A:B,2,0)</f>
        <v>Dairy Products</v>
      </c>
      <c r="J1794" t="str">
        <f>VLOOKUP(VLOOKUP(A1794,orders!A:B,2,0),customers!A:F,6,0)</f>
        <v>Germany</v>
      </c>
      <c r="K1794" t="str">
        <f>VLOOKUP(VLOOKUP(A1794,orders!A:C,3,0),employees!A:B,2,0)</f>
        <v>Janet Leverling</v>
      </c>
    </row>
    <row r="1795" spans="1:11" x14ac:dyDescent="0.25">
      <c r="A1795">
        <v>10939</v>
      </c>
      <c r="B1795">
        <v>2</v>
      </c>
      <c r="C1795">
        <v>19</v>
      </c>
      <c r="D1795">
        <v>10</v>
      </c>
      <c r="E1795">
        <v>0.15</v>
      </c>
      <c r="F1795">
        <f t="shared" ref="F1795:F1858" si="28">C1795*D1795*(1-E1795)</f>
        <v>161.5</v>
      </c>
      <c r="G1795">
        <f>YEAR(VLOOKUP(A1795,orders!A:D,4,0))</f>
        <v>2015</v>
      </c>
      <c r="H1795">
        <f>MONTH(INDEX(orders!D:D,MATCH(A1795, orders!A:A,0)))</f>
        <v>3</v>
      </c>
      <c r="I1795" t="str">
        <f>VLOOKUP(VLOOKUP(B1795,products!A:F,6,0),categories!A:B,2,0)</f>
        <v>Beverages</v>
      </c>
      <c r="J1795" t="str">
        <f>VLOOKUP(VLOOKUP(A1795,orders!A:B,2,0),customers!A:F,6,0)</f>
        <v>Italy</v>
      </c>
      <c r="K1795" t="str">
        <f>VLOOKUP(VLOOKUP(A1795,orders!A:C,3,0),employees!A:B,2,0)</f>
        <v>Andrew Fuller</v>
      </c>
    </row>
    <row r="1796" spans="1:11" x14ac:dyDescent="0.25">
      <c r="A1796">
        <v>10939</v>
      </c>
      <c r="B1796">
        <v>67</v>
      </c>
      <c r="C1796">
        <v>14</v>
      </c>
      <c r="D1796">
        <v>40</v>
      </c>
      <c r="E1796">
        <v>0.15</v>
      </c>
      <c r="F1796">
        <f t="shared" si="28"/>
        <v>476</v>
      </c>
      <c r="G1796">
        <f>YEAR(VLOOKUP(A1796,orders!A:D,4,0))</f>
        <v>2015</v>
      </c>
      <c r="H1796">
        <f>MONTH(INDEX(orders!D:D,MATCH(A1796, orders!A:A,0)))</f>
        <v>3</v>
      </c>
      <c r="I1796" t="str">
        <f>VLOOKUP(VLOOKUP(B1796,products!A:F,6,0),categories!A:B,2,0)</f>
        <v>Beverages</v>
      </c>
      <c r="J1796" t="str">
        <f>VLOOKUP(VLOOKUP(A1796,orders!A:B,2,0),customers!A:F,6,0)</f>
        <v>Italy</v>
      </c>
      <c r="K1796" t="str">
        <f>VLOOKUP(VLOOKUP(A1796,orders!A:C,3,0),employees!A:B,2,0)</f>
        <v>Andrew Fuller</v>
      </c>
    </row>
    <row r="1797" spans="1:11" x14ac:dyDescent="0.25">
      <c r="A1797">
        <v>10940</v>
      </c>
      <c r="B1797">
        <v>7</v>
      </c>
      <c r="C1797">
        <v>30</v>
      </c>
      <c r="D1797">
        <v>8</v>
      </c>
      <c r="E1797">
        <v>0</v>
      </c>
      <c r="F1797">
        <f t="shared" si="28"/>
        <v>240</v>
      </c>
      <c r="G1797">
        <f>YEAR(VLOOKUP(A1797,orders!A:D,4,0))</f>
        <v>2015</v>
      </c>
      <c r="H1797">
        <f>MONTH(INDEX(orders!D:D,MATCH(A1797, orders!A:A,0)))</f>
        <v>3</v>
      </c>
      <c r="I1797" t="str">
        <f>VLOOKUP(VLOOKUP(B1797,products!A:F,6,0),categories!A:B,2,0)</f>
        <v>Produce</v>
      </c>
      <c r="J1797" t="str">
        <f>VLOOKUP(VLOOKUP(A1797,orders!A:B,2,0),customers!A:F,6,0)</f>
        <v>France</v>
      </c>
      <c r="K1797" t="str">
        <f>VLOOKUP(VLOOKUP(A1797,orders!A:C,3,0),employees!A:B,2,0)</f>
        <v>Laura Callahan</v>
      </c>
    </row>
    <row r="1798" spans="1:11" x14ac:dyDescent="0.25">
      <c r="A1798">
        <v>10940</v>
      </c>
      <c r="B1798">
        <v>13</v>
      </c>
      <c r="C1798">
        <v>6</v>
      </c>
      <c r="D1798">
        <v>20</v>
      </c>
      <c r="E1798">
        <v>0</v>
      </c>
      <c r="F1798">
        <f t="shared" si="28"/>
        <v>120</v>
      </c>
      <c r="G1798">
        <f>YEAR(VLOOKUP(A1798,orders!A:D,4,0))</f>
        <v>2015</v>
      </c>
      <c r="H1798">
        <f>MONTH(INDEX(orders!D:D,MATCH(A1798, orders!A:A,0)))</f>
        <v>3</v>
      </c>
      <c r="I1798" t="str">
        <f>VLOOKUP(VLOOKUP(B1798,products!A:F,6,0),categories!A:B,2,0)</f>
        <v>Seafood</v>
      </c>
      <c r="J1798" t="str">
        <f>VLOOKUP(VLOOKUP(A1798,orders!A:B,2,0),customers!A:F,6,0)</f>
        <v>France</v>
      </c>
      <c r="K1798" t="str">
        <f>VLOOKUP(VLOOKUP(A1798,orders!A:C,3,0),employees!A:B,2,0)</f>
        <v>Laura Callahan</v>
      </c>
    </row>
    <row r="1799" spans="1:11" x14ac:dyDescent="0.25">
      <c r="A1799">
        <v>10941</v>
      </c>
      <c r="B1799">
        <v>31</v>
      </c>
      <c r="C1799">
        <v>12.5</v>
      </c>
      <c r="D1799">
        <v>44</v>
      </c>
      <c r="E1799">
        <v>0.25</v>
      </c>
      <c r="F1799">
        <f t="shared" si="28"/>
        <v>412.5</v>
      </c>
      <c r="G1799">
        <f>YEAR(VLOOKUP(A1799,orders!A:D,4,0))</f>
        <v>2015</v>
      </c>
      <c r="H1799">
        <f>MONTH(INDEX(orders!D:D,MATCH(A1799, orders!A:A,0)))</f>
        <v>3</v>
      </c>
      <c r="I1799" t="str">
        <f>VLOOKUP(VLOOKUP(B1799,products!A:F,6,0),categories!A:B,2,0)</f>
        <v>Dairy Products</v>
      </c>
      <c r="J1799" t="str">
        <f>VLOOKUP(VLOOKUP(A1799,orders!A:B,2,0),customers!A:F,6,0)</f>
        <v>USA</v>
      </c>
      <c r="K1799" t="str">
        <f>VLOOKUP(VLOOKUP(A1799,orders!A:C,3,0),employees!A:B,2,0)</f>
        <v>Robert King</v>
      </c>
    </row>
    <row r="1800" spans="1:11" x14ac:dyDescent="0.25">
      <c r="A1800">
        <v>10941</v>
      </c>
      <c r="B1800">
        <v>62</v>
      </c>
      <c r="C1800">
        <v>49.3</v>
      </c>
      <c r="D1800">
        <v>30</v>
      </c>
      <c r="E1800">
        <v>0.25</v>
      </c>
      <c r="F1800">
        <f t="shared" si="28"/>
        <v>1109.25</v>
      </c>
      <c r="G1800">
        <f>YEAR(VLOOKUP(A1800,orders!A:D,4,0))</f>
        <v>2015</v>
      </c>
      <c r="H1800">
        <f>MONTH(INDEX(orders!D:D,MATCH(A1800, orders!A:A,0)))</f>
        <v>3</v>
      </c>
      <c r="I1800" t="str">
        <f>VLOOKUP(VLOOKUP(B1800,products!A:F,6,0),categories!A:B,2,0)</f>
        <v>Confections</v>
      </c>
      <c r="J1800" t="str">
        <f>VLOOKUP(VLOOKUP(A1800,orders!A:B,2,0),customers!A:F,6,0)</f>
        <v>USA</v>
      </c>
      <c r="K1800" t="str">
        <f>VLOOKUP(VLOOKUP(A1800,orders!A:C,3,0),employees!A:B,2,0)</f>
        <v>Robert King</v>
      </c>
    </row>
    <row r="1801" spans="1:11" x14ac:dyDescent="0.25">
      <c r="A1801">
        <v>10941</v>
      </c>
      <c r="B1801">
        <v>68</v>
      </c>
      <c r="C1801">
        <v>12.5</v>
      </c>
      <c r="D1801">
        <v>80</v>
      </c>
      <c r="E1801">
        <v>0.25</v>
      </c>
      <c r="F1801">
        <f t="shared" si="28"/>
        <v>750</v>
      </c>
      <c r="G1801">
        <f>YEAR(VLOOKUP(A1801,orders!A:D,4,0))</f>
        <v>2015</v>
      </c>
      <c r="H1801">
        <f>MONTH(INDEX(orders!D:D,MATCH(A1801, orders!A:A,0)))</f>
        <v>3</v>
      </c>
      <c r="I1801" t="str">
        <f>VLOOKUP(VLOOKUP(B1801,products!A:F,6,0),categories!A:B,2,0)</f>
        <v>Confections</v>
      </c>
      <c r="J1801" t="str">
        <f>VLOOKUP(VLOOKUP(A1801,orders!A:B,2,0),customers!A:F,6,0)</f>
        <v>USA</v>
      </c>
      <c r="K1801" t="str">
        <f>VLOOKUP(VLOOKUP(A1801,orders!A:C,3,0),employees!A:B,2,0)</f>
        <v>Robert King</v>
      </c>
    </row>
    <row r="1802" spans="1:11" x14ac:dyDescent="0.25">
      <c r="A1802">
        <v>10941</v>
      </c>
      <c r="B1802">
        <v>72</v>
      </c>
      <c r="C1802">
        <v>34.799999999999997</v>
      </c>
      <c r="D1802">
        <v>50</v>
      </c>
      <c r="E1802">
        <v>0</v>
      </c>
      <c r="F1802">
        <f t="shared" si="28"/>
        <v>1739.9999999999998</v>
      </c>
      <c r="G1802">
        <f>YEAR(VLOOKUP(A1802,orders!A:D,4,0))</f>
        <v>2015</v>
      </c>
      <c r="H1802">
        <f>MONTH(INDEX(orders!D:D,MATCH(A1802, orders!A:A,0)))</f>
        <v>3</v>
      </c>
      <c r="I1802" t="str">
        <f>VLOOKUP(VLOOKUP(B1802,products!A:F,6,0),categories!A:B,2,0)</f>
        <v>Dairy Products</v>
      </c>
      <c r="J1802" t="str">
        <f>VLOOKUP(VLOOKUP(A1802,orders!A:B,2,0),customers!A:F,6,0)</f>
        <v>USA</v>
      </c>
      <c r="K1802" t="str">
        <f>VLOOKUP(VLOOKUP(A1802,orders!A:C,3,0),employees!A:B,2,0)</f>
        <v>Robert King</v>
      </c>
    </row>
    <row r="1803" spans="1:11" x14ac:dyDescent="0.25">
      <c r="A1803">
        <v>10942</v>
      </c>
      <c r="B1803">
        <v>49</v>
      </c>
      <c r="C1803">
        <v>20</v>
      </c>
      <c r="D1803">
        <v>28</v>
      </c>
      <c r="E1803">
        <v>0</v>
      </c>
      <c r="F1803">
        <f t="shared" si="28"/>
        <v>560</v>
      </c>
      <c r="G1803">
        <f>YEAR(VLOOKUP(A1803,orders!A:D,4,0))</f>
        <v>2015</v>
      </c>
      <c r="H1803">
        <f>MONTH(INDEX(orders!D:D,MATCH(A1803, orders!A:A,0)))</f>
        <v>3</v>
      </c>
      <c r="I1803" t="str">
        <f>VLOOKUP(VLOOKUP(B1803,products!A:F,6,0),categories!A:B,2,0)</f>
        <v>Confections</v>
      </c>
      <c r="J1803" t="str">
        <f>VLOOKUP(VLOOKUP(A1803,orders!A:B,2,0),customers!A:F,6,0)</f>
        <v>Italy</v>
      </c>
      <c r="K1803" t="str">
        <f>VLOOKUP(VLOOKUP(A1803,orders!A:C,3,0),employees!A:B,2,0)</f>
        <v>Anne Dodsworth</v>
      </c>
    </row>
    <row r="1804" spans="1:11" x14ac:dyDescent="0.25">
      <c r="A1804">
        <v>10943</v>
      </c>
      <c r="B1804">
        <v>13</v>
      </c>
      <c r="C1804">
        <v>6</v>
      </c>
      <c r="D1804">
        <v>15</v>
      </c>
      <c r="E1804">
        <v>0</v>
      </c>
      <c r="F1804">
        <f t="shared" si="28"/>
        <v>90</v>
      </c>
      <c r="G1804">
        <f>YEAR(VLOOKUP(A1804,orders!A:D,4,0))</f>
        <v>2015</v>
      </c>
      <c r="H1804">
        <f>MONTH(INDEX(orders!D:D,MATCH(A1804, orders!A:A,0)))</f>
        <v>3</v>
      </c>
      <c r="I1804" t="str">
        <f>VLOOKUP(VLOOKUP(B1804,products!A:F,6,0),categories!A:B,2,0)</f>
        <v>Seafood</v>
      </c>
      <c r="J1804" t="str">
        <f>VLOOKUP(VLOOKUP(A1804,orders!A:B,2,0),customers!A:F,6,0)</f>
        <v>UK</v>
      </c>
      <c r="K1804" t="str">
        <f>VLOOKUP(VLOOKUP(A1804,orders!A:C,3,0),employees!A:B,2,0)</f>
        <v>Margaret Peacock</v>
      </c>
    </row>
    <row r="1805" spans="1:11" x14ac:dyDescent="0.25">
      <c r="A1805">
        <v>10943</v>
      </c>
      <c r="B1805">
        <v>22</v>
      </c>
      <c r="C1805">
        <v>21</v>
      </c>
      <c r="D1805">
        <v>21</v>
      </c>
      <c r="E1805">
        <v>0</v>
      </c>
      <c r="F1805">
        <f t="shared" si="28"/>
        <v>441</v>
      </c>
      <c r="G1805">
        <f>YEAR(VLOOKUP(A1805,orders!A:D,4,0))</f>
        <v>2015</v>
      </c>
      <c r="H1805">
        <f>MONTH(INDEX(orders!D:D,MATCH(A1805, orders!A:A,0)))</f>
        <v>3</v>
      </c>
      <c r="I1805" t="str">
        <f>VLOOKUP(VLOOKUP(B1805,products!A:F,6,0),categories!A:B,2,0)</f>
        <v>Grains &amp; Cereals</v>
      </c>
      <c r="J1805" t="str">
        <f>VLOOKUP(VLOOKUP(A1805,orders!A:B,2,0),customers!A:F,6,0)</f>
        <v>UK</v>
      </c>
      <c r="K1805" t="str">
        <f>VLOOKUP(VLOOKUP(A1805,orders!A:C,3,0),employees!A:B,2,0)</f>
        <v>Margaret Peacock</v>
      </c>
    </row>
    <row r="1806" spans="1:11" x14ac:dyDescent="0.25">
      <c r="A1806">
        <v>10943</v>
      </c>
      <c r="B1806">
        <v>46</v>
      </c>
      <c r="C1806">
        <v>12</v>
      </c>
      <c r="D1806">
        <v>15</v>
      </c>
      <c r="E1806">
        <v>0</v>
      </c>
      <c r="F1806">
        <f t="shared" si="28"/>
        <v>180</v>
      </c>
      <c r="G1806">
        <f>YEAR(VLOOKUP(A1806,orders!A:D,4,0))</f>
        <v>2015</v>
      </c>
      <c r="H1806">
        <f>MONTH(INDEX(orders!D:D,MATCH(A1806, orders!A:A,0)))</f>
        <v>3</v>
      </c>
      <c r="I1806" t="str">
        <f>VLOOKUP(VLOOKUP(B1806,products!A:F,6,0),categories!A:B,2,0)</f>
        <v>Seafood</v>
      </c>
      <c r="J1806" t="str">
        <f>VLOOKUP(VLOOKUP(A1806,orders!A:B,2,0),customers!A:F,6,0)</f>
        <v>UK</v>
      </c>
      <c r="K1806" t="str">
        <f>VLOOKUP(VLOOKUP(A1806,orders!A:C,3,0),employees!A:B,2,0)</f>
        <v>Margaret Peacock</v>
      </c>
    </row>
    <row r="1807" spans="1:11" x14ac:dyDescent="0.25">
      <c r="A1807">
        <v>10944</v>
      </c>
      <c r="B1807">
        <v>11</v>
      </c>
      <c r="C1807">
        <v>21</v>
      </c>
      <c r="D1807">
        <v>5</v>
      </c>
      <c r="E1807">
        <v>0.25</v>
      </c>
      <c r="F1807">
        <f t="shared" si="28"/>
        <v>78.75</v>
      </c>
      <c r="G1807">
        <f>YEAR(VLOOKUP(A1807,orders!A:D,4,0))</f>
        <v>2015</v>
      </c>
      <c r="H1807">
        <f>MONTH(INDEX(orders!D:D,MATCH(A1807, orders!A:A,0)))</f>
        <v>3</v>
      </c>
      <c r="I1807" t="str">
        <f>VLOOKUP(VLOOKUP(B1807,products!A:F,6,0),categories!A:B,2,0)</f>
        <v>Dairy Products</v>
      </c>
      <c r="J1807" t="str">
        <f>VLOOKUP(VLOOKUP(A1807,orders!A:B,2,0),customers!A:F,6,0)</f>
        <v>Canada</v>
      </c>
      <c r="K1807" t="str">
        <f>VLOOKUP(VLOOKUP(A1807,orders!A:C,3,0),employees!A:B,2,0)</f>
        <v>Michael Suyama</v>
      </c>
    </row>
    <row r="1808" spans="1:11" x14ac:dyDescent="0.25">
      <c r="A1808">
        <v>10944</v>
      </c>
      <c r="B1808">
        <v>44</v>
      </c>
      <c r="C1808">
        <v>19.45</v>
      </c>
      <c r="D1808">
        <v>18</v>
      </c>
      <c r="E1808">
        <v>0.25</v>
      </c>
      <c r="F1808">
        <f t="shared" si="28"/>
        <v>262.57499999999999</v>
      </c>
      <c r="G1808">
        <f>YEAR(VLOOKUP(A1808,orders!A:D,4,0))</f>
        <v>2015</v>
      </c>
      <c r="H1808">
        <f>MONTH(INDEX(orders!D:D,MATCH(A1808, orders!A:A,0)))</f>
        <v>3</v>
      </c>
      <c r="I1808" t="str">
        <f>VLOOKUP(VLOOKUP(B1808,products!A:F,6,0),categories!A:B,2,0)</f>
        <v>Condiments</v>
      </c>
      <c r="J1808" t="str">
        <f>VLOOKUP(VLOOKUP(A1808,orders!A:B,2,0),customers!A:F,6,0)</f>
        <v>Canada</v>
      </c>
      <c r="K1808" t="str">
        <f>VLOOKUP(VLOOKUP(A1808,orders!A:C,3,0),employees!A:B,2,0)</f>
        <v>Michael Suyama</v>
      </c>
    </row>
    <row r="1809" spans="1:11" x14ac:dyDescent="0.25">
      <c r="A1809">
        <v>10944</v>
      </c>
      <c r="B1809">
        <v>56</v>
      </c>
      <c r="C1809">
        <v>38</v>
      </c>
      <c r="D1809">
        <v>18</v>
      </c>
      <c r="E1809">
        <v>0</v>
      </c>
      <c r="F1809">
        <f t="shared" si="28"/>
        <v>684</v>
      </c>
      <c r="G1809">
        <f>YEAR(VLOOKUP(A1809,orders!A:D,4,0))</f>
        <v>2015</v>
      </c>
      <c r="H1809">
        <f>MONTH(INDEX(orders!D:D,MATCH(A1809, orders!A:A,0)))</f>
        <v>3</v>
      </c>
      <c r="I1809" t="str">
        <f>VLOOKUP(VLOOKUP(B1809,products!A:F,6,0),categories!A:B,2,0)</f>
        <v>Grains &amp; Cereals</v>
      </c>
      <c r="J1809" t="str">
        <f>VLOOKUP(VLOOKUP(A1809,orders!A:B,2,0),customers!A:F,6,0)</f>
        <v>Canada</v>
      </c>
      <c r="K1809" t="str">
        <f>VLOOKUP(VLOOKUP(A1809,orders!A:C,3,0),employees!A:B,2,0)</f>
        <v>Michael Suyama</v>
      </c>
    </row>
    <row r="1810" spans="1:11" x14ac:dyDescent="0.25">
      <c r="A1810">
        <v>10945</v>
      </c>
      <c r="B1810">
        <v>13</v>
      </c>
      <c r="C1810">
        <v>6</v>
      </c>
      <c r="D1810">
        <v>20</v>
      </c>
      <c r="E1810">
        <v>0</v>
      </c>
      <c r="F1810">
        <f t="shared" si="28"/>
        <v>120</v>
      </c>
      <c r="G1810">
        <f>YEAR(VLOOKUP(A1810,orders!A:D,4,0))</f>
        <v>2015</v>
      </c>
      <c r="H1810">
        <f>MONTH(INDEX(orders!D:D,MATCH(A1810, orders!A:A,0)))</f>
        <v>3</v>
      </c>
      <c r="I1810" t="str">
        <f>VLOOKUP(VLOOKUP(B1810,products!A:F,6,0),categories!A:B,2,0)</f>
        <v>Seafood</v>
      </c>
      <c r="J1810" t="str">
        <f>VLOOKUP(VLOOKUP(A1810,orders!A:B,2,0),customers!A:F,6,0)</f>
        <v>Germany</v>
      </c>
      <c r="K1810" t="str">
        <f>VLOOKUP(VLOOKUP(A1810,orders!A:C,3,0),employees!A:B,2,0)</f>
        <v>Margaret Peacock</v>
      </c>
    </row>
    <row r="1811" spans="1:11" x14ac:dyDescent="0.25">
      <c r="A1811">
        <v>10945</v>
      </c>
      <c r="B1811">
        <v>31</v>
      </c>
      <c r="C1811">
        <v>12.5</v>
      </c>
      <c r="D1811">
        <v>10</v>
      </c>
      <c r="E1811">
        <v>0</v>
      </c>
      <c r="F1811">
        <f t="shared" si="28"/>
        <v>125</v>
      </c>
      <c r="G1811">
        <f>YEAR(VLOOKUP(A1811,orders!A:D,4,0))</f>
        <v>2015</v>
      </c>
      <c r="H1811">
        <f>MONTH(INDEX(orders!D:D,MATCH(A1811, orders!A:A,0)))</f>
        <v>3</v>
      </c>
      <c r="I1811" t="str">
        <f>VLOOKUP(VLOOKUP(B1811,products!A:F,6,0),categories!A:B,2,0)</f>
        <v>Dairy Products</v>
      </c>
      <c r="J1811" t="str">
        <f>VLOOKUP(VLOOKUP(A1811,orders!A:B,2,0),customers!A:F,6,0)</f>
        <v>Germany</v>
      </c>
      <c r="K1811" t="str">
        <f>VLOOKUP(VLOOKUP(A1811,orders!A:C,3,0),employees!A:B,2,0)</f>
        <v>Margaret Peacock</v>
      </c>
    </row>
    <row r="1812" spans="1:11" x14ac:dyDescent="0.25">
      <c r="A1812">
        <v>10946</v>
      </c>
      <c r="B1812">
        <v>10</v>
      </c>
      <c r="C1812">
        <v>31</v>
      </c>
      <c r="D1812">
        <v>25</v>
      </c>
      <c r="E1812">
        <v>0</v>
      </c>
      <c r="F1812">
        <f t="shared" si="28"/>
        <v>775</v>
      </c>
      <c r="G1812">
        <f>YEAR(VLOOKUP(A1812,orders!A:D,4,0))</f>
        <v>2015</v>
      </c>
      <c r="H1812">
        <f>MONTH(INDEX(orders!D:D,MATCH(A1812, orders!A:A,0)))</f>
        <v>3</v>
      </c>
      <c r="I1812" t="str">
        <f>VLOOKUP(VLOOKUP(B1812,products!A:F,6,0),categories!A:B,2,0)</f>
        <v>Seafood</v>
      </c>
      <c r="J1812" t="str">
        <f>VLOOKUP(VLOOKUP(A1812,orders!A:B,2,0),customers!A:F,6,0)</f>
        <v>Denmark</v>
      </c>
      <c r="K1812" t="str">
        <f>VLOOKUP(VLOOKUP(A1812,orders!A:C,3,0),employees!A:B,2,0)</f>
        <v>Nancy Davolio</v>
      </c>
    </row>
    <row r="1813" spans="1:11" x14ac:dyDescent="0.25">
      <c r="A1813">
        <v>10946</v>
      </c>
      <c r="B1813">
        <v>24</v>
      </c>
      <c r="C1813">
        <v>4.5</v>
      </c>
      <c r="D1813">
        <v>25</v>
      </c>
      <c r="E1813">
        <v>0</v>
      </c>
      <c r="F1813">
        <f t="shared" si="28"/>
        <v>112.5</v>
      </c>
      <c r="G1813">
        <f>YEAR(VLOOKUP(A1813,orders!A:D,4,0))</f>
        <v>2015</v>
      </c>
      <c r="H1813">
        <f>MONTH(INDEX(orders!D:D,MATCH(A1813, orders!A:A,0)))</f>
        <v>3</v>
      </c>
      <c r="I1813" t="str">
        <f>VLOOKUP(VLOOKUP(B1813,products!A:F,6,0),categories!A:B,2,0)</f>
        <v>Beverages</v>
      </c>
      <c r="J1813" t="str">
        <f>VLOOKUP(VLOOKUP(A1813,orders!A:B,2,0),customers!A:F,6,0)</f>
        <v>Denmark</v>
      </c>
      <c r="K1813" t="str">
        <f>VLOOKUP(VLOOKUP(A1813,orders!A:C,3,0),employees!A:B,2,0)</f>
        <v>Nancy Davolio</v>
      </c>
    </row>
    <row r="1814" spans="1:11" x14ac:dyDescent="0.25">
      <c r="A1814">
        <v>10946</v>
      </c>
      <c r="B1814">
        <v>77</v>
      </c>
      <c r="C1814">
        <v>13</v>
      </c>
      <c r="D1814">
        <v>40</v>
      </c>
      <c r="E1814">
        <v>0</v>
      </c>
      <c r="F1814">
        <f t="shared" si="28"/>
        <v>520</v>
      </c>
      <c r="G1814">
        <f>YEAR(VLOOKUP(A1814,orders!A:D,4,0))</f>
        <v>2015</v>
      </c>
      <c r="H1814">
        <f>MONTH(INDEX(orders!D:D,MATCH(A1814, orders!A:A,0)))</f>
        <v>3</v>
      </c>
      <c r="I1814" t="str">
        <f>VLOOKUP(VLOOKUP(B1814,products!A:F,6,0),categories!A:B,2,0)</f>
        <v>Condiments</v>
      </c>
      <c r="J1814" t="str">
        <f>VLOOKUP(VLOOKUP(A1814,orders!A:B,2,0),customers!A:F,6,0)</f>
        <v>Denmark</v>
      </c>
      <c r="K1814" t="str">
        <f>VLOOKUP(VLOOKUP(A1814,orders!A:C,3,0),employees!A:B,2,0)</f>
        <v>Nancy Davolio</v>
      </c>
    </row>
    <row r="1815" spans="1:11" x14ac:dyDescent="0.25">
      <c r="A1815">
        <v>10947</v>
      </c>
      <c r="B1815">
        <v>59</v>
      </c>
      <c r="C1815">
        <v>55</v>
      </c>
      <c r="D1815">
        <v>4</v>
      </c>
      <c r="E1815">
        <v>0</v>
      </c>
      <c r="F1815">
        <f t="shared" si="28"/>
        <v>220</v>
      </c>
      <c r="G1815">
        <f>YEAR(VLOOKUP(A1815,orders!A:D,4,0))</f>
        <v>2015</v>
      </c>
      <c r="H1815">
        <f>MONTH(INDEX(orders!D:D,MATCH(A1815, orders!A:A,0)))</f>
        <v>3</v>
      </c>
      <c r="I1815" t="str">
        <f>VLOOKUP(VLOOKUP(B1815,products!A:F,6,0),categories!A:B,2,0)</f>
        <v>Dairy Products</v>
      </c>
      <c r="J1815" t="str">
        <f>VLOOKUP(VLOOKUP(A1815,orders!A:B,2,0),customers!A:F,6,0)</f>
        <v>UK</v>
      </c>
      <c r="K1815" t="str">
        <f>VLOOKUP(VLOOKUP(A1815,orders!A:C,3,0),employees!A:B,2,0)</f>
        <v>Janet Leverling</v>
      </c>
    </row>
    <row r="1816" spans="1:11" x14ac:dyDescent="0.25">
      <c r="A1816">
        <v>10948</v>
      </c>
      <c r="B1816">
        <v>50</v>
      </c>
      <c r="C1816">
        <v>16.25</v>
      </c>
      <c r="D1816">
        <v>9</v>
      </c>
      <c r="E1816">
        <v>0</v>
      </c>
      <c r="F1816">
        <f t="shared" si="28"/>
        <v>146.25</v>
      </c>
      <c r="G1816">
        <f>YEAR(VLOOKUP(A1816,orders!A:D,4,0))</f>
        <v>2015</v>
      </c>
      <c r="H1816">
        <f>MONTH(INDEX(orders!D:D,MATCH(A1816, orders!A:A,0)))</f>
        <v>3</v>
      </c>
      <c r="I1816" t="str">
        <f>VLOOKUP(VLOOKUP(B1816,products!A:F,6,0),categories!A:B,2,0)</f>
        <v>Confections</v>
      </c>
      <c r="J1816" t="str">
        <f>VLOOKUP(VLOOKUP(A1816,orders!A:B,2,0),customers!A:F,6,0)</f>
        <v>Spain</v>
      </c>
      <c r="K1816" t="str">
        <f>VLOOKUP(VLOOKUP(A1816,orders!A:C,3,0),employees!A:B,2,0)</f>
        <v>Janet Leverling</v>
      </c>
    </row>
    <row r="1817" spans="1:11" x14ac:dyDescent="0.25">
      <c r="A1817">
        <v>10948</v>
      </c>
      <c r="B1817">
        <v>51</v>
      </c>
      <c r="C1817">
        <v>53</v>
      </c>
      <c r="D1817">
        <v>40</v>
      </c>
      <c r="E1817">
        <v>0</v>
      </c>
      <c r="F1817">
        <f t="shared" si="28"/>
        <v>2120</v>
      </c>
      <c r="G1817">
        <f>YEAR(VLOOKUP(A1817,orders!A:D,4,0))</f>
        <v>2015</v>
      </c>
      <c r="H1817">
        <f>MONTH(INDEX(orders!D:D,MATCH(A1817, orders!A:A,0)))</f>
        <v>3</v>
      </c>
      <c r="I1817" t="str">
        <f>VLOOKUP(VLOOKUP(B1817,products!A:F,6,0),categories!A:B,2,0)</f>
        <v>Produce</v>
      </c>
      <c r="J1817" t="str">
        <f>VLOOKUP(VLOOKUP(A1817,orders!A:B,2,0),customers!A:F,6,0)</f>
        <v>Spain</v>
      </c>
      <c r="K1817" t="str">
        <f>VLOOKUP(VLOOKUP(A1817,orders!A:C,3,0),employees!A:B,2,0)</f>
        <v>Janet Leverling</v>
      </c>
    </row>
    <row r="1818" spans="1:11" x14ac:dyDescent="0.25">
      <c r="A1818">
        <v>10948</v>
      </c>
      <c r="B1818">
        <v>55</v>
      </c>
      <c r="C1818">
        <v>24</v>
      </c>
      <c r="D1818">
        <v>4</v>
      </c>
      <c r="E1818">
        <v>0</v>
      </c>
      <c r="F1818">
        <f t="shared" si="28"/>
        <v>96</v>
      </c>
      <c r="G1818">
        <f>YEAR(VLOOKUP(A1818,orders!A:D,4,0))</f>
        <v>2015</v>
      </c>
      <c r="H1818">
        <f>MONTH(INDEX(orders!D:D,MATCH(A1818, orders!A:A,0)))</f>
        <v>3</v>
      </c>
      <c r="I1818" t="str">
        <f>VLOOKUP(VLOOKUP(B1818,products!A:F,6,0),categories!A:B,2,0)</f>
        <v>Meat &amp; Poultry</v>
      </c>
      <c r="J1818" t="str">
        <f>VLOOKUP(VLOOKUP(A1818,orders!A:B,2,0),customers!A:F,6,0)</f>
        <v>Spain</v>
      </c>
      <c r="K1818" t="str">
        <f>VLOOKUP(VLOOKUP(A1818,orders!A:C,3,0),employees!A:B,2,0)</f>
        <v>Janet Leverling</v>
      </c>
    </row>
    <row r="1819" spans="1:11" x14ac:dyDescent="0.25">
      <c r="A1819">
        <v>10949</v>
      </c>
      <c r="B1819">
        <v>6</v>
      </c>
      <c r="C1819">
        <v>25</v>
      </c>
      <c r="D1819">
        <v>12</v>
      </c>
      <c r="E1819">
        <v>0</v>
      </c>
      <c r="F1819">
        <f t="shared" si="28"/>
        <v>300</v>
      </c>
      <c r="G1819">
        <f>YEAR(VLOOKUP(A1819,orders!A:D,4,0))</f>
        <v>2015</v>
      </c>
      <c r="H1819">
        <f>MONTH(INDEX(orders!D:D,MATCH(A1819, orders!A:A,0)))</f>
        <v>3</v>
      </c>
      <c r="I1819" t="str">
        <f>VLOOKUP(VLOOKUP(B1819,products!A:F,6,0),categories!A:B,2,0)</f>
        <v>Condiments</v>
      </c>
      <c r="J1819" t="str">
        <f>VLOOKUP(VLOOKUP(A1819,orders!A:B,2,0),customers!A:F,6,0)</f>
        <v>Canada</v>
      </c>
      <c r="K1819" t="str">
        <f>VLOOKUP(VLOOKUP(A1819,orders!A:C,3,0),employees!A:B,2,0)</f>
        <v>Andrew Fuller</v>
      </c>
    </row>
    <row r="1820" spans="1:11" x14ac:dyDescent="0.25">
      <c r="A1820">
        <v>10949</v>
      </c>
      <c r="B1820">
        <v>10</v>
      </c>
      <c r="C1820">
        <v>31</v>
      </c>
      <c r="D1820">
        <v>30</v>
      </c>
      <c r="E1820">
        <v>0</v>
      </c>
      <c r="F1820">
        <f t="shared" si="28"/>
        <v>930</v>
      </c>
      <c r="G1820">
        <f>YEAR(VLOOKUP(A1820,orders!A:D,4,0))</f>
        <v>2015</v>
      </c>
      <c r="H1820">
        <f>MONTH(INDEX(orders!D:D,MATCH(A1820, orders!A:A,0)))</f>
        <v>3</v>
      </c>
      <c r="I1820" t="str">
        <f>VLOOKUP(VLOOKUP(B1820,products!A:F,6,0),categories!A:B,2,0)</f>
        <v>Seafood</v>
      </c>
      <c r="J1820" t="str">
        <f>VLOOKUP(VLOOKUP(A1820,orders!A:B,2,0),customers!A:F,6,0)</f>
        <v>Canada</v>
      </c>
      <c r="K1820" t="str">
        <f>VLOOKUP(VLOOKUP(A1820,orders!A:C,3,0),employees!A:B,2,0)</f>
        <v>Andrew Fuller</v>
      </c>
    </row>
    <row r="1821" spans="1:11" x14ac:dyDescent="0.25">
      <c r="A1821">
        <v>10949</v>
      </c>
      <c r="B1821">
        <v>17</v>
      </c>
      <c r="C1821">
        <v>39</v>
      </c>
      <c r="D1821">
        <v>6</v>
      </c>
      <c r="E1821">
        <v>0</v>
      </c>
      <c r="F1821">
        <f t="shared" si="28"/>
        <v>234</v>
      </c>
      <c r="G1821">
        <f>YEAR(VLOOKUP(A1821,orders!A:D,4,0))</f>
        <v>2015</v>
      </c>
      <c r="H1821">
        <f>MONTH(INDEX(orders!D:D,MATCH(A1821, orders!A:A,0)))</f>
        <v>3</v>
      </c>
      <c r="I1821" t="str">
        <f>VLOOKUP(VLOOKUP(B1821,products!A:F,6,0),categories!A:B,2,0)</f>
        <v>Meat &amp; Poultry</v>
      </c>
      <c r="J1821" t="str">
        <f>VLOOKUP(VLOOKUP(A1821,orders!A:B,2,0),customers!A:F,6,0)</f>
        <v>Canada</v>
      </c>
      <c r="K1821" t="str">
        <f>VLOOKUP(VLOOKUP(A1821,orders!A:C,3,0),employees!A:B,2,0)</f>
        <v>Andrew Fuller</v>
      </c>
    </row>
    <row r="1822" spans="1:11" x14ac:dyDescent="0.25">
      <c r="A1822">
        <v>10949</v>
      </c>
      <c r="B1822">
        <v>62</v>
      </c>
      <c r="C1822">
        <v>49.3</v>
      </c>
      <c r="D1822">
        <v>60</v>
      </c>
      <c r="E1822">
        <v>0</v>
      </c>
      <c r="F1822">
        <f t="shared" si="28"/>
        <v>2958</v>
      </c>
      <c r="G1822">
        <f>YEAR(VLOOKUP(A1822,orders!A:D,4,0))</f>
        <v>2015</v>
      </c>
      <c r="H1822">
        <f>MONTH(INDEX(orders!D:D,MATCH(A1822, orders!A:A,0)))</f>
        <v>3</v>
      </c>
      <c r="I1822" t="str">
        <f>VLOOKUP(VLOOKUP(B1822,products!A:F,6,0),categories!A:B,2,0)</f>
        <v>Confections</v>
      </c>
      <c r="J1822" t="str">
        <f>VLOOKUP(VLOOKUP(A1822,orders!A:B,2,0),customers!A:F,6,0)</f>
        <v>Canada</v>
      </c>
      <c r="K1822" t="str">
        <f>VLOOKUP(VLOOKUP(A1822,orders!A:C,3,0),employees!A:B,2,0)</f>
        <v>Andrew Fuller</v>
      </c>
    </row>
    <row r="1823" spans="1:11" x14ac:dyDescent="0.25">
      <c r="A1823">
        <v>10950</v>
      </c>
      <c r="B1823">
        <v>4</v>
      </c>
      <c r="C1823">
        <v>22</v>
      </c>
      <c r="D1823">
        <v>5</v>
      </c>
      <c r="E1823">
        <v>0</v>
      </c>
      <c r="F1823">
        <f t="shared" si="28"/>
        <v>110</v>
      </c>
      <c r="G1823">
        <f>YEAR(VLOOKUP(A1823,orders!A:D,4,0))</f>
        <v>2015</v>
      </c>
      <c r="H1823">
        <f>MONTH(INDEX(orders!D:D,MATCH(A1823, orders!A:A,0)))</f>
        <v>3</v>
      </c>
      <c r="I1823" t="str">
        <f>VLOOKUP(VLOOKUP(B1823,products!A:F,6,0),categories!A:B,2,0)</f>
        <v>Condiments</v>
      </c>
      <c r="J1823" t="str">
        <f>VLOOKUP(VLOOKUP(A1823,orders!A:B,2,0),customers!A:F,6,0)</f>
        <v>Italy</v>
      </c>
      <c r="K1823" t="str">
        <f>VLOOKUP(VLOOKUP(A1823,orders!A:C,3,0),employees!A:B,2,0)</f>
        <v>Nancy Davolio</v>
      </c>
    </row>
    <row r="1824" spans="1:11" x14ac:dyDescent="0.25">
      <c r="A1824">
        <v>10951</v>
      </c>
      <c r="B1824">
        <v>33</v>
      </c>
      <c r="C1824">
        <v>2.5</v>
      </c>
      <c r="D1824">
        <v>15</v>
      </c>
      <c r="E1824">
        <v>0.05</v>
      </c>
      <c r="F1824">
        <f t="shared" si="28"/>
        <v>35.625</v>
      </c>
      <c r="G1824">
        <f>YEAR(VLOOKUP(A1824,orders!A:D,4,0))</f>
        <v>2015</v>
      </c>
      <c r="H1824">
        <f>MONTH(INDEX(orders!D:D,MATCH(A1824, orders!A:A,0)))</f>
        <v>3</v>
      </c>
      <c r="I1824" t="str">
        <f>VLOOKUP(VLOOKUP(B1824,products!A:F,6,0),categories!A:B,2,0)</f>
        <v>Dairy Products</v>
      </c>
      <c r="J1824" t="str">
        <f>VLOOKUP(VLOOKUP(A1824,orders!A:B,2,0),customers!A:F,6,0)</f>
        <v>Switzerland</v>
      </c>
      <c r="K1824" t="str">
        <f>VLOOKUP(VLOOKUP(A1824,orders!A:C,3,0),employees!A:B,2,0)</f>
        <v>Anne Dodsworth</v>
      </c>
    </row>
    <row r="1825" spans="1:11" x14ac:dyDescent="0.25">
      <c r="A1825">
        <v>10951</v>
      </c>
      <c r="B1825">
        <v>41</v>
      </c>
      <c r="C1825">
        <v>9.65</v>
      </c>
      <c r="D1825">
        <v>6</v>
      </c>
      <c r="E1825">
        <v>0.05</v>
      </c>
      <c r="F1825">
        <f t="shared" si="28"/>
        <v>55.005000000000003</v>
      </c>
      <c r="G1825">
        <f>YEAR(VLOOKUP(A1825,orders!A:D,4,0))</f>
        <v>2015</v>
      </c>
      <c r="H1825">
        <f>MONTH(INDEX(orders!D:D,MATCH(A1825, orders!A:A,0)))</f>
        <v>3</v>
      </c>
      <c r="I1825" t="str">
        <f>VLOOKUP(VLOOKUP(B1825,products!A:F,6,0),categories!A:B,2,0)</f>
        <v>Seafood</v>
      </c>
      <c r="J1825" t="str">
        <f>VLOOKUP(VLOOKUP(A1825,orders!A:B,2,0),customers!A:F,6,0)</f>
        <v>Switzerland</v>
      </c>
      <c r="K1825" t="str">
        <f>VLOOKUP(VLOOKUP(A1825,orders!A:C,3,0),employees!A:B,2,0)</f>
        <v>Anne Dodsworth</v>
      </c>
    </row>
    <row r="1826" spans="1:11" x14ac:dyDescent="0.25">
      <c r="A1826">
        <v>10951</v>
      </c>
      <c r="B1826">
        <v>75</v>
      </c>
      <c r="C1826">
        <v>7.75</v>
      </c>
      <c r="D1826">
        <v>50</v>
      </c>
      <c r="E1826">
        <v>0.05</v>
      </c>
      <c r="F1826">
        <f t="shared" si="28"/>
        <v>368.125</v>
      </c>
      <c r="G1826">
        <f>YEAR(VLOOKUP(A1826,orders!A:D,4,0))</f>
        <v>2015</v>
      </c>
      <c r="H1826">
        <f>MONTH(INDEX(orders!D:D,MATCH(A1826, orders!A:A,0)))</f>
        <v>3</v>
      </c>
      <c r="I1826" t="str">
        <f>VLOOKUP(VLOOKUP(B1826,products!A:F,6,0),categories!A:B,2,0)</f>
        <v>Beverages</v>
      </c>
      <c r="J1826" t="str">
        <f>VLOOKUP(VLOOKUP(A1826,orders!A:B,2,0),customers!A:F,6,0)</f>
        <v>Switzerland</v>
      </c>
      <c r="K1826" t="str">
        <f>VLOOKUP(VLOOKUP(A1826,orders!A:C,3,0),employees!A:B,2,0)</f>
        <v>Anne Dodsworth</v>
      </c>
    </row>
    <row r="1827" spans="1:11" x14ac:dyDescent="0.25">
      <c r="A1827">
        <v>10952</v>
      </c>
      <c r="B1827">
        <v>6</v>
      </c>
      <c r="C1827">
        <v>25</v>
      </c>
      <c r="D1827">
        <v>16</v>
      </c>
      <c r="E1827">
        <v>0.05</v>
      </c>
      <c r="F1827">
        <f t="shared" si="28"/>
        <v>380</v>
      </c>
      <c r="G1827">
        <f>YEAR(VLOOKUP(A1827,orders!A:D,4,0))</f>
        <v>2015</v>
      </c>
      <c r="H1827">
        <f>MONTH(INDEX(orders!D:D,MATCH(A1827, orders!A:A,0)))</f>
        <v>3</v>
      </c>
      <c r="I1827" t="str">
        <f>VLOOKUP(VLOOKUP(B1827,products!A:F,6,0),categories!A:B,2,0)</f>
        <v>Condiments</v>
      </c>
      <c r="J1827" t="str">
        <f>VLOOKUP(VLOOKUP(A1827,orders!A:B,2,0),customers!A:F,6,0)</f>
        <v>Germany</v>
      </c>
      <c r="K1827" t="str">
        <f>VLOOKUP(VLOOKUP(A1827,orders!A:C,3,0),employees!A:B,2,0)</f>
        <v>Nancy Davolio</v>
      </c>
    </row>
    <row r="1828" spans="1:11" x14ac:dyDescent="0.25">
      <c r="A1828">
        <v>10952</v>
      </c>
      <c r="B1828">
        <v>28</v>
      </c>
      <c r="C1828">
        <v>45.6</v>
      </c>
      <c r="D1828">
        <v>2</v>
      </c>
      <c r="E1828">
        <v>0</v>
      </c>
      <c r="F1828">
        <f t="shared" si="28"/>
        <v>91.2</v>
      </c>
      <c r="G1828">
        <f>YEAR(VLOOKUP(A1828,orders!A:D,4,0))</f>
        <v>2015</v>
      </c>
      <c r="H1828">
        <f>MONTH(INDEX(orders!D:D,MATCH(A1828, orders!A:A,0)))</f>
        <v>3</v>
      </c>
      <c r="I1828" t="str">
        <f>VLOOKUP(VLOOKUP(B1828,products!A:F,6,0),categories!A:B,2,0)</f>
        <v>Produce</v>
      </c>
      <c r="J1828" t="str">
        <f>VLOOKUP(VLOOKUP(A1828,orders!A:B,2,0),customers!A:F,6,0)</f>
        <v>Germany</v>
      </c>
      <c r="K1828" t="str">
        <f>VLOOKUP(VLOOKUP(A1828,orders!A:C,3,0),employees!A:B,2,0)</f>
        <v>Nancy Davolio</v>
      </c>
    </row>
    <row r="1829" spans="1:11" x14ac:dyDescent="0.25">
      <c r="A1829">
        <v>10953</v>
      </c>
      <c r="B1829">
        <v>20</v>
      </c>
      <c r="C1829">
        <v>81</v>
      </c>
      <c r="D1829">
        <v>50</v>
      </c>
      <c r="E1829">
        <v>0.05</v>
      </c>
      <c r="F1829">
        <f t="shared" si="28"/>
        <v>3847.5</v>
      </c>
      <c r="G1829">
        <f>YEAR(VLOOKUP(A1829,orders!A:D,4,0))</f>
        <v>2015</v>
      </c>
      <c r="H1829">
        <f>MONTH(INDEX(orders!D:D,MATCH(A1829, orders!A:A,0)))</f>
        <v>3</v>
      </c>
      <c r="I1829" t="str">
        <f>VLOOKUP(VLOOKUP(B1829,products!A:F,6,0),categories!A:B,2,0)</f>
        <v>Confections</v>
      </c>
      <c r="J1829" t="str">
        <f>VLOOKUP(VLOOKUP(A1829,orders!A:B,2,0),customers!A:F,6,0)</f>
        <v>UK</v>
      </c>
      <c r="K1829" t="str">
        <f>VLOOKUP(VLOOKUP(A1829,orders!A:C,3,0),employees!A:B,2,0)</f>
        <v>Anne Dodsworth</v>
      </c>
    </row>
    <row r="1830" spans="1:11" x14ac:dyDescent="0.25">
      <c r="A1830">
        <v>10953</v>
      </c>
      <c r="B1830">
        <v>31</v>
      </c>
      <c r="C1830">
        <v>12.5</v>
      </c>
      <c r="D1830">
        <v>50</v>
      </c>
      <c r="E1830">
        <v>0.05</v>
      </c>
      <c r="F1830">
        <f t="shared" si="28"/>
        <v>593.75</v>
      </c>
      <c r="G1830">
        <f>YEAR(VLOOKUP(A1830,orders!A:D,4,0))</f>
        <v>2015</v>
      </c>
      <c r="H1830">
        <f>MONTH(INDEX(orders!D:D,MATCH(A1830, orders!A:A,0)))</f>
        <v>3</v>
      </c>
      <c r="I1830" t="str">
        <f>VLOOKUP(VLOOKUP(B1830,products!A:F,6,0),categories!A:B,2,0)</f>
        <v>Dairy Products</v>
      </c>
      <c r="J1830" t="str">
        <f>VLOOKUP(VLOOKUP(A1830,orders!A:B,2,0),customers!A:F,6,0)</f>
        <v>UK</v>
      </c>
      <c r="K1830" t="str">
        <f>VLOOKUP(VLOOKUP(A1830,orders!A:C,3,0),employees!A:B,2,0)</f>
        <v>Anne Dodsworth</v>
      </c>
    </row>
    <row r="1831" spans="1:11" x14ac:dyDescent="0.25">
      <c r="A1831">
        <v>10954</v>
      </c>
      <c r="B1831">
        <v>16</v>
      </c>
      <c r="C1831">
        <v>17.45</v>
      </c>
      <c r="D1831">
        <v>28</v>
      </c>
      <c r="E1831">
        <v>0.15</v>
      </c>
      <c r="F1831">
        <f t="shared" si="28"/>
        <v>415.30999999999995</v>
      </c>
      <c r="G1831">
        <f>YEAR(VLOOKUP(A1831,orders!A:D,4,0))</f>
        <v>2015</v>
      </c>
      <c r="H1831">
        <f>MONTH(INDEX(orders!D:D,MATCH(A1831, orders!A:A,0)))</f>
        <v>3</v>
      </c>
      <c r="I1831" t="str">
        <f>VLOOKUP(VLOOKUP(B1831,products!A:F,6,0),categories!A:B,2,0)</f>
        <v>Confections</v>
      </c>
      <c r="J1831" t="str">
        <f>VLOOKUP(VLOOKUP(A1831,orders!A:B,2,0),customers!A:F,6,0)</f>
        <v>Venezuela</v>
      </c>
      <c r="K1831" t="str">
        <f>VLOOKUP(VLOOKUP(A1831,orders!A:C,3,0),employees!A:B,2,0)</f>
        <v>Steven Buchanan</v>
      </c>
    </row>
    <row r="1832" spans="1:11" x14ac:dyDescent="0.25">
      <c r="A1832">
        <v>10954</v>
      </c>
      <c r="B1832">
        <v>31</v>
      </c>
      <c r="C1832">
        <v>12.5</v>
      </c>
      <c r="D1832">
        <v>25</v>
      </c>
      <c r="E1832">
        <v>0.15</v>
      </c>
      <c r="F1832">
        <f t="shared" si="28"/>
        <v>265.625</v>
      </c>
      <c r="G1832">
        <f>YEAR(VLOOKUP(A1832,orders!A:D,4,0))</f>
        <v>2015</v>
      </c>
      <c r="H1832">
        <f>MONTH(INDEX(orders!D:D,MATCH(A1832, orders!A:A,0)))</f>
        <v>3</v>
      </c>
      <c r="I1832" t="str">
        <f>VLOOKUP(VLOOKUP(B1832,products!A:F,6,0),categories!A:B,2,0)</f>
        <v>Dairy Products</v>
      </c>
      <c r="J1832" t="str">
        <f>VLOOKUP(VLOOKUP(A1832,orders!A:B,2,0),customers!A:F,6,0)</f>
        <v>Venezuela</v>
      </c>
      <c r="K1832" t="str">
        <f>VLOOKUP(VLOOKUP(A1832,orders!A:C,3,0),employees!A:B,2,0)</f>
        <v>Steven Buchanan</v>
      </c>
    </row>
    <row r="1833" spans="1:11" x14ac:dyDescent="0.25">
      <c r="A1833">
        <v>10954</v>
      </c>
      <c r="B1833">
        <v>45</v>
      </c>
      <c r="C1833">
        <v>9.5</v>
      </c>
      <c r="D1833">
        <v>30</v>
      </c>
      <c r="E1833">
        <v>0</v>
      </c>
      <c r="F1833">
        <f t="shared" si="28"/>
        <v>285</v>
      </c>
      <c r="G1833">
        <f>YEAR(VLOOKUP(A1833,orders!A:D,4,0))</f>
        <v>2015</v>
      </c>
      <c r="H1833">
        <f>MONTH(INDEX(orders!D:D,MATCH(A1833, orders!A:A,0)))</f>
        <v>3</v>
      </c>
      <c r="I1833" t="str">
        <f>VLOOKUP(VLOOKUP(B1833,products!A:F,6,0),categories!A:B,2,0)</f>
        <v>Seafood</v>
      </c>
      <c r="J1833" t="str">
        <f>VLOOKUP(VLOOKUP(A1833,orders!A:B,2,0),customers!A:F,6,0)</f>
        <v>Venezuela</v>
      </c>
      <c r="K1833" t="str">
        <f>VLOOKUP(VLOOKUP(A1833,orders!A:C,3,0),employees!A:B,2,0)</f>
        <v>Steven Buchanan</v>
      </c>
    </row>
    <row r="1834" spans="1:11" x14ac:dyDescent="0.25">
      <c r="A1834">
        <v>10954</v>
      </c>
      <c r="B1834">
        <v>60</v>
      </c>
      <c r="C1834">
        <v>34</v>
      </c>
      <c r="D1834">
        <v>24</v>
      </c>
      <c r="E1834">
        <v>0.15</v>
      </c>
      <c r="F1834">
        <f t="shared" si="28"/>
        <v>693.6</v>
      </c>
      <c r="G1834">
        <f>YEAR(VLOOKUP(A1834,orders!A:D,4,0))</f>
        <v>2015</v>
      </c>
      <c r="H1834">
        <f>MONTH(INDEX(orders!D:D,MATCH(A1834, orders!A:A,0)))</f>
        <v>3</v>
      </c>
      <c r="I1834" t="str">
        <f>VLOOKUP(VLOOKUP(B1834,products!A:F,6,0),categories!A:B,2,0)</f>
        <v>Dairy Products</v>
      </c>
      <c r="J1834" t="str">
        <f>VLOOKUP(VLOOKUP(A1834,orders!A:B,2,0),customers!A:F,6,0)</f>
        <v>Venezuela</v>
      </c>
      <c r="K1834" t="str">
        <f>VLOOKUP(VLOOKUP(A1834,orders!A:C,3,0),employees!A:B,2,0)</f>
        <v>Steven Buchanan</v>
      </c>
    </row>
    <row r="1835" spans="1:11" x14ac:dyDescent="0.25">
      <c r="A1835">
        <v>10955</v>
      </c>
      <c r="B1835">
        <v>75</v>
      </c>
      <c r="C1835">
        <v>7.75</v>
      </c>
      <c r="D1835">
        <v>12</v>
      </c>
      <c r="E1835">
        <v>0.2</v>
      </c>
      <c r="F1835">
        <f t="shared" si="28"/>
        <v>74.400000000000006</v>
      </c>
      <c r="G1835">
        <f>YEAR(VLOOKUP(A1835,orders!A:D,4,0))</f>
        <v>2015</v>
      </c>
      <c r="H1835">
        <f>MONTH(INDEX(orders!D:D,MATCH(A1835, orders!A:A,0)))</f>
        <v>3</v>
      </c>
      <c r="I1835" t="str">
        <f>VLOOKUP(VLOOKUP(B1835,products!A:F,6,0),categories!A:B,2,0)</f>
        <v>Beverages</v>
      </c>
      <c r="J1835" t="str">
        <f>VLOOKUP(VLOOKUP(A1835,orders!A:B,2,0),customers!A:F,6,0)</f>
        <v>Sweden</v>
      </c>
      <c r="K1835" t="str">
        <f>VLOOKUP(VLOOKUP(A1835,orders!A:C,3,0),employees!A:B,2,0)</f>
        <v>Laura Callahan</v>
      </c>
    </row>
    <row r="1836" spans="1:11" x14ac:dyDescent="0.25">
      <c r="A1836">
        <v>10956</v>
      </c>
      <c r="B1836">
        <v>21</v>
      </c>
      <c r="C1836">
        <v>10</v>
      </c>
      <c r="D1836">
        <v>12</v>
      </c>
      <c r="E1836">
        <v>0</v>
      </c>
      <c r="F1836">
        <f t="shared" si="28"/>
        <v>120</v>
      </c>
      <c r="G1836">
        <f>YEAR(VLOOKUP(A1836,orders!A:D,4,0))</f>
        <v>2015</v>
      </c>
      <c r="H1836">
        <f>MONTH(INDEX(orders!D:D,MATCH(A1836, orders!A:A,0)))</f>
        <v>3</v>
      </c>
      <c r="I1836" t="str">
        <f>VLOOKUP(VLOOKUP(B1836,products!A:F,6,0),categories!A:B,2,0)</f>
        <v>Confections</v>
      </c>
      <c r="J1836" t="str">
        <f>VLOOKUP(VLOOKUP(A1836,orders!A:B,2,0),customers!A:F,6,0)</f>
        <v>Germany</v>
      </c>
      <c r="K1836" t="str">
        <f>VLOOKUP(VLOOKUP(A1836,orders!A:C,3,0),employees!A:B,2,0)</f>
        <v>Michael Suyama</v>
      </c>
    </row>
    <row r="1837" spans="1:11" x14ac:dyDescent="0.25">
      <c r="A1837">
        <v>10956</v>
      </c>
      <c r="B1837">
        <v>47</v>
      </c>
      <c r="C1837">
        <v>9.5</v>
      </c>
      <c r="D1837">
        <v>14</v>
      </c>
      <c r="E1837">
        <v>0</v>
      </c>
      <c r="F1837">
        <f t="shared" si="28"/>
        <v>133</v>
      </c>
      <c r="G1837">
        <f>YEAR(VLOOKUP(A1837,orders!A:D,4,0))</f>
        <v>2015</v>
      </c>
      <c r="H1837">
        <f>MONTH(INDEX(orders!D:D,MATCH(A1837, orders!A:A,0)))</f>
        <v>3</v>
      </c>
      <c r="I1837" t="str">
        <f>VLOOKUP(VLOOKUP(B1837,products!A:F,6,0),categories!A:B,2,0)</f>
        <v>Confections</v>
      </c>
      <c r="J1837" t="str">
        <f>VLOOKUP(VLOOKUP(A1837,orders!A:B,2,0),customers!A:F,6,0)</f>
        <v>Germany</v>
      </c>
      <c r="K1837" t="str">
        <f>VLOOKUP(VLOOKUP(A1837,orders!A:C,3,0),employees!A:B,2,0)</f>
        <v>Michael Suyama</v>
      </c>
    </row>
    <row r="1838" spans="1:11" x14ac:dyDescent="0.25">
      <c r="A1838">
        <v>10956</v>
      </c>
      <c r="B1838">
        <v>51</v>
      </c>
      <c r="C1838">
        <v>53</v>
      </c>
      <c r="D1838">
        <v>8</v>
      </c>
      <c r="E1838">
        <v>0</v>
      </c>
      <c r="F1838">
        <f t="shared" si="28"/>
        <v>424</v>
      </c>
      <c r="G1838">
        <f>YEAR(VLOOKUP(A1838,orders!A:D,4,0))</f>
        <v>2015</v>
      </c>
      <c r="H1838">
        <f>MONTH(INDEX(orders!D:D,MATCH(A1838, orders!A:A,0)))</f>
        <v>3</v>
      </c>
      <c r="I1838" t="str">
        <f>VLOOKUP(VLOOKUP(B1838,products!A:F,6,0),categories!A:B,2,0)</f>
        <v>Produce</v>
      </c>
      <c r="J1838" t="str">
        <f>VLOOKUP(VLOOKUP(A1838,orders!A:B,2,0),customers!A:F,6,0)</f>
        <v>Germany</v>
      </c>
      <c r="K1838" t="str">
        <f>VLOOKUP(VLOOKUP(A1838,orders!A:C,3,0),employees!A:B,2,0)</f>
        <v>Michael Suyama</v>
      </c>
    </row>
    <row r="1839" spans="1:11" x14ac:dyDescent="0.25">
      <c r="A1839">
        <v>10957</v>
      </c>
      <c r="B1839">
        <v>30</v>
      </c>
      <c r="C1839">
        <v>25.89</v>
      </c>
      <c r="D1839">
        <v>30</v>
      </c>
      <c r="E1839">
        <v>0</v>
      </c>
      <c r="F1839">
        <f t="shared" si="28"/>
        <v>776.7</v>
      </c>
      <c r="G1839">
        <f>YEAR(VLOOKUP(A1839,orders!A:D,4,0))</f>
        <v>2015</v>
      </c>
      <c r="H1839">
        <f>MONTH(INDEX(orders!D:D,MATCH(A1839, orders!A:A,0)))</f>
        <v>3</v>
      </c>
      <c r="I1839" t="str">
        <f>VLOOKUP(VLOOKUP(B1839,products!A:F,6,0),categories!A:B,2,0)</f>
        <v>Seafood</v>
      </c>
      <c r="J1839" t="str">
        <f>VLOOKUP(VLOOKUP(A1839,orders!A:B,2,0),customers!A:F,6,0)</f>
        <v>Venezuela</v>
      </c>
      <c r="K1839" t="str">
        <f>VLOOKUP(VLOOKUP(A1839,orders!A:C,3,0),employees!A:B,2,0)</f>
        <v>Laura Callahan</v>
      </c>
    </row>
    <row r="1840" spans="1:11" x14ac:dyDescent="0.25">
      <c r="A1840">
        <v>10957</v>
      </c>
      <c r="B1840">
        <v>35</v>
      </c>
      <c r="C1840">
        <v>18</v>
      </c>
      <c r="D1840">
        <v>40</v>
      </c>
      <c r="E1840">
        <v>0</v>
      </c>
      <c r="F1840">
        <f t="shared" si="28"/>
        <v>720</v>
      </c>
      <c r="G1840">
        <f>YEAR(VLOOKUP(A1840,orders!A:D,4,0))</f>
        <v>2015</v>
      </c>
      <c r="H1840">
        <f>MONTH(INDEX(orders!D:D,MATCH(A1840, orders!A:A,0)))</f>
        <v>3</v>
      </c>
      <c r="I1840" t="str">
        <f>VLOOKUP(VLOOKUP(B1840,products!A:F,6,0),categories!A:B,2,0)</f>
        <v>Beverages</v>
      </c>
      <c r="J1840" t="str">
        <f>VLOOKUP(VLOOKUP(A1840,orders!A:B,2,0),customers!A:F,6,0)</f>
        <v>Venezuela</v>
      </c>
      <c r="K1840" t="str">
        <f>VLOOKUP(VLOOKUP(A1840,orders!A:C,3,0),employees!A:B,2,0)</f>
        <v>Laura Callahan</v>
      </c>
    </row>
    <row r="1841" spans="1:11" x14ac:dyDescent="0.25">
      <c r="A1841">
        <v>10957</v>
      </c>
      <c r="B1841">
        <v>64</v>
      </c>
      <c r="C1841">
        <v>33.25</v>
      </c>
      <c r="D1841">
        <v>8</v>
      </c>
      <c r="E1841">
        <v>0</v>
      </c>
      <c r="F1841">
        <f t="shared" si="28"/>
        <v>266</v>
      </c>
      <c r="G1841">
        <f>YEAR(VLOOKUP(A1841,orders!A:D,4,0))</f>
        <v>2015</v>
      </c>
      <c r="H1841">
        <f>MONTH(INDEX(orders!D:D,MATCH(A1841, orders!A:A,0)))</f>
        <v>3</v>
      </c>
      <c r="I1841" t="str">
        <f>VLOOKUP(VLOOKUP(B1841,products!A:F,6,0),categories!A:B,2,0)</f>
        <v>Grains &amp; Cereals</v>
      </c>
      <c r="J1841" t="str">
        <f>VLOOKUP(VLOOKUP(A1841,orders!A:B,2,0),customers!A:F,6,0)</f>
        <v>Venezuela</v>
      </c>
      <c r="K1841" t="str">
        <f>VLOOKUP(VLOOKUP(A1841,orders!A:C,3,0),employees!A:B,2,0)</f>
        <v>Laura Callahan</v>
      </c>
    </row>
    <row r="1842" spans="1:11" x14ac:dyDescent="0.25">
      <c r="A1842">
        <v>10958</v>
      </c>
      <c r="B1842">
        <v>5</v>
      </c>
      <c r="C1842">
        <v>21.35</v>
      </c>
      <c r="D1842">
        <v>20</v>
      </c>
      <c r="E1842">
        <v>0</v>
      </c>
      <c r="F1842">
        <f t="shared" si="28"/>
        <v>427</v>
      </c>
      <c r="G1842">
        <f>YEAR(VLOOKUP(A1842,orders!A:D,4,0))</f>
        <v>2015</v>
      </c>
      <c r="H1842">
        <f>MONTH(INDEX(orders!D:D,MATCH(A1842, orders!A:A,0)))</f>
        <v>3</v>
      </c>
      <c r="I1842" t="str">
        <f>VLOOKUP(VLOOKUP(B1842,products!A:F,6,0),categories!A:B,2,0)</f>
        <v>Condiments</v>
      </c>
      <c r="J1842" t="str">
        <f>VLOOKUP(VLOOKUP(A1842,orders!A:B,2,0),customers!A:F,6,0)</f>
        <v>Argentina</v>
      </c>
      <c r="K1842" t="str">
        <f>VLOOKUP(VLOOKUP(A1842,orders!A:C,3,0),employees!A:B,2,0)</f>
        <v>Robert King</v>
      </c>
    </row>
    <row r="1843" spans="1:11" x14ac:dyDescent="0.25">
      <c r="A1843">
        <v>10958</v>
      </c>
      <c r="B1843">
        <v>7</v>
      </c>
      <c r="C1843">
        <v>30</v>
      </c>
      <c r="D1843">
        <v>6</v>
      </c>
      <c r="E1843">
        <v>0</v>
      </c>
      <c r="F1843">
        <f t="shared" si="28"/>
        <v>180</v>
      </c>
      <c r="G1843">
        <f>YEAR(VLOOKUP(A1843,orders!A:D,4,0))</f>
        <v>2015</v>
      </c>
      <c r="H1843">
        <f>MONTH(INDEX(orders!D:D,MATCH(A1843, orders!A:A,0)))</f>
        <v>3</v>
      </c>
      <c r="I1843" t="str">
        <f>VLOOKUP(VLOOKUP(B1843,products!A:F,6,0),categories!A:B,2,0)</f>
        <v>Produce</v>
      </c>
      <c r="J1843" t="str">
        <f>VLOOKUP(VLOOKUP(A1843,orders!A:B,2,0),customers!A:F,6,0)</f>
        <v>Argentina</v>
      </c>
      <c r="K1843" t="str">
        <f>VLOOKUP(VLOOKUP(A1843,orders!A:C,3,0),employees!A:B,2,0)</f>
        <v>Robert King</v>
      </c>
    </row>
    <row r="1844" spans="1:11" x14ac:dyDescent="0.25">
      <c r="A1844">
        <v>10958</v>
      </c>
      <c r="B1844">
        <v>72</v>
      </c>
      <c r="C1844">
        <v>34.799999999999997</v>
      </c>
      <c r="D1844">
        <v>5</v>
      </c>
      <c r="E1844">
        <v>0</v>
      </c>
      <c r="F1844">
        <f t="shared" si="28"/>
        <v>174</v>
      </c>
      <c r="G1844">
        <f>YEAR(VLOOKUP(A1844,orders!A:D,4,0))</f>
        <v>2015</v>
      </c>
      <c r="H1844">
        <f>MONTH(INDEX(orders!D:D,MATCH(A1844, orders!A:A,0)))</f>
        <v>3</v>
      </c>
      <c r="I1844" t="str">
        <f>VLOOKUP(VLOOKUP(B1844,products!A:F,6,0),categories!A:B,2,0)</f>
        <v>Dairy Products</v>
      </c>
      <c r="J1844" t="str">
        <f>VLOOKUP(VLOOKUP(A1844,orders!A:B,2,0),customers!A:F,6,0)</f>
        <v>Argentina</v>
      </c>
      <c r="K1844" t="str">
        <f>VLOOKUP(VLOOKUP(A1844,orders!A:C,3,0),employees!A:B,2,0)</f>
        <v>Robert King</v>
      </c>
    </row>
    <row r="1845" spans="1:11" x14ac:dyDescent="0.25">
      <c r="A1845">
        <v>10959</v>
      </c>
      <c r="B1845">
        <v>75</v>
      </c>
      <c r="C1845">
        <v>7.75</v>
      </c>
      <c r="D1845">
        <v>20</v>
      </c>
      <c r="E1845">
        <v>0.15</v>
      </c>
      <c r="F1845">
        <f t="shared" si="28"/>
        <v>131.75</v>
      </c>
      <c r="G1845">
        <f>YEAR(VLOOKUP(A1845,orders!A:D,4,0))</f>
        <v>2015</v>
      </c>
      <c r="H1845">
        <f>MONTH(INDEX(orders!D:D,MATCH(A1845, orders!A:A,0)))</f>
        <v>3</v>
      </c>
      <c r="I1845" t="str">
        <f>VLOOKUP(VLOOKUP(B1845,products!A:F,6,0),categories!A:B,2,0)</f>
        <v>Beverages</v>
      </c>
      <c r="J1845" t="str">
        <f>VLOOKUP(VLOOKUP(A1845,orders!A:B,2,0),customers!A:F,6,0)</f>
        <v>Brazil</v>
      </c>
      <c r="K1845" t="str">
        <f>VLOOKUP(VLOOKUP(A1845,orders!A:C,3,0),employees!A:B,2,0)</f>
        <v>Michael Suyama</v>
      </c>
    </row>
    <row r="1846" spans="1:11" x14ac:dyDescent="0.25">
      <c r="A1846">
        <v>10960</v>
      </c>
      <c r="B1846">
        <v>24</v>
      </c>
      <c r="C1846">
        <v>4.5</v>
      </c>
      <c r="D1846">
        <v>10</v>
      </c>
      <c r="E1846">
        <v>0.25</v>
      </c>
      <c r="F1846">
        <f t="shared" si="28"/>
        <v>33.75</v>
      </c>
      <c r="G1846">
        <f>YEAR(VLOOKUP(A1846,orders!A:D,4,0))</f>
        <v>2015</v>
      </c>
      <c r="H1846">
        <f>MONTH(INDEX(orders!D:D,MATCH(A1846, orders!A:A,0)))</f>
        <v>3</v>
      </c>
      <c r="I1846" t="str">
        <f>VLOOKUP(VLOOKUP(B1846,products!A:F,6,0),categories!A:B,2,0)</f>
        <v>Beverages</v>
      </c>
      <c r="J1846" t="str">
        <f>VLOOKUP(VLOOKUP(A1846,orders!A:B,2,0),customers!A:F,6,0)</f>
        <v>Venezuela</v>
      </c>
      <c r="K1846" t="str">
        <f>VLOOKUP(VLOOKUP(A1846,orders!A:C,3,0),employees!A:B,2,0)</f>
        <v>Janet Leverling</v>
      </c>
    </row>
    <row r="1847" spans="1:11" x14ac:dyDescent="0.25">
      <c r="A1847">
        <v>10960</v>
      </c>
      <c r="B1847">
        <v>41</v>
      </c>
      <c r="C1847">
        <v>9.65</v>
      </c>
      <c r="D1847">
        <v>24</v>
      </c>
      <c r="E1847">
        <v>0</v>
      </c>
      <c r="F1847">
        <f t="shared" si="28"/>
        <v>231.60000000000002</v>
      </c>
      <c r="G1847">
        <f>YEAR(VLOOKUP(A1847,orders!A:D,4,0))</f>
        <v>2015</v>
      </c>
      <c r="H1847">
        <f>MONTH(INDEX(orders!D:D,MATCH(A1847, orders!A:A,0)))</f>
        <v>3</v>
      </c>
      <c r="I1847" t="str">
        <f>VLOOKUP(VLOOKUP(B1847,products!A:F,6,0),categories!A:B,2,0)</f>
        <v>Seafood</v>
      </c>
      <c r="J1847" t="str">
        <f>VLOOKUP(VLOOKUP(A1847,orders!A:B,2,0),customers!A:F,6,0)</f>
        <v>Venezuela</v>
      </c>
      <c r="K1847" t="str">
        <f>VLOOKUP(VLOOKUP(A1847,orders!A:C,3,0),employees!A:B,2,0)</f>
        <v>Janet Leverling</v>
      </c>
    </row>
    <row r="1848" spans="1:11" x14ac:dyDescent="0.25">
      <c r="A1848">
        <v>10961</v>
      </c>
      <c r="B1848">
        <v>52</v>
      </c>
      <c r="C1848">
        <v>7</v>
      </c>
      <c r="D1848">
        <v>6</v>
      </c>
      <c r="E1848">
        <v>0.05</v>
      </c>
      <c r="F1848">
        <f t="shared" si="28"/>
        <v>39.9</v>
      </c>
      <c r="G1848">
        <f>YEAR(VLOOKUP(A1848,orders!A:D,4,0))</f>
        <v>2015</v>
      </c>
      <c r="H1848">
        <f>MONTH(INDEX(orders!D:D,MATCH(A1848, orders!A:A,0)))</f>
        <v>3</v>
      </c>
      <c r="I1848" t="str">
        <f>VLOOKUP(VLOOKUP(B1848,products!A:F,6,0),categories!A:B,2,0)</f>
        <v>Grains &amp; Cereals</v>
      </c>
      <c r="J1848" t="str">
        <f>VLOOKUP(VLOOKUP(A1848,orders!A:B,2,0),customers!A:F,6,0)</f>
        <v>Brazil</v>
      </c>
      <c r="K1848" t="str">
        <f>VLOOKUP(VLOOKUP(A1848,orders!A:C,3,0),employees!A:B,2,0)</f>
        <v>Laura Callahan</v>
      </c>
    </row>
    <row r="1849" spans="1:11" x14ac:dyDescent="0.25">
      <c r="A1849">
        <v>10961</v>
      </c>
      <c r="B1849">
        <v>76</v>
      </c>
      <c r="C1849">
        <v>18</v>
      </c>
      <c r="D1849">
        <v>60</v>
      </c>
      <c r="E1849">
        <v>0</v>
      </c>
      <c r="F1849">
        <f t="shared" si="28"/>
        <v>1080</v>
      </c>
      <c r="G1849">
        <f>YEAR(VLOOKUP(A1849,orders!A:D,4,0))</f>
        <v>2015</v>
      </c>
      <c r="H1849">
        <f>MONTH(INDEX(orders!D:D,MATCH(A1849, orders!A:A,0)))</f>
        <v>3</v>
      </c>
      <c r="I1849" t="str">
        <f>VLOOKUP(VLOOKUP(B1849,products!A:F,6,0),categories!A:B,2,0)</f>
        <v>Beverages</v>
      </c>
      <c r="J1849" t="str">
        <f>VLOOKUP(VLOOKUP(A1849,orders!A:B,2,0),customers!A:F,6,0)</f>
        <v>Brazil</v>
      </c>
      <c r="K1849" t="str">
        <f>VLOOKUP(VLOOKUP(A1849,orders!A:C,3,0),employees!A:B,2,0)</f>
        <v>Laura Callahan</v>
      </c>
    </row>
    <row r="1850" spans="1:11" x14ac:dyDescent="0.25">
      <c r="A1850">
        <v>10962</v>
      </c>
      <c r="B1850">
        <v>7</v>
      </c>
      <c r="C1850">
        <v>30</v>
      </c>
      <c r="D1850">
        <v>45</v>
      </c>
      <c r="E1850">
        <v>0</v>
      </c>
      <c r="F1850">
        <f t="shared" si="28"/>
        <v>1350</v>
      </c>
      <c r="G1850">
        <f>YEAR(VLOOKUP(A1850,orders!A:D,4,0))</f>
        <v>2015</v>
      </c>
      <c r="H1850">
        <f>MONTH(INDEX(orders!D:D,MATCH(A1850, orders!A:A,0)))</f>
        <v>3</v>
      </c>
      <c r="I1850" t="str">
        <f>VLOOKUP(VLOOKUP(B1850,products!A:F,6,0),categories!A:B,2,0)</f>
        <v>Produce</v>
      </c>
      <c r="J1850" t="str">
        <f>VLOOKUP(VLOOKUP(A1850,orders!A:B,2,0),customers!A:F,6,0)</f>
        <v>Germany</v>
      </c>
      <c r="K1850" t="str">
        <f>VLOOKUP(VLOOKUP(A1850,orders!A:C,3,0),employees!A:B,2,0)</f>
        <v>Laura Callahan</v>
      </c>
    </row>
    <row r="1851" spans="1:11" x14ac:dyDescent="0.25">
      <c r="A1851">
        <v>10962</v>
      </c>
      <c r="B1851">
        <v>13</v>
      </c>
      <c r="C1851">
        <v>6</v>
      </c>
      <c r="D1851">
        <v>77</v>
      </c>
      <c r="E1851">
        <v>0</v>
      </c>
      <c r="F1851">
        <f t="shared" si="28"/>
        <v>462</v>
      </c>
      <c r="G1851">
        <f>YEAR(VLOOKUP(A1851,orders!A:D,4,0))</f>
        <v>2015</v>
      </c>
      <c r="H1851">
        <f>MONTH(INDEX(orders!D:D,MATCH(A1851, orders!A:A,0)))</f>
        <v>3</v>
      </c>
      <c r="I1851" t="str">
        <f>VLOOKUP(VLOOKUP(B1851,products!A:F,6,0),categories!A:B,2,0)</f>
        <v>Seafood</v>
      </c>
      <c r="J1851" t="str">
        <f>VLOOKUP(VLOOKUP(A1851,orders!A:B,2,0),customers!A:F,6,0)</f>
        <v>Germany</v>
      </c>
      <c r="K1851" t="str">
        <f>VLOOKUP(VLOOKUP(A1851,orders!A:C,3,0),employees!A:B,2,0)</f>
        <v>Laura Callahan</v>
      </c>
    </row>
    <row r="1852" spans="1:11" x14ac:dyDescent="0.25">
      <c r="A1852">
        <v>10962</v>
      </c>
      <c r="B1852">
        <v>53</v>
      </c>
      <c r="C1852">
        <v>32.799999999999997</v>
      </c>
      <c r="D1852">
        <v>20</v>
      </c>
      <c r="E1852">
        <v>0</v>
      </c>
      <c r="F1852">
        <f t="shared" si="28"/>
        <v>656</v>
      </c>
      <c r="G1852">
        <f>YEAR(VLOOKUP(A1852,orders!A:D,4,0))</f>
        <v>2015</v>
      </c>
      <c r="H1852">
        <f>MONTH(INDEX(orders!D:D,MATCH(A1852, orders!A:A,0)))</f>
        <v>3</v>
      </c>
      <c r="I1852" t="str">
        <f>VLOOKUP(VLOOKUP(B1852,products!A:F,6,0),categories!A:B,2,0)</f>
        <v>Meat &amp; Poultry</v>
      </c>
      <c r="J1852" t="str">
        <f>VLOOKUP(VLOOKUP(A1852,orders!A:B,2,0),customers!A:F,6,0)</f>
        <v>Germany</v>
      </c>
      <c r="K1852" t="str">
        <f>VLOOKUP(VLOOKUP(A1852,orders!A:C,3,0),employees!A:B,2,0)</f>
        <v>Laura Callahan</v>
      </c>
    </row>
    <row r="1853" spans="1:11" x14ac:dyDescent="0.25">
      <c r="A1853">
        <v>10962</v>
      </c>
      <c r="B1853">
        <v>69</v>
      </c>
      <c r="C1853">
        <v>36</v>
      </c>
      <c r="D1853">
        <v>9</v>
      </c>
      <c r="E1853">
        <v>0</v>
      </c>
      <c r="F1853">
        <f t="shared" si="28"/>
        <v>324</v>
      </c>
      <c r="G1853">
        <f>YEAR(VLOOKUP(A1853,orders!A:D,4,0))</f>
        <v>2015</v>
      </c>
      <c r="H1853">
        <f>MONTH(INDEX(orders!D:D,MATCH(A1853, orders!A:A,0)))</f>
        <v>3</v>
      </c>
      <c r="I1853" t="str">
        <f>VLOOKUP(VLOOKUP(B1853,products!A:F,6,0),categories!A:B,2,0)</f>
        <v>Dairy Products</v>
      </c>
      <c r="J1853" t="str">
        <f>VLOOKUP(VLOOKUP(A1853,orders!A:B,2,0),customers!A:F,6,0)</f>
        <v>Germany</v>
      </c>
      <c r="K1853" t="str">
        <f>VLOOKUP(VLOOKUP(A1853,orders!A:C,3,0),employees!A:B,2,0)</f>
        <v>Laura Callahan</v>
      </c>
    </row>
    <row r="1854" spans="1:11" x14ac:dyDescent="0.25">
      <c r="A1854">
        <v>10962</v>
      </c>
      <c r="B1854">
        <v>76</v>
      </c>
      <c r="C1854">
        <v>18</v>
      </c>
      <c r="D1854">
        <v>44</v>
      </c>
      <c r="E1854">
        <v>0</v>
      </c>
      <c r="F1854">
        <f t="shared" si="28"/>
        <v>792</v>
      </c>
      <c r="G1854">
        <f>YEAR(VLOOKUP(A1854,orders!A:D,4,0))</f>
        <v>2015</v>
      </c>
      <c r="H1854">
        <f>MONTH(INDEX(orders!D:D,MATCH(A1854, orders!A:A,0)))</f>
        <v>3</v>
      </c>
      <c r="I1854" t="str">
        <f>VLOOKUP(VLOOKUP(B1854,products!A:F,6,0),categories!A:B,2,0)</f>
        <v>Beverages</v>
      </c>
      <c r="J1854" t="str">
        <f>VLOOKUP(VLOOKUP(A1854,orders!A:B,2,0),customers!A:F,6,0)</f>
        <v>Germany</v>
      </c>
      <c r="K1854" t="str">
        <f>VLOOKUP(VLOOKUP(A1854,orders!A:C,3,0),employees!A:B,2,0)</f>
        <v>Laura Callahan</v>
      </c>
    </row>
    <row r="1855" spans="1:11" x14ac:dyDescent="0.25">
      <c r="A1855">
        <v>10963</v>
      </c>
      <c r="B1855">
        <v>60</v>
      </c>
      <c r="C1855">
        <v>34</v>
      </c>
      <c r="D1855">
        <v>2</v>
      </c>
      <c r="E1855">
        <v>0.15</v>
      </c>
      <c r="F1855">
        <f t="shared" si="28"/>
        <v>57.8</v>
      </c>
      <c r="G1855">
        <f>YEAR(VLOOKUP(A1855,orders!A:D,4,0))</f>
        <v>2015</v>
      </c>
      <c r="H1855">
        <f>MONTH(INDEX(orders!D:D,MATCH(A1855, orders!A:A,0)))</f>
        <v>3</v>
      </c>
      <c r="I1855" t="str">
        <f>VLOOKUP(VLOOKUP(B1855,products!A:F,6,0),categories!A:B,2,0)</f>
        <v>Dairy Products</v>
      </c>
      <c r="J1855" t="str">
        <f>VLOOKUP(VLOOKUP(A1855,orders!A:B,2,0),customers!A:F,6,0)</f>
        <v>Portugal</v>
      </c>
      <c r="K1855" t="str">
        <f>VLOOKUP(VLOOKUP(A1855,orders!A:C,3,0),employees!A:B,2,0)</f>
        <v>Anne Dodsworth</v>
      </c>
    </row>
    <row r="1856" spans="1:11" x14ac:dyDescent="0.25">
      <c r="A1856">
        <v>10964</v>
      </c>
      <c r="B1856">
        <v>18</v>
      </c>
      <c r="C1856">
        <v>62.5</v>
      </c>
      <c r="D1856">
        <v>6</v>
      </c>
      <c r="E1856">
        <v>0</v>
      </c>
      <c r="F1856">
        <f t="shared" si="28"/>
        <v>375</v>
      </c>
      <c r="G1856">
        <f>YEAR(VLOOKUP(A1856,orders!A:D,4,0))</f>
        <v>2015</v>
      </c>
      <c r="H1856">
        <f>MONTH(INDEX(orders!D:D,MATCH(A1856, orders!A:A,0)))</f>
        <v>3</v>
      </c>
      <c r="I1856" t="str">
        <f>VLOOKUP(VLOOKUP(B1856,products!A:F,6,0),categories!A:B,2,0)</f>
        <v>Seafood</v>
      </c>
      <c r="J1856" t="str">
        <f>VLOOKUP(VLOOKUP(A1856,orders!A:B,2,0),customers!A:F,6,0)</f>
        <v>France</v>
      </c>
      <c r="K1856" t="str">
        <f>VLOOKUP(VLOOKUP(A1856,orders!A:C,3,0),employees!A:B,2,0)</f>
        <v>Janet Leverling</v>
      </c>
    </row>
    <row r="1857" spans="1:11" x14ac:dyDescent="0.25">
      <c r="A1857">
        <v>10964</v>
      </c>
      <c r="B1857">
        <v>38</v>
      </c>
      <c r="C1857">
        <v>263.5</v>
      </c>
      <c r="D1857">
        <v>5</v>
      </c>
      <c r="E1857">
        <v>0</v>
      </c>
      <c r="F1857">
        <f t="shared" si="28"/>
        <v>1317.5</v>
      </c>
      <c r="G1857">
        <f>YEAR(VLOOKUP(A1857,orders!A:D,4,0))</f>
        <v>2015</v>
      </c>
      <c r="H1857">
        <f>MONTH(INDEX(orders!D:D,MATCH(A1857, orders!A:A,0)))</f>
        <v>3</v>
      </c>
      <c r="I1857" t="str">
        <f>VLOOKUP(VLOOKUP(B1857,products!A:F,6,0),categories!A:B,2,0)</f>
        <v>Beverages</v>
      </c>
      <c r="J1857" t="str">
        <f>VLOOKUP(VLOOKUP(A1857,orders!A:B,2,0),customers!A:F,6,0)</f>
        <v>France</v>
      </c>
      <c r="K1857" t="str">
        <f>VLOOKUP(VLOOKUP(A1857,orders!A:C,3,0),employees!A:B,2,0)</f>
        <v>Janet Leverling</v>
      </c>
    </row>
    <row r="1858" spans="1:11" x14ac:dyDescent="0.25">
      <c r="A1858">
        <v>10964</v>
      </c>
      <c r="B1858">
        <v>69</v>
      </c>
      <c r="C1858">
        <v>36</v>
      </c>
      <c r="D1858">
        <v>10</v>
      </c>
      <c r="E1858">
        <v>0</v>
      </c>
      <c r="F1858">
        <f t="shared" si="28"/>
        <v>360</v>
      </c>
      <c r="G1858">
        <f>YEAR(VLOOKUP(A1858,orders!A:D,4,0))</f>
        <v>2015</v>
      </c>
      <c r="H1858">
        <f>MONTH(INDEX(orders!D:D,MATCH(A1858, orders!A:A,0)))</f>
        <v>3</v>
      </c>
      <c r="I1858" t="str">
        <f>VLOOKUP(VLOOKUP(B1858,products!A:F,6,0),categories!A:B,2,0)</f>
        <v>Dairy Products</v>
      </c>
      <c r="J1858" t="str">
        <f>VLOOKUP(VLOOKUP(A1858,orders!A:B,2,0),customers!A:F,6,0)</f>
        <v>France</v>
      </c>
      <c r="K1858" t="str">
        <f>VLOOKUP(VLOOKUP(A1858,orders!A:C,3,0),employees!A:B,2,0)</f>
        <v>Janet Leverling</v>
      </c>
    </row>
    <row r="1859" spans="1:11" x14ac:dyDescent="0.25">
      <c r="A1859">
        <v>10965</v>
      </c>
      <c r="B1859">
        <v>51</v>
      </c>
      <c r="C1859">
        <v>53</v>
      </c>
      <c r="D1859">
        <v>16</v>
      </c>
      <c r="E1859">
        <v>0</v>
      </c>
      <c r="F1859">
        <f t="shared" ref="F1859:F1922" si="29">C1859*D1859*(1-E1859)</f>
        <v>848</v>
      </c>
      <c r="G1859">
        <f>YEAR(VLOOKUP(A1859,orders!A:D,4,0))</f>
        <v>2015</v>
      </c>
      <c r="H1859">
        <f>MONTH(INDEX(orders!D:D,MATCH(A1859, orders!A:A,0)))</f>
        <v>3</v>
      </c>
      <c r="I1859" t="str">
        <f>VLOOKUP(VLOOKUP(B1859,products!A:F,6,0),categories!A:B,2,0)</f>
        <v>Produce</v>
      </c>
      <c r="J1859" t="str">
        <f>VLOOKUP(VLOOKUP(A1859,orders!A:B,2,0),customers!A:F,6,0)</f>
        <v>USA</v>
      </c>
      <c r="K1859" t="str">
        <f>VLOOKUP(VLOOKUP(A1859,orders!A:C,3,0),employees!A:B,2,0)</f>
        <v>Michael Suyama</v>
      </c>
    </row>
    <row r="1860" spans="1:11" x14ac:dyDescent="0.25">
      <c r="A1860">
        <v>10966</v>
      </c>
      <c r="B1860">
        <v>37</v>
      </c>
      <c r="C1860">
        <v>26</v>
      </c>
      <c r="D1860">
        <v>8</v>
      </c>
      <c r="E1860">
        <v>0</v>
      </c>
      <c r="F1860">
        <f t="shared" si="29"/>
        <v>208</v>
      </c>
      <c r="G1860">
        <f>YEAR(VLOOKUP(A1860,orders!A:D,4,0))</f>
        <v>2015</v>
      </c>
      <c r="H1860">
        <f>MONTH(INDEX(orders!D:D,MATCH(A1860, orders!A:A,0)))</f>
        <v>3</v>
      </c>
      <c r="I1860" t="str">
        <f>VLOOKUP(VLOOKUP(B1860,products!A:F,6,0),categories!A:B,2,0)</f>
        <v>Seafood</v>
      </c>
      <c r="J1860" t="str">
        <f>VLOOKUP(VLOOKUP(A1860,orders!A:B,2,0),customers!A:F,6,0)</f>
        <v>Switzerland</v>
      </c>
      <c r="K1860" t="str">
        <f>VLOOKUP(VLOOKUP(A1860,orders!A:C,3,0),employees!A:B,2,0)</f>
        <v>Margaret Peacock</v>
      </c>
    </row>
    <row r="1861" spans="1:11" x14ac:dyDescent="0.25">
      <c r="A1861">
        <v>10966</v>
      </c>
      <c r="B1861">
        <v>56</v>
      </c>
      <c r="C1861">
        <v>38</v>
      </c>
      <c r="D1861">
        <v>12</v>
      </c>
      <c r="E1861">
        <v>0.15</v>
      </c>
      <c r="F1861">
        <f t="shared" si="29"/>
        <v>387.59999999999997</v>
      </c>
      <c r="G1861">
        <f>YEAR(VLOOKUP(A1861,orders!A:D,4,0))</f>
        <v>2015</v>
      </c>
      <c r="H1861">
        <f>MONTH(INDEX(orders!D:D,MATCH(A1861, orders!A:A,0)))</f>
        <v>3</v>
      </c>
      <c r="I1861" t="str">
        <f>VLOOKUP(VLOOKUP(B1861,products!A:F,6,0),categories!A:B,2,0)</f>
        <v>Grains &amp; Cereals</v>
      </c>
      <c r="J1861" t="str">
        <f>VLOOKUP(VLOOKUP(A1861,orders!A:B,2,0),customers!A:F,6,0)</f>
        <v>Switzerland</v>
      </c>
      <c r="K1861" t="str">
        <f>VLOOKUP(VLOOKUP(A1861,orders!A:C,3,0),employees!A:B,2,0)</f>
        <v>Margaret Peacock</v>
      </c>
    </row>
    <row r="1862" spans="1:11" x14ac:dyDescent="0.25">
      <c r="A1862">
        <v>10966</v>
      </c>
      <c r="B1862">
        <v>62</v>
      </c>
      <c r="C1862">
        <v>49.3</v>
      </c>
      <c r="D1862">
        <v>12</v>
      </c>
      <c r="E1862">
        <v>0.15</v>
      </c>
      <c r="F1862">
        <f t="shared" si="29"/>
        <v>502.8599999999999</v>
      </c>
      <c r="G1862">
        <f>YEAR(VLOOKUP(A1862,orders!A:D,4,0))</f>
        <v>2015</v>
      </c>
      <c r="H1862">
        <f>MONTH(INDEX(orders!D:D,MATCH(A1862, orders!A:A,0)))</f>
        <v>3</v>
      </c>
      <c r="I1862" t="str">
        <f>VLOOKUP(VLOOKUP(B1862,products!A:F,6,0),categories!A:B,2,0)</f>
        <v>Confections</v>
      </c>
      <c r="J1862" t="str">
        <f>VLOOKUP(VLOOKUP(A1862,orders!A:B,2,0),customers!A:F,6,0)</f>
        <v>Switzerland</v>
      </c>
      <c r="K1862" t="str">
        <f>VLOOKUP(VLOOKUP(A1862,orders!A:C,3,0),employees!A:B,2,0)</f>
        <v>Margaret Peacock</v>
      </c>
    </row>
    <row r="1863" spans="1:11" x14ac:dyDescent="0.25">
      <c r="A1863">
        <v>10967</v>
      </c>
      <c r="B1863">
        <v>19</v>
      </c>
      <c r="C1863">
        <v>9.1999999999999993</v>
      </c>
      <c r="D1863">
        <v>12</v>
      </c>
      <c r="E1863">
        <v>0</v>
      </c>
      <c r="F1863">
        <f t="shared" si="29"/>
        <v>110.39999999999999</v>
      </c>
      <c r="G1863">
        <f>YEAR(VLOOKUP(A1863,orders!A:D,4,0))</f>
        <v>2015</v>
      </c>
      <c r="H1863">
        <f>MONTH(INDEX(orders!D:D,MATCH(A1863, orders!A:A,0)))</f>
        <v>3</v>
      </c>
      <c r="I1863" t="str">
        <f>VLOOKUP(VLOOKUP(B1863,products!A:F,6,0),categories!A:B,2,0)</f>
        <v>Confections</v>
      </c>
      <c r="J1863" t="str">
        <f>VLOOKUP(VLOOKUP(A1863,orders!A:B,2,0),customers!A:F,6,0)</f>
        <v>Germany</v>
      </c>
      <c r="K1863" t="str">
        <f>VLOOKUP(VLOOKUP(A1863,orders!A:C,3,0),employees!A:B,2,0)</f>
        <v>Andrew Fuller</v>
      </c>
    </row>
    <row r="1864" spans="1:11" x14ac:dyDescent="0.25">
      <c r="A1864">
        <v>10967</v>
      </c>
      <c r="B1864">
        <v>49</v>
      </c>
      <c r="C1864">
        <v>20</v>
      </c>
      <c r="D1864">
        <v>40</v>
      </c>
      <c r="E1864">
        <v>0</v>
      </c>
      <c r="F1864">
        <f t="shared" si="29"/>
        <v>800</v>
      </c>
      <c r="G1864">
        <f>YEAR(VLOOKUP(A1864,orders!A:D,4,0))</f>
        <v>2015</v>
      </c>
      <c r="H1864">
        <f>MONTH(INDEX(orders!D:D,MATCH(A1864, orders!A:A,0)))</f>
        <v>3</v>
      </c>
      <c r="I1864" t="str">
        <f>VLOOKUP(VLOOKUP(B1864,products!A:F,6,0),categories!A:B,2,0)</f>
        <v>Confections</v>
      </c>
      <c r="J1864" t="str">
        <f>VLOOKUP(VLOOKUP(A1864,orders!A:B,2,0),customers!A:F,6,0)</f>
        <v>Germany</v>
      </c>
      <c r="K1864" t="str">
        <f>VLOOKUP(VLOOKUP(A1864,orders!A:C,3,0),employees!A:B,2,0)</f>
        <v>Andrew Fuller</v>
      </c>
    </row>
    <row r="1865" spans="1:11" x14ac:dyDescent="0.25">
      <c r="A1865">
        <v>10968</v>
      </c>
      <c r="B1865">
        <v>12</v>
      </c>
      <c r="C1865">
        <v>38</v>
      </c>
      <c r="D1865">
        <v>30</v>
      </c>
      <c r="E1865">
        <v>0</v>
      </c>
      <c r="F1865">
        <f t="shared" si="29"/>
        <v>1140</v>
      </c>
      <c r="G1865">
        <f>YEAR(VLOOKUP(A1865,orders!A:D,4,0))</f>
        <v>2015</v>
      </c>
      <c r="H1865">
        <f>MONTH(INDEX(orders!D:D,MATCH(A1865, orders!A:A,0)))</f>
        <v>3</v>
      </c>
      <c r="I1865" t="str">
        <f>VLOOKUP(VLOOKUP(B1865,products!A:F,6,0),categories!A:B,2,0)</f>
        <v>Dairy Products</v>
      </c>
      <c r="J1865" t="str">
        <f>VLOOKUP(VLOOKUP(A1865,orders!A:B,2,0),customers!A:F,6,0)</f>
        <v>Austria</v>
      </c>
      <c r="K1865" t="str">
        <f>VLOOKUP(VLOOKUP(A1865,orders!A:C,3,0),employees!A:B,2,0)</f>
        <v>Nancy Davolio</v>
      </c>
    </row>
    <row r="1866" spans="1:11" x14ac:dyDescent="0.25">
      <c r="A1866">
        <v>10968</v>
      </c>
      <c r="B1866">
        <v>24</v>
      </c>
      <c r="C1866">
        <v>4.5</v>
      </c>
      <c r="D1866">
        <v>30</v>
      </c>
      <c r="E1866">
        <v>0</v>
      </c>
      <c r="F1866">
        <f t="shared" si="29"/>
        <v>135</v>
      </c>
      <c r="G1866">
        <f>YEAR(VLOOKUP(A1866,orders!A:D,4,0))</f>
        <v>2015</v>
      </c>
      <c r="H1866">
        <f>MONTH(INDEX(orders!D:D,MATCH(A1866, orders!A:A,0)))</f>
        <v>3</v>
      </c>
      <c r="I1866" t="str">
        <f>VLOOKUP(VLOOKUP(B1866,products!A:F,6,0),categories!A:B,2,0)</f>
        <v>Beverages</v>
      </c>
      <c r="J1866" t="str">
        <f>VLOOKUP(VLOOKUP(A1866,orders!A:B,2,0),customers!A:F,6,0)</f>
        <v>Austria</v>
      </c>
      <c r="K1866" t="str">
        <f>VLOOKUP(VLOOKUP(A1866,orders!A:C,3,0),employees!A:B,2,0)</f>
        <v>Nancy Davolio</v>
      </c>
    </row>
    <row r="1867" spans="1:11" x14ac:dyDescent="0.25">
      <c r="A1867">
        <v>10968</v>
      </c>
      <c r="B1867">
        <v>64</v>
      </c>
      <c r="C1867">
        <v>33.25</v>
      </c>
      <c r="D1867">
        <v>4</v>
      </c>
      <c r="E1867">
        <v>0</v>
      </c>
      <c r="F1867">
        <f t="shared" si="29"/>
        <v>133</v>
      </c>
      <c r="G1867">
        <f>YEAR(VLOOKUP(A1867,orders!A:D,4,0))</f>
        <v>2015</v>
      </c>
      <c r="H1867">
        <f>MONTH(INDEX(orders!D:D,MATCH(A1867, orders!A:A,0)))</f>
        <v>3</v>
      </c>
      <c r="I1867" t="str">
        <f>VLOOKUP(VLOOKUP(B1867,products!A:F,6,0),categories!A:B,2,0)</f>
        <v>Grains &amp; Cereals</v>
      </c>
      <c r="J1867" t="str">
        <f>VLOOKUP(VLOOKUP(A1867,orders!A:B,2,0),customers!A:F,6,0)</f>
        <v>Austria</v>
      </c>
      <c r="K1867" t="str">
        <f>VLOOKUP(VLOOKUP(A1867,orders!A:C,3,0),employees!A:B,2,0)</f>
        <v>Nancy Davolio</v>
      </c>
    </row>
    <row r="1868" spans="1:11" x14ac:dyDescent="0.25">
      <c r="A1868">
        <v>10969</v>
      </c>
      <c r="B1868">
        <v>46</v>
      </c>
      <c r="C1868">
        <v>12</v>
      </c>
      <c r="D1868">
        <v>9</v>
      </c>
      <c r="E1868">
        <v>0</v>
      </c>
      <c r="F1868">
        <f t="shared" si="29"/>
        <v>108</v>
      </c>
      <c r="G1868">
        <f>YEAR(VLOOKUP(A1868,orders!A:D,4,0))</f>
        <v>2015</v>
      </c>
      <c r="H1868">
        <f>MONTH(INDEX(orders!D:D,MATCH(A1868, orders!A:A,0)))</f>
        <v>3</v>
      </c>
      <c r="I1868" t="str">
        <f>VLOOKUP(VLOOKUP(B1868,products!A:F,6,0),categories!A:B,2,0)</f>
        <v>Seafood</v>
      </c>
      <c r="J1868" t="str">
        <f>VLOOKUP(VLOOKUP(A1868,orders!A:B,2,0),customers!A:F,6,0)</f>
        <v>Brazil</v>
      </c>
      <c r="K1868" t="str">
        <f>VLOOKUP(VLOOKUP(A1868,orders!A:C,3,0),employees!A:B,2,0)</f>
        <v>Nancy Davolio</v>
      </c>
    </row>
    <row r="1869" spans="1:11" x14ac:dyDescent="0.25">
      <c r="A1869">
        <v>10970</v>
      </c>
      <c r="B1869">
        <v>52</v>
      </c>
      <c r="C1869">
        <v>7</v>
      </c>
      <c r="D1869">
        <v>40</v>
      </c>
      <c r="E1869">
        <v>0.2</v>
      </c>
      <c r="F1869">
        <f t="shared" si="29"/>
        <v>224</v>
      </c>
      <c r="G1869">
        <f>YEAR(VLOOKUP(A1869,orders!A:D,4,0))</f>
        <v>2015</v>
      </c>
      <c r="H1869">
        <f>MONTH(INDEX(orders!D:D,MATCH(A1869, orders!A:A,0)))</f>
        <v>3</v>
      </c>
      <c r="I1869" t="str">
        <f>VLOOKUP(VLOOKUP(B1869,products!A:F,6,0),categories!A:B,2,0)</f>
        <v>Grains &amp; Cereals</v>
      </c>
      <c r="J1869" t="str">
        <f>VLOOKUP(VLOOKUP(A1869,orders!A:B,2,0),customers!A:F,6,0)</f>
        <v>Spain</v>
      </c>
      <c r="K1869" t="str">
        <f>VLOOKUP(VLOOKUP(A1869,orders!A:C,3,0),employees!A:B,2,0)</f>
        <v>Anne Dodsworth</v>
      </c>
    </row>
    <row r="1870" spans="1:11" x14ac:dyDescent="0.25">
      <c r="A1870">
        <v>10971</v>
      </c>
      <c r="B1870">
        <v>29</v>
      </c>
      <c r="C1870">
        <v>123.79</v>
      </c>
      <c r="D1870">
        <v>14</v>
      </c>
      <c r="E1870">
        <v>0</v>
      </c>
      <c r="F1870">
        <f t="shared" si="29"/>
        <v>1733.0600000000002</v>
      </c>
      <c r="G1870">
        <f>YEAR(VLOOKUP(A1870,orders!A:D,4,0))</f>
        <v>2015</v>
      </c>
      <c r="H1870">
        <f>MONTH(INDEX(orders!D:D,MATCH(A1870, orders!A:A,0)))</f>
        <v>3</v>
      </c>
      <c r="I1870" t="str">
        <f>VLOOKUP(VLOOKUP(B1870,products!A:F,6,0),categories!A:B,2,0)</f>
        <v>Meat &amp; Poultry</v>
      </c>
      <c r="J1870" t="str">
        <f>VLOOKUP(VLOOKUP(A1870,orders!A:B,2,0),customers!A:F,6,0)</f>
        <v>France</v>
      </c>
      <c r="K1870" t="str">
        <f>VLOOKUP(VLOOKUP(A1870,orders!A:C,3,0),employees!A:B,2,0)</f>
        <v>Andrew Fuller</v>
      </c>
    </row>
    <row r="1871" spans="1:11" x14ac:dyDescent="0.25">
      <c r="A1871">
        <v>10972</v>
      </c>
      <c r="B1871">
        <v>17</v>
      </c>
      <c r="C1871">
        <v>39</v>
      </c>
      <c r="D1871">
        <v>6</v>
      </c>
      <c r="E1871">
        <v>0</v>
      </c>
      <c r="F1871">
        <f t="shared" si="29"/>
        <v>234</v>
      </c>
      <c r="G1871">
        <f>YEAR(VLOOKUP(A1871,orders!A:D,4,0))</f>
        <v>2015</v>
      </c>
      <c r="H1871">
        <f>MONTH(INDEX(orders!D:D,MATCH(A1871, orders!A:A,0)))</f>
        <v>3</v>
      </c>
      <c r="I1871" t="str">
        <f>VLOOKUP(VLOOKUP(B1871,products!A:F,6,0),categories!A:B,2,0)</f>
        <v>Meat &amp; Poultry</v>
      </c>
      <c r="J1871" t="str">
        <f>VLOOKUP(VLOOKUP(A1871,orders!A:B,2,0),customers!A:F,6,0)</f>
        <v>France</v>
      </c>
      <c r="K1871" t="str">
        <f>VLOOKUP(VLOOKUP(A1871,orders!A:C,3,0),employees!A:B,2,0)</f>
        <v>Margaret Peacock</v>
      </c>
    </row>
    <row r="1872" spans="1:11" x14ac:dyDescent="0.25">
      <c r="A1872">
        <v>10972</v>
      </c>
      <c r="B1872">
        <v>33</v>
      </c>
      <c r="C1872">
        <v>2.5</v>
      </c>
      <c r="D1872">
        <v>7</v>
      </c>
      <c r="E1872">
        <v>0</v>
      </c>
      <c r="F1872">
        <f t="shared" si="29"/>
        <v>17.5</v>
      </c>
      <c r="G1872">
        <f>YEAR(VLOOKUP(A1872,orders!A:D,4,0))</f>
        <v>2015</v>
      </c>
      <c r="H1872">
        <f>MONTH(INDEX(orders!D:D,MATCH(A1872, orders!A:A,0)))</f>
        <v>3</v>
      </c>
      <c r="I1872" t="str">
        <f>VLOOKUP(VLOOKUP(B1872,products!A:F,6,0),categories!A:B,2,0)</f>
        <v>Dairy Products</v>
      </c>
      <c r="J1872" t="str">
        <f>VLOOKUP(VLOOKUP(A1872,orders!A:B,2,0),customers!A:F,6,0)</f>
        <v>France</v>
      </c>
      <c r="K1872" t="str">
        <f>VLOOKUP(VLOOKUP(A1872,orders!A:C,3,0),employees!A:B,2,0)</f>
        <v>Margaret Peacock</v>
      </c>
    </row>
    <row r="1873" spans="1:11" x14ac:dyDescent="0.25">
      <c r="A1873">
        <v>10973</v>
      </c>
      <c r="B1873">
        <v>26</v>
      </c>
      <c r="C1873">
        <v>31.23</v>
      </c>
      <c r="D1873">
        <v>5</v>
      </c>
      <c r="E1873">
        <v>0</v>
      </c>
      <c r="F1873">
        <f t="shared" si="29"/>
        <v>156.15</v>
      </c>
      <c r="G1873">
        <f>YEAR(VLOOKUP(A1873,orders!A:D,4,0))</f>
        <v>2015</v>
      </c>
      <c r="H1873">
        <f>MONTH(INDEX(orders!D:D,MATCH(A1873, orders!A:A,0)))</f>
        <v>3</v>
      </c>
      <c r="I1873" t="str">
        <f>VLOOKUP(VLOOKUP(B1873,products!A:F,6,0),categories!A:B,2,0)</f>
        <v>Confections</v>
      </c>
      <c r="J1873" t="str">
        <f>VLOOKUP(VLOOKUP(A1873,orders!A:B,2,0),customers!A:F,6,0)</f>
        <v>France</v>
      </c>
      <c r="K1873" t="str">
        <f>VLOOKUP(VLOOKUP(A1873,orders!A:C,3,0),employees!A:B,2,0)</f>
        <v>Michael Suyama</v>
      </c>
    </row>
    <row r="1874" spans="1:11" x14ac:dyDescent="0.25">
      <c r="A1874">
        <v>10973</v>
      </c>
      <c r="B1874">
        <v>41</v>
      </c>
      <c r="C1874">
        <v>9.65</v>
      </c>
      <c r="D1874">
        <v>6</v>
      </c>
      <c r="E1874">
        <v>0</v>
      </c>
      <c r="F1874">
        <f t="shared" si="29"/>
        <v>57.900000000000006</v>
      </c>
      <c r="G1874">
        <f>YEAR(VLOOKUP(A1874,orders!A:D,4,0))</f>
        <v>2015</v>
      </c>
      <c r="H1874">
        <f>MONTH(INDEX(orders!D:D,MATCH(A1874, orders!A:A,0)))</f>
        <v>3</v>
      </c>
      <c r="I1874" t="str">
        <f>VLOOKUP(VLOOKUP(B1874,products!A:F,6,0),categories!A:B,2,0)</f>
        <v>Seafood</v>
      </c>
      <c r="J1874" t="str">
        <f>VLOOKUP(VLOOKUP(A1874,orders!A:B,2,0),customers!A:F,6,0)</f>
        <v>France</v>
      </c>
      <c r="K1874" t="str">
        <f>VLOOKUP(VLOOKUP(A1874,orders!A:C,3,0),employees!A:B,2,0)</f>
        <v>Michael Suyama</v>
      </c>
    </row>
    <row r="1875" spans="1:11" x14ac:dyDescent="0.25">
      <c r="A1875">
        <v>10973</v>
      </c>
      <c r="B1875">
        <v>75</v>
      </c>
      <c r="C1875">
        <v>7.75</v>
      </c>
      <c r="D1875">
        <v>10</v>
      </c>
      <c r="E1875">
        <v>0</v>
      </c>
      <c r="F1875">
        <f t="shared" si="29"/>
        <v>77.5</v>
      </c>
      <c r="G1875">
        <f>YEAR(VLOOKUP(A1875,orders!A:D,4,0))</f>
        <v>2015</v>
      </c>
      <c r="H1875">
        <f>MONTH(INDEX(orders!D:D,MATCH(A1875, orders!A:A,0)))</f>
        <v>3</v>
      </c>
      <c r="I1875" t="str">
        <f>VLOOKUP(VLOOKUP(B1875,products!A:F,6,0),categories!A:B,2,0)</f>
        <v>Beverages</v>
      </c>
      <c r="J1875" t="str">
        <f>VLOOKUP(VLOOKUP(A1875,orders!A:B,2,0),customers!A:F,6,0)</f>
        <v>France</v>
      </c>
      <c r="K1875" t="str">
        <f>VLOOKUP(VLOOKUP(A1875,orders!A:C,3,0),employees!A:B,2,0)</f>
        <v>Michael Suyama</v>
      </c>
    </row>
    <row r="1876" spans="1:11" x14ac:dyDescent="0.25">
      <c r="A1876">
        <v>10974</v>
      </c>
      <c r="B1876">
        <v>63</v>
      </c>
      <c r="C1876">
        <v>43.9</v>
      </c>
      <c r="D1876">
        <v>10</v>
      </c>
      <c r="E1876">
        <v>0</v>
      </c>
      <c r="F1876">
        <f t="shared" si="29"/>
        <v>439</v>
      </c>
      <c r="G1876">
        <f>YEAR(VLOOKUP(A1876,orders!A:D,4,0))</f>
        <v>2015</v>
      </c>
      <c r="H1876">
        <f>MONTH(INDEX(orders!D:D,MATCH(A1876, orders!A:A,0)))</f>
        <v>3</v>
      </c>
      <c r="I1876" t="str">
        <f>VLOOKUP(VLOOKUP(B1876,products!A:F,6,0),categories!A:B,2,0)</f>
        <v>Condiments</v>
      </c>
      <c r="J1876" t="str">
        <f>VLOOKUP(VLOOKUP(A1876,orders!A:B,2,0),customers!A:F,6,0)</f>
        <v>USA</v>
      </c>
      <c r="K1876" t="str">
        <f>VLOOKUP(VLOOKUP(A1876,orders!A:C,3,0),employees!A:B,2,0)</f>
        <v>Janet Leverling</v>
      </c>
    </row>
    <row r="1877" spans="1:11" x14ac:dyDescent="0.25">
      <c r="A1877">
        <v>10975</v>
      </c>
      <c r="B1877">
        <v>8</v>
      </c>
      <c r="C1877">
        <v>40</v>
      </c>
      <c r="D1877">
        <v>16</v>
      </c>
      <c r="E1877">
        <v>0</v>
      </c>
      <c r="F1877">
        <f t="shared" si="29"/>
        <v>640</v>
      </c>
      <c r="G1877">
        <f>YEAR(VLOOKUP(A1877,orders!A:D,4,0))</f>
        <v>2015</v>
      </c>
      <c r="H1877">
        <f>MONTH(INDEX(orders!D:D,MATCH(A1877, orders!A:A,0)))</f>
        <v>3</v>
      </c>
      <c r="I1877" t="str">
        <f>VLOOKUP(VLOOKUP(B1877,products!A:F,6,0),categories!A:B,2,0)</f>
        <v>Condiments</v>
      </c>
      <c r="J1877" t="str">
        <f>VLOOKUP(VLOOKUP(A1877,orders!A:B,2,0),customers!A:F,6,0)</f>
        <v>Canada</v>
      </c>
      <c r="K1877" t="str">
        <f>VLOOKUP(VLOOKUP(A1877,orders!A:C,3,0),employees!A:B,2,0)</f>
        <v>Nancy Davolio</v>
      </c>
    </row>
    <row r="1878" spans="1:11" x14ac:dyDescent="0.25">
      <c r="A1878">
        <v>10975</v>
      </c>
      <c r="B1878">
        <v>75</v>
      </c>
      <c r="C1878">
        <v>7.75</v>
      </c>
      <c r="D1878">
        <v>10</v>
      </c>
      <c r="E1878">
        <v>0</v>
      </c>
      <c r="F1878">
        <f t="shared" si="29"/>
        <v>77.5</v>
      </c>
      <c r="G1878">
        <f>YEAR(VLOOKUP(A1878,orders!A:D,4,0))</f>
        <v>2015</v>
      </c>
      <c r="H1878">
        <f>MONTH(INDEX(orders!D:D,MATCH(A1878, orders!A:A,0)))</f>
        <v>3</v>
      </c>
      <c r="I1878" t="str">
        <f>VLOOKUP(VLOOKUP(B1878,products!A:F,6,0),categories!A:B,2,0)</f>
        <v>Beverages</v>
      </c>
      <c r="J1878" t="str">
        <f>VLOOKUP(VLOOKUP(A1878,orders!A:B,2,0),customers!A:F,6,0)</f>
        <v>Canada</v>
      </c>
      <c r="K1878" t="str">
        <f>VLOOKUP(VLOOKUP(A1878,orders!A:C,3,0),employees!A:B,2,0)</f>
        <v>Nancy Davolio</v>
      </c>
    </row>
    <row r="1879" spans="1:11" x14ac:dyDescent="0.25">
      <c r="A1879">
        <v>10976</v>
      </c>
      <c r="B1879">
        <v>28</v>
      </c>
      <c r="C1879">
        <v>45.6</v>
      </c>
      <c r="D1879">
        <v>20</v>
      </c>
      <c r="E1879">
        <v>0</v>
      </c>
      <c r="F1879">
        <f t="shared" si="29"/>
        <v>912</v>
      </c>
      <c r="G1879">
        <f>YEAR(VLOOKUP(A1879,orders!A:D,4,0))</f>
        <v>2015</v>
      </c>
      <c r="H1879">
        <f>MONTH(INDEX(orders!D:D,MATCH(A1879, orders!A:A,0)))</f>
        <v>3</v>
      </c>
      <c r="I1879" t="str">
        <f>VLOOKUP(VLOOKUP(B1879,products!A:F,6,0),categories!A:B,2,0)</f>
        <v>Produce</v>
      </c>
      <c r="J1879" t="str">
        <f>VLOOKUP(VLOOKUP(A1879,orders!A:B,2,0),customers!A:F,6,0)</f>
        <v>Venezuela</v>
      </c>
      <c r="K1879" t="str">
        <f>VLOOKUP(VLOOKUP(A1879,orders!A:C,3,0),employees!A:B,2,0)</f>
        <v>Nancy Davolio</v>
      </c>
    </row>
    <row r="1880" spans="1:11" x14ac:dyDescent="0.25">
      <c r="A1880">
        <v>10977</v>
      </c>
      <c r="B1880">
        <v>39</v>
      </c>
      <c r="C1880">
        <v>18</v>
      </c>
      <c r="D1880">
        <v>30</v>
      </c>
      <c r="E1880">
        <v>0</v>
      </c>
      <c r="F1880">
        <f t="shared" si="29"/>
        <v>540</v>
      </c>
      <c r="G1880">
        <f>YEAR(VLOOKUP(A1880,orders!A:D,4,0))</f>
        <v>2015</v>
      </c>
      <c r="H1880">
        <f>MONTH(INDEX(orders!D:D,MATCH(A1880, orders!A:A,0)))</f>
        <v>3</v>
      </c>
      <c r="I1880" t="str">
        <f>VLOOKUP(VLOOKUP(B1880,products!A:F,6,0),categories!A:B,2,0)</f>
        <v>Beverages</v>
      </c>
      <c r="J1880" t="str">
        <f>VLOOKUP(VLOOKUP(A1880,orders!A:B,2,0),customers!A:F,6,0)</f>
        <v>Sweden</v>
      </c>
      <c r="K1880" t="str">
        <f>VLOOKUP(VLOOKUP(A1880,orders!A:C,3,0),employees!A:B,2,0)</f>
        <v>Laura Callahan</v>
      </c>
    </row>
    <row r="1881" spans="1:11" x14ac:dyDescent="0.25">
      <c r="A1881">
        <v>10977</v>
      </c>
      <c r="B1881">
        <v>47</v>
      </c>
      <c r="C1881">
        <v>9.5</v>
      </c>
      <c r="D1881">
        <v>30</v>
      </c>
      <c r="E1881">
        <v>0</v>
      </c>
      <c r="F1881">
        <f t="shared" si="29"/>
        <v>285</v>
      </c>
      <c r="G1881">
        <f>YEAR(VLOOKUP(A1881,orders!A:D,4,0))</f>
        <v>2015</v>
      </c>
      <c r="H1881">
        <f>MONTH(INDEX(orders!D:D,MATCH(A1881, orders!A:A,0)))</f>
        <v>3</v>
      </c>
      <c r="I1881" t="str">
        <f>VLOOKUP(VLOOKUP(B1881,products!A:F,6,0),categories!A:B,2,0)</f>
        <v>Confections</v>
      </c>
      <c r="J1881" t="str">
        <f>VLOOKUP(VLOOKUP(A1881,orders!A:B,2,0),customers!A:F,6,0)</f>
        <v>Sweden</v>
      </c>
      <c r="K1881" t="str">
        <f>VLOOKUP(VLOOKUP(A1881,orders!A:C,3,0),employees!A:B,2,0)</f>
        <v>Laura Callahan</v>
      </c>
    </row>
    <row r="1882" spans="1:11" x14ac:dyDescent="0.25">
      <c r="A1882">
        <v>10977</v>
      </c>
      <c r="B1882">
        <v>51</v>
      </c>
      <c r="C1882">
        <v>53</v>
      </c>
      <c r="D1882">
        <v>10</v>
      </c>
      <c r="E1882">
        <v>0</v>
      </c>
      <c r="F1882">
        <f t="shared" si="29"/>
        <v>530</v>
      </c>
      <c r="G1882">
        <f>YEAR(VLOOKUP(A1882,orders!A:D,4,0))</f>
        <v>2015</v>
      </c>
      <c r="H1882">
        <f>MONTH(INDEX(orders!D:D,MATCH(A1882, orders!A:A,0)))</f>
        <v>3</v>
      </c>
      <c r="I1882" t="str">
        <f>VLOOKUP(VLOOKUP(B1882,products!A:F,6,0),categories!A:B,2,0)</f>
        <v>Produce</v>
      </c>
      <c r="J1882" t="str">
        <f>VLOOKUP(VLOOKUP(A1882,orders!A:B,2,0),customers!A:F,6,0)</f>
        <v>Sweden</v>
      </c>
      <c r="K1882" t="str">
        <f>VLOOKUP(VLOOKUP(A1882,orders!A:C,3,0),employees!A:B,2,0)</f>
        <v>Laura Callahan</v>
      </c>
    </row>
    <row r="1883" spans="1:11" x14ac:dyDescent="0.25">
      <c r="A1883">
        <v>10977</v>
      </c>
      <c r="B1883">
        <v>63</v>
      </c>
      <c r="C1883">
        <v>43.9</v>
      </c>
      <c r="D1883">
        <v>20</v>
      </c>
      <c r="E1883">
        <v>0</v>
      </c>
      <c r="F1883">
        <f t="shared" si="29"/>
        <v>878</v>
      </c>
      <c r="G1883">
        <f>YEAR(VLOOKUP(A1883,orders!A:D,4,0))</f>
        <v>2015</v>
      </c>
      <c r="H1883">
        <f>MONTH(INDEX(orders!D:D,MATCH(A1883, orders!A:A,0)))</f>
        <v>3</v>
      </c>
      <c r="I1883" t="str">
        <f>VLOOKUP(VLOOKUP(B1883,products!A:F,6,0),categories!A:B,2,0)</f>
        <v>Condiments</v>
      </c>
      <c r="J1883" t="str">
        <f>VLOOKUP(VLOOKUP(A1883,orders!A:B,2,0),customers!A:F,6,0)</f>
        <v>Sweden</v>
      </c>
      <c r="K1883" t="str">
        <f>VLOOKUP(VLOOKUP(A1883,orders!A:C,3,0),employees!A:B,2,0)</f>
        <v>Laura Callahan</v>
      </c>
    </row>
    <row r="1884" spans="1:11" x14ac:dyDescent="0.25">
      <c r="A1884">
        <v>10978</v>
      </c>
      <c r="B1884">
        <v>8</v>
      </c>
      <c r="C1884">
        <v>40</v>
      </c>
      <c r="D1884">
        <v>20</v>
      </c>
      <c r="E1884">
        <v>0.15</v>
      </c>
      <c r="F1884">
        <f t="shared" si="29"/>
        <v>680</v>
      </c>
      <c r="G1884">
        <f>YEAR(VLOOKUP(A1884,orders!A:D,4,0))</f>
        <v>2015</v>
      </c>
      <c r="H1884">
        <f>MONTH(INDEX(orders!D:D,MATCH(A1884, orders!A:A,0)))</f>
        <v>3</v>
      </c>
      <c r="I1884" t="str">
        <f>VLOOKUP(VLOOKUP(B1884,products!A:F,6,0),categories!A:B,2,0)</f>
        <v>Condiments</v>
      </c>
      <c r="J1884" t="str">
        <f>VLOOKUP(VLOOKUP(A1884,orders!A:B,2,0),customers!A:F,6,0)</f>
        <v>Belgium</v>
      </c>
      <c r="K1884" t="str">
        <f>VLOOKUP(VLOOKUP(A1884,orders!A:C,3,0),employees!A:B,2,0)</f>
        <v>Anne Dodsworth</v>
      </c>
    </row>
    <row r="1885" spans="1:11" x14ac:dyDescent="0.25">
      <c r="A1885">
        <v>10978</v>
      </c>
      <c r="B1885">
        <v>21</v>
      </c>
      <c r="C1885">
        <v>10</v>
      </c>
      <c r="D1885">
        <v>40</v>
      </c>
      <c r="E1885">
        <v>0.15</v>
      </c>
      <c r="F1885">
        <f t="shared" si="29"/>
        <v>340</v>
      </c>
      <c r="G1885">
        <f>YEAR(VLOOKUP(A1885,orders!A:D,4,0))</f>
        <v>2015</v>
      </c>
      <c r="H1885">
        <f>MONTH(INDEX(orders!D:D,MATCH(A1885, orders!A:A,0)))</f>
        <v>3</v>
      </c>
      <c r="I1885" t="str">
        <f>VLOOKUP(VLOOKUP(B1885,products!A:F,6,0),categories!A:B,2,0)</f>
        <v>Confections</v>
      </c>
      <c r="J1885" t="str">
        <f>VLOOKUP(VLOOKUP(A1885,orders!A:B,2,0),customers!A:F,6,0)</f>
        <v>Belgium</v>
      </c>
      <c r="K1885" t="str">
        <f>VLOOKUP(VLOOKUP(A1885,orders!A:C,3,0),employees!A:B,2,0)</f>
        <v>Anne Dodsworth</v>
      </c>
    </row>
    <row r="1886" spans="1:11" x14ac:dyDescent="0.25">
      <c r="A1886">
        <v>10978</v>
      </c>
      <c r="B1886">
        <v>40</v>
      </c>
      <c r="C1886">
        <v>18.399999999999999</v>
      </c>
      <c r="D1886">
        <v>10</v>
      </c>
      <c r="E1886">
        <v>0</v>
      </c>
      <c r="F1886">
        <f t="shared" si="29"/>
        <v>184</v>
      </c>
      <c r="G1886">
        <f>YEAR(VLOOKUP(A1886,orders!A:D,4,0))</f>
        <v>2015</v>
      </c>
      <c r="H1886">
        <f>MONTH(INDEX(orders!D:D,MATCH(A1886, orders!A:A,0)))</f>
        <v>3</v>
      </c>
      <c r="I1886" t="str">
        <f>VLOOKUP(VLOOKUP(B1886,products!A:F,6,0),categories!A:B,2,0)</f>
        <v>Seafood</v>
      </c>
      <c r="J1886" t="str">
        <f>VLOOKUP(VLOOKUP(A1886,orders!A:B,2,0),customers!A:F,6,0)</f>
        <v>Belgium</v>
      </c>
      <c r="K1886" t="str">
        <f>VLOOKUP(VLOOKUP(A1886,orders!A:C,3,0),employees!A:B,2,0)</f>
        <v>Anne Dodsworth</v>
      </c>
    </row>
    <row r="1887" spans="1:11" x14ac:dyDescent="0.25">
      <c r="A1887">
        <v>10978</v>
      </c>
      <c r="B1887">
        <v>44</v>
      </c>
      <c r="C1887">
        <v>19.45</v>
      </c>
      <c r="D1887">
        <v>6</v>
      </c>
      <c r="E1887">
        <v>0.15</v>
      </c>
      <c r="F1887">
        <f t="shared" si="29"/>
        <v>99.194999999999993</v>
      </c>
      <c r="G1887">
        <f>YEAR(VLOOKUP(A1887,orders!A:D,4,0))</f>
        <v>2015</v>
      </c>
      <c r="H1887">
        <f>MONTH(INDEX(orders!D:D,MATCH(A1887, orders!A:A,0)))</f>
        <v>3</v>
      </c>
      <c r="I1887" t="str">
        <f>VLOOKUP(VLOOKUP(B1887,products!A:F,6,0),categories!A:B,2,0)</f>
        <v>Condiments</v>
      </c>
      <c r="J1887" t="str">
        <f>VLOOKUP(VLOOKUP(A1887,orders!A:B,2,0),customers!A:F,6,0)</f>
        <v>Belgium</v>
      </c>
      <c r="K1887" t="str">
        <f>VLOOKUP(VLOOKUP(A1887,orders!A:C,3,0),employees!A:B,2,0)</f>
        <v>Anne Dodsworth</v>
      </c>
    </row>
    <row r="1888" spans="1:11" x14ac:dyDescent="0.25">
      <c r="A1888">
        <v>10979</v>
      </c>
      <c r="B1888">
        <v>7</v>
      </c>
      <c r="C1888">
        <v>30</v>
      </c>
      <c r="D1888">
        <v>18</v>
      </c>
      <c r="E1888">
        <v>0</v>
      </c>
      <c r="F1888">
        <f t="shared" si="29"/>
        <v>540</v>
      </c>
      <c r="G1888">
        <f>YEAR(VLOOKUP(A1888,orders!A:D,4,0))</f>
        <v>2015</v>
      </c>
      <c r="H1888">
        <f>MONTH(INDEX(orders!D:D,MATCH(A1888, orders!A:A,0)))</f>
        <v>3</v>
      </c>
      <c r="I1888" t="str">
        <f>VLOOKUP(VLOOKUP(B1888,products!A:F,6,0),categories!A:B,2,0)</f>
        <v>Produce</v>
      </c>
      <c r="J1888" t="str">
        <f>VLOOKUP(VLOOKUP(A1888,orders!A:B,2,0),customers!A:F,6,0)</f>
        <v>Austria</v>
      </c>
      <c r="K1888" t="str">
        <f>VLOOKUP(VLOOKUP(A1888,orders!A:C,3,0),employees!A:B,2,0)</f>
        <v>Laura Callahan</v>
      </c>
    </row>
    <row r="1889" spans="1:11" x14ac:dyDescent="0.25">
      <c r="A1889">
        <v>10979</v>
      </c>
      <c r="B1889">
        <v>12</v>
      </c>
      <c r="C1889">
        <v>38</v>
      </c>
      <c r="D1889">
        <v>20</v>
      </c>
      <c r="E1889">
        <v>0</v>
      </c>
      <c r="F1889">
        <f t="shared" si="29"/>
        <v>760</v>
      </c>
      <c r="G1889">
        <f>YEAR(VLOOKUP(A1889,orders!A:D,4,0))</f>
        <v>2015</v>
      </c>
      <c r="H1889">
        <f>MONTH(INDEX(orders!D:D,MATCH(A1889, orders!A:A,0)))</f>
        <v>3</v>
      </c>
      <c r="I1889" t="str">
        <f>VLOOKUP(VLOOKUP(B1889,products!A:F,6,0),categories!A:B,2,0)</f>
        <v>Dairy Products</v>
      </c>
      <c r="J1889" t="str">
        <f>VLOOKUP(VLOOKUP(A1889,orders!A:B,2,0),customers!A:F,6,0)</f>
        <v>Austria</v>
      </c>
      <c r="K1889" t="str">
        <f>VLOOKUP(VLOOKUP(A1889,orders!A:C,3,0),employees!A:B,2,0)</f>
        <v>Laura Callahan</v>
      </c>
    </row>
    <row r="1890" spans="1:11" x14ac:dyDescent="0.25">
      <c r="A1890">
        <v>10979</v>
      </c>
      <c r="B1890">
        <v>24</v>
      </c>
      <c r="C1890">
        <v>4.5</v>
      </c>
      <c r="D1890">
        <v>80</v>
      </c>
      <c r="E1890">
        <v>0</v>
      </c>
      <c r="F1890">
        <f t="shared" si="29"/>
        <v>360</v>
      </c>
      <c r="G1890">
        <f>YEAR(VLOOKUP(A1890,orders!A:D,4,0))</f>
        <v>2015</v>
      </c>
      <c r="H1890">
        <f>MONTH(INDEX(orders!D:D,MATCH(A1890, orders!A:A,0)))</f>
        <v>3</v>
      </c>
      <c r="I1890" t="str">
        <f>VLOOKUP(VLOOKUP(B1890,products!A:F,6,0),categories!A:B,2,0)</f>
        <v>Beverages</v>
      </c>
      <c r="J1890" t="str">
        <f>VLOOKUP(VLOOKUP(A1890,orders!A:B,2,0),customers!A:F,6,0)</f>
        <v>Austria</v>
      </c>
      <c r="K1890" t="str">
        <f>VLOOKUP(VLOOKUP(A1890,orders!A:C,3,0),employees!A:B,2,0)</f>
        <v>Laura Callahan</v>
      </c>
    </row>
    <row r="1891" spans="1:11" x14ac:dyDescent="0.25">
      <c r="A1891">
        <v>10979</v>
      </c>
      <c r="B1891">
        <v>27</v>
      </c>
      <c r="C1891">
        <v>43.9</v>
      </c>
      <c r="D1891">
        <v>30</v>
      </c>
      <c r="E1891">
        <v>0</v>
      </c>
      <c r="F1891">
        <f t="shared" si="29"/>
        <v>1317</v>
      </c>
      <c r="G1891">
        <f>YEAR(VLOOKUP(A1891,orders!A:D,4,0))</f>
        <v>2015</v>
      </c>
      <c r="H1891">
        <f>MONTH(INDEX(orders!D:D,MATCH(A1891, orders!A:A,0)))</f>
        <v>3</v>
      </c>
      <c r="I1891" t="str">
        <f>VLOOKUP(VLOOKUP(B1891,products!A:F,6,0),categories!A:B,2,0)</f>
        <v>Confections</v>
      </c>
      <c r="J1891" t="str">
        <f>VLOOKUP(VLOOKUP(A1891,orders!A:B,2,0),customers!A:F,6,0)</f>
        <v>Austria</v>
      </c>
      <c r="K1891" t="str">
        <f>VLOOKUP(VLOOKUP(A1891,orders!A:C,3,0),employees!A:B,2,0)</f>
        <v>Laura Callahan</v>
      </c>
    </row>
    <row r="1892" spans="1:11" x14ac:dyDescent="0.25">
      <c r="A1892">
        <v>10979</v>
      </c>
      <c r="B1892">
        <v>31</v>
      </c>
      <c r="C1892">
        <v>12.5</v>
      </c>
      <c r="D1892">
        <v>24</v>
      </c>
      <c r="E1892">
        <v>0</v>
      </c>
      <c r="F1892">
        <f t="shared" si="29"/>
        <v>300</v>
      </c>
      <c r="G1892">
        <f>YEAR(VLOOKUP(A1892,orders!A:D,4,0))</f>
        <v>2015</v>
      </c>
      <c r="H1892">
        <f>MONTH(INDEX(orders!D:D,MATCH(A1892, orders!A:A,0)))</f>
        <v>3</v>
      </c>
      <c r="I1892" t="str">
        <f>VLOOKUP(VLOOKUP(B1892,products!A:F,6,0),categories!A:B,2,0)</f>
        <v>Dairy Products</v>
      </c>
      <c r="J1892" t="str">
        <f>VLOOKUP(VLOOKUP(A1892,orders!A:B,2,0),customers!A:F,6,0)</f>
        <v>Austria</v>
      </c>
      <c r="K1892" t="str">
        <f>VLOOKUP(VLOOKUP(A1892,orders!A:C,3,0),employees!A:B,2,0)</f>
        <v>Laura Callahan</v>
      </c>
    </row>
    <row r="1893" spans="1:11" x14ac:dyDescent="0.25">
      <c r="A1893">
        <v>10979</v>
      </c>
      <c r="B1893">
        <v>63</v>
      </c>
      <c r="C1893">
        <v>43.9</v>
      </c>
      <c r="D1893">
        <v>35</v>
      </c>
      <c r="E1893">
        <v>0</v>
      </c>
      <c r="F1893">
        <f t="shared" si="29"/>
        <v>1536.5</v>
      </c>
      <c r="G1893">
        <f>YEAR(VLOOKUP(A1893,orders!A:D,4,0))</f>
        <v>2015</v>
      </c>
      <c r="H1893">
        <f>MONTH(INDEX(orders!D:D,MATCH(A1893, orders!A:A,0)))</f>
        <v>3</v>
      </c>
      <c r="I1893" t="str">
        <f>VLOOKUP(VLOOKUP(B1893,products!A:F,6,0),categories!A:B,2,0)</f>
        <v>Condiments</v>
      </c>
      <c r="J1893" t="str">
        <f>VLOOKUP(VLOOKUP(A1893,orders!A:B,2,0),customers!A:F,6,0)</f>
        <v>Austria</v>
      </c>
      <c r="K1893" t="str">
        <f>VLOOKUP(VLOOKUP(A1893,orders!A:C,3,0),employees!A:B,2,0)</f>
        <v>Laura Callahan</v>
      </c>
    </row>
    <row r="1894" spans="1:11" x14ac:dyDescent="0.25">
      <c r="A1894">
        <v>10980</v>
      </c>
      <c r="B1894">
        <v>75</v>
      </c>
      <c r="C1894">
        <v>7.75</v>
      </c>
      <c r="D1894">
        <v>40</v>
      </c>
      <c r="E1894">
        <v>0.2</v>
      </c>
      <c r="F1894">
        <f t="shared" si="29"/>
        <v>248</v>
      </c>
      <c r="G1894">
        <f>YEAR(VLOOKUP(A1894,orders!A:D,4,0))</f>
        <v>2015</v>
      </c>
      <c r="H1894">
        <f>MONTH(INDEX(orders!D:D,MATCH(A1894, orders!A:A,0)))</f>
        <v>3</v>
      </c>
      <c r="I1894" t="str">
        <f>VLOOKUP(VLOOKUP(B1894,products!A:F,6,0),categories!A:B,2,0)</f>
        <v>Beverages</v>
      </c>
      <c r="J1894" t="str">
        <f>VLOOKUP(VLOOKUP(A1894,orders!A:B,2,0),customers!A:F,6,0)</f>
        <v>Sweden</v>
      </c>
      <c r="K1894" t="str">
        <f>VLOOKUP(VLOOKUP(A1894,orders!A:C,3,0),employees!A:B,2,0)</f>
        <v>Margaret Peacock</v>
      </c>
    </row>
    <row r="1895" spans="1:11" x14ac:dyDescent="0.25">
      <c r="A1895">
        <v>10981</v>
      </c>
      <c r="B1895">
        <v>38</v>
      </c>
      <c r="C1895">
        <v>263.5</v>
      </c>
      <c r="D1895">
        <v>60</v>
      </c>
      <c r="E1895">
        <v>0</v>
      </c>
      <c r="F1895">
        <f t="shared" si="29"/>
        <v>15810</v>
      </c>
      <c r="G1895">
        <f>YEAR(VLOOKUP(A1895,orders!A:D,4,0))</f>
        <v>2015</v>
      </c>
      <c r="H1895">
        <f>MONTH(INDEX(orders!D:D,MATCH(A1895, orders!A:A,0)))</f>
        <v>3</v>
      </c>
      <c r="I1895" t="str">
        <f>VLOOKUP(VLOOKUP(B1895,products!A:F,6,0),categories!A:B,2,0)</f>
        <v>Beverages</v>
      </c>
      <c r="J1895" t="str">
        <f>VLOOKUP(VLOOKUP(A1895,orders!A:B,2,0),customers!A:F,6,0)</f>
        <v>Brazil</v>
      </c>
      <c r="K1895" t="str">
        <f>VLOOKUP(VLOOKUP(A1895,orders!A:C,3,0),employees!A:B,2,0)</f>
        <v>Nancy Davolio</v>
      </c>
    </row>
    <row r="1896" spans="1:11" x14ac:dyDescent="0.25">
      <c r="A1896">
        <v>10982</v>
      </c>
      <c r="B1896">
        <v>7</v>
      </c>
      <c r="C1896">
        <v>30</v>
      </c>
      <c r="D1896">
        <v>20</v>
      </c>
      <c r="E1896">
        <v>0</v>
      </c>
      <c r="F1896">
        <f t="shared" si="29"/>
        <v>600</v>
      </c>
      <c r="G1896">
        <f>YEAR(VLOOKUP(A1896,orders!A:D,4,0))</f>
        <v>2015</v>
      </c>
      <c r="H1896">
        <f>MONTH(INDEX(orders!D:D,MATCH(A1896, orders!A:A,0)))</f>
        <v>3</v>
      </c>
      <c r="I1896" t="str">
        <f>VLOOKUP(VLOOKUP(B1896,products!A:F,6,0),categories!A:B,2,0)</f>
        <v>Produce</v>
      </c>
      <c r="J1896" t="str">
        <f>VLOOKUP(VLOOKUP(A1896,orders!A:B,2,0),customers!A:F,6,0)</f>
        <v>Canada</v>
      </c>
      <c r="K1896" t="str">
        <f>VLOOKUP(VLOOKUP(A1896,orders!A:C,3,0),employees!A:B,2,0)</f>
        <v>Andrew Fuller</v>
      </c>
    </row>
    <row r="1897" spans="1:11" x14ac:dyDescent="0.25">
      <c r="A1897">
        <v>10982</v>
      </c>
      <c r="B1897">
        <v>43</v>
      </c>
      <c r="C1897">
        <v>46</v>
      </c>
      <c r="D1897">
        <v>9</v>
      </c>
      <c r="E1897">
        <v>0</v>
      </c>
      <c r="F1897">
        <f t="shared" si="29"/>
        <v>414</v>
      </c>
      <c r="G1897">
        <f>YEAR(VLOOKUP(A1897,orders!A:D,4,0))</f>
        <v>2015</v>
      </c>
      <c r="H1897">
        <f>MONTH(INDEX(orders!D:D,MATCH(A1897, orders!A:A,0)))</f>
        <v>3</v>
      </c>
      <c r="I1897" t="str">
        <f>VLOOKUP(VLOOKUP(B1897,products!A:F,6,0),categories!A:B,2,0)</f>
        <v>Beverages</v>
      </c>
      <c r="J1897" t="str">
        <f>VLOOKUP(VLOOKUP(A1897,orders!A:B,2,0),customers!A:F,6,0)</f>
        <v>Canada</v>
      </c>
      <c r="K1897" t="str">
        <f>VLOOKUP(VLOOKUP(A1897,orders!A:C,3,0),employees!A:B,2,0)</f>
        <v>Andrew Fuller</v>
      </c>
    </row>
    <row r="1898" spans="1:11" x14ac:dyDescent="0.25">
      <c r="A1898">
        <v>10983</v>
      </c>
      <c r="B1898">
        <v>13</v>
      </c>
      <c r="C1898">
        <v>6</v>
      </c>
      <c r="D1898">
        <v>84</v>
      </c>
      <c r="E1898">
        <v>0.15</v>
      </c>
      <c r="F1898">
        <f t="shared" si="29"/>
        <v>428.4</v>
      </c>
      <c r="G1898">
        <f>YEAR(VLOOKUP(A1898,orders!A:D,4,0))</f>
        <v>2015</v>
      </c>
      <c r="H1898">
        <f>MONTH(INDEX(orders!D:D,MATCH(A1898, orders!A:A,0)))</f>
        <v>3</v>
      </c>
      <c r="I1898" t="str">
        <f>VLOOKUP(VLOOKUP(B1898,products!A:F,6,0),categories!A:B,2,0)</f>
        <v>Seafood</v>
      </c>
      <c r="J1898" t="str">
        <f>VLOOKUP(VLOOKUP(A1898,orders!A:B,2,0),customers!A:F,6,0)</f>
        <v>USA</v>
      </c>
      <c r="K1898" t="str">
        <f>VLOOKUP(VLOOKUP(A1898,orders!A:C,3,0),employees!A:B,2,0)</f>
        <v>Andrew Fuller</v>
      </c>
    </row>
    <row r="1899" spans="1:11" x14ac:dyDescent="0.25">
      <c r="A1899">
        <v>10983</v>
      </c>
      <c r="B1899">
        <v>57</v>
      </c>
      <c r="C1899">
        <v>19.5</v>
      </c>
      <c r="D1899">
        <v>15</v>
      </c>
      <c r="E1899">
        <v>0</v>
      </c>
      <c r="F1899">
        <f t="shared" si="29"/>
        <v>292.5</v>
      </c>
      <c r="G1899">
        <f>YEAR(VLOOKUP(A1899,orders!A:D,4,0))</f>
        <v>2015</v>
      </c>
      <c r="H1899">
        <f>MONTH(INDEX(orders!D:D,MATCH(A1899, orders!A:A,0)))</f>
        <v>3</v>
      </c>
      <c r="I1899" t="str">
        <f>VLOOKUP(VLOOKUP(B1899,products!A:F,6,0),categories!A:B,2,0)</f>
        <v>Grains &amp; Cereals</v>
      </c>
      <c r="J1899" t="str">
        <f>VLOOKUP(VLOOKUP(A1899,orders!A:B,2,0),customers!A:F,6,0)</f>
        <v>USA</v>
      </c>
      <c r="K1899" t="str">
        <f>VLOOKUP(VLOOKUP(A1899,orders!A:C,3,0),employees!A:B,2,0)</f>
        <v>Andrew Fuller</v>
      </c>
    </row>
    <row r="1900" spans="1:11" x14ac:dyDescent="0.25">
      <c r="A1900">
        <v>10984</v>
      </c>
      <c r="B1900">
        <v>16</v>
      </c>
      <c r="C1900">
        <v>17.45</v>
      </c>
      <c r="D1900">
        <v>55</v>
      </c>
      <c r="E1900">
        <v>0</v>
      </c>
      <c r="F1900">
        <f t="shared" si="29"/>
        <v>959.75</v>
      </c>
      <c r="G1900">
        <f>YEAR(VLOOKUP(A1900,orders!A:D,4,0))</f>
        <v>2015</v>
      </c>
      <c r="H1900">
        <f>MONTH(INDEX(orders!D:D,MATCH(A1900, orders!A:A,0)))</f>
        <v>3</v>
      </c>
      <c r="I1900" t="str">
        <f>VLOOKUP(VLOOKUP(B1900,products!A:F,6,0),categories!A:B,2,0)</f>
        <v>Confections</v>
      </c>
      <c r="J1900" t="str">
        <f>VLOOKUP(VLOOKUP(A1900,orders!A:B,2,0),customers!A:F,6,0)</f>
        <v>USA</v>
      </c>
      <c r="K1900" t="str">
        <f>VLOOKUP(VLOOKUP(A1900,orders!A:C,3,0),employees!A:B,2,0)</f>
        <v>Nancy Davolio</v>
      </c>
    </row>
    <row r="1901" spans="1:11" x14ac:dyDescent="0.25">
      <c r="A1901">
        <v>10984</v>
      </c>
      <c r="B1901">
        <v>24</v>
      </c>
      <c r="C1901">
        <v>4.5</v>
      </c>
      <c r="D1901">
        <v>20</v>
      </c>
      <c r="E1901">
        <v>0</v>
      </c>
      <c r="F1901">
        <f t="shared" si="29"/>
        <v>90</v>
      </c>
      <c r="G1901">
        <f>YEAR(VLOOKUP(A1901,orders!A:D,4,0))</f>
        <v>2015</v>
      </c>
      <c r="H1901">
        <f>MONTH(INDEX(orders!D:D,MATCH(A1901, orders!A:A,0)))</f>
        <v>3</v>
      </c>
      <c r="I1901" t="str">
        <f>VLOOKUP(VLOOKUP(B1901,products!A:F,6,0),categories!A:B,2,0)</f>
        <v>Beverages</v>
      </c>
      <c r="J1901" t="str">
        <f>VLOOKUP(VLOOKUP(A1901,orders!A:B,2,0),customers!A:F,6,0)</f>
        <v>USA</v>
      </c>
      <c r="K1901" t="str">
        <f>VLOOKUP(VLOOKUP(A1901,orders!A:C,3,0),employees!A:B,2,0)</f>
        <v>Nancy Davolio</v>
      </c>
    </row>
    <row r="1902" spans="1:11" x14ac:dyDescent="0.25">
      <c r="A1902">
        <v>10984</v>
      </c>
      <c r="B1902">
        <v>36</v>
      </c>
      <c r="C1902">
        <v>19</v>
      </c>
      <c r="D1902">
        <v>40</v>
      </c>
      <c r="E1902">
        <v>0</v>
      </c>
      <c r="F1902">
        <f t="shared" si="29"/>
        <v>760</v>
      </c>
      <c r="G1902">
        <f>YEAR(VLOOKUP(A1902,orders!A:D,4,0))</f>
        <v>2015</v>
      </c>
      <c r="H1902">
        <f>MONTH(INDEX(orders!D:D,MATCH(A1902, orders!A:A,0)))</f>
        <v>3</v>
      </c>
      <c r="I1902" t="str">
        <f>VLOOKUP(VLOOKUP(B1902,products!A:F,6,0),categories!A:B,2,0)</f>
        <v>Seafood</v>
      </c>
      <c r="J1902" t="str">
        <f>VLOOKUP(VLOOKUP(A1902,orders!A:B,2,0),customers!A:F,6,0)</f>
        <v>USA</v>
      </c>
      <c r="K1902" t="str">
        <f>VLOOKUP(VLOOKUP(A1902,orders!A:C,3,0),employees!A:B,2,0)</f>
        <v>Nancy Davolio</v>
      </c>
    </row>
    <row r="1903" spans="1:11" x14ac:dyDescent="0.25">
      <c r="A1903">
        <v>10985</v>
      </c>
      <c r="B1903">
        <v>16</v>
      </c>
      <c r="C1903">
        <v>17.45</v>
      </c>
      <c r="D1903">
        <v>36</v>
      </c>
      <c r="E1903">
        <v>0.1</v>
      </c>
      <c r="F1903">
        <f t="shared" si="29"/>
        <v>565.38</v>
      </c>
      <c r="G1903">
        <f>YEAR(VLOOKUP(A1903,orders!A:D,4,0))</f>
        <v>2015</v>
      </c>
      <c r="H1903">
        <f>MONTH(INDEX(orders!D:D,MATCH(A1903, orders!A:A,0)))</f>
        <v>3</v>
      </c>
      <c r="I1903" t="str">
        <f>VLOOKUP(VLOOKUP(B1903,products!A:F,6,0),categories!A:B,2,0)</f>
        <v>Confections</v>
      </c>
      <c r="J1903" t="str">
        <f>VLOOKUP(VLOOKUP(A1903,orders!A:B,2,0),customers!A:F,6,0)</f>
        <v>Ireland</v>
      </c>
      <c r="K1903" t="str">
        <f>VLOOKUP(VLOOKUP(A1903,orders!A:C,3,0),employees!A:B,2,0)</f>
        <v>Andrew Fuller</v>
      </c>
    </row>
    <row r="1904" spans="1:11" x14ac:dyDescent="0.25">
      <c r="A1904">
        <v>10985</v>
      </c>
      <c r="B1904">
        <v>18</v>
      </c>
      <c r="C1904">
        <v>62.5</v>
      </c>
      <c r="D1904">
        <v>8</v>
      </c>
      <c r="E1904">
        <v>0.1</v>
      </c>
      <c r="F1904">
        <f t="shared" si="29"/>
        <v>450</v>
      </c>
      <c r="G1904">
        <f>YEAR(VLOOKUP(A1904,orders!A:D,4,0))</f>
        <v>2015</v>
      </c>
      <c r="H1904">
        <f>MONTH(INDEX(orders!D:D,MATCH(A1904, orders!A:A,0)))</f>
        <v>3</v>
      </c>
      <c r="I1904" t="str">
        <f>VLOOKUP(VLOOKUP(B1904,products!A:F,6,0),categories!A:B,2,0)</f>
        <v>Seafood</v>
      </c>
      <c r="J1904" t="str">
        <f>VLOOKUP(VLOOKUP(A1904,orders!A:B,2,0),customers!A:F,6,0)</f>
        <v>Ireland</v>
      </c>
      <c r="K1904" t="str">
        <f>VLOOKUP(VLOOKUP(A1904,orders!A:C,3,0),employees!A:B,2,0)</f>
        <v>Andrew Fuller</v>
      </c>
    </row>
    <row r="1905" spans="1:11" x14ac:dyDescent="0.25">
      <c r="A1905">
        <v>10985</v>
      </c>
      <c r="B1905">
        <v>32</v>
      </c>
      <c r="C1905">
        <v>32</v>
      </c>
      <c r="D1905">
        <v>35</v>
      </c>
      <c r="E1905">
        <v>0.1</v>
      </c>
      <c r="F1905">
        <f t="shared" si="29"/>
        <v>1008</v>
      </c>
      <c r="G1905">
        <f>YEAR(VLOOKUP(A1905,orders!A:D,4,0))</f>
        <v>2015</v>
      </c>
      <c r="H1905">
        <f>MONTH(INDEX(orders!D:D,MATCH(A1905, orders!A:A,0)))</f>
        <v>3</v>
      </c>
      <c r="I1905" t="str">
        <f>VLOOKUP(VLOOKUP(B1905,products!A:F,6,0),categories!A:B,2,0)</f>
        <v>Dairy Products</v>
      </c>
      <c r="J1905" t="str">
        <f>VLOOKUP(VLOOKUP(A1905,orders!A:B,2,0),customers!A:F,6,0)</f>
        <v>Ireland</v>
      </c>
      <c r="K1905" t="str">
        <f>VLOOKUP(VLOOKUP(A1905,orders!A:C,3,0),employees!A:B,2,0)</f>
        <v>Andrew Fuller</v>
      </c>
    </row>
    <row r="1906" spans="1:11" x14ac:dyDescent="0.25">
      <c r="A1906">
        <v>10986</v>
      </c>
      <c r="B1906">
        <v>11</v>
      </c>
      <c r="C1906">
        <v>21</v>
      </c>
      <c r="D1906">
        <v>30</v>
      </c>
      <c r="E1906">
        <v>0</v>
      </c>
      <c r="F1906">
        <f t="shared" si="29"/>
        <v>630</v>
      </c>
      <c r="G1906">
        <f>YEAR(VLOOKUP(A1906,orders!A:D,4,0))</f>
        <v>2015</v>
      </c>
      <c r="H1906">
        <f>MONTH(INDEX(orders!D:D,MATCH(A1906, orders!A:A,0)))</f>
        <v>3</v>
      </c>
      <c r="I1906" t="str">
        <f>VLOOKUP(VLOOKUP(B1906,products!A:F,6,0),categories!A:B,2,0)</f>
        <v>Dairy Products</v>
      </c>
      <c r="J1906" t="str">
        <f>VLOOKUP(VLOOKUP(A1906,orders!A:B,2,0),customers!A:F,6,0)</f>
        <v>Argentina</v>
      </c>
      <c r="K1906" t="str">
        <f>VLOOKUP(VLOOKUP(A1906,orders!A:C,3,0),employees!A:B,2,0)</f>
        <v>Laura Callahan</v>
      </c>
    </row>
    <row r="1907" spans="1:11" x14ac:dyDescent="0.25">
      <c r="A1907">
        <v>10986</v>
      </c>
      <c r="B1907">
        <v>20</v>
      </c>
      <c r="C1907">
        <v>81</v>
      </c>
      <c r="D1907">
        <v>15</v>
      </c>
      <c r="E1907">
        <v>0</v>
      </c>
      <c r="F1907">
        <f t="shared" si="29"/>
        <v>1215</v>
      </c>
      <c r="G1907">
        <f>YEAR(VLOOKUP(A1907,orders!A:D,4,0))</f>
        <v>2015</v>
      </c>
      <c r="H1907">
        <f>MONTH(INDEX(orders!D:D,MATCH(A1907, orders!A:A,0)))</f>
        <v>3</v>
      </c>
      <c r="I1907" t="str">
        <f>VLOOKUP(VLOOKUP(B1907,products!A:F,6,0),categories!A:B,2,0)</f>
        <v>Confections</v>
      </c>
      <c r="J1907" t="str">
        <f>VLOOKUP(VLOOKUP(A1907,orders!A:B,2,0),customers!A:F,6,0)</f>
        <v>Argentina</v>
      </c>
      <c r="K1907" t="str">
        <f>VLOOKUP(VLOOKUP(A1907,orders!A:C,3,0),employees!A:B,2,0)</f>
        <v>Laura Callahan</v>
      </c>
    </row>
    <row r="1908" spans="1:11" x14ac:dyDescent="0.25">
      <c r="A1908">
        <v>10986</v>
      </c>
      <c r="B1908">
        <v>76</v>
      </c>
      <c r="C1908">
        <v>18</v>
      </c>
      <c r="D1908">
        <v>10</v>
      </c>
      <c r="E1908">
        <v>0</v>
      </c>
      <c r="F1908">
        <f t="shared" si="29"/>
        <v>180</v>
      </c>
      <c r="G1908">
        <f>YEAR(VLOOKUP(A1908,orders!A:D,4,0))</f>
        <v>2015</v>
      </c>
      <c r="H1908">
        <f>MONTH(INDEX(orders!D:D,MATCH(A1908, orders!A:A,0)))</f>
        <v>3</v>
      </c>
      <c r="I1908" t="str">
        <f>VLOOKUP(VLOOKUP(B1908,products!A:F,6,0),categories!A:B,2,0)</f>
        <v>Beverages</v>
      </c>
      <c r="J1908" t="str">
        <f>VLOOKUP(VLOOKUP(A1908,orders!A:B,2,0),customers!A:F,6,0)</f>
        <v>Argentina</v>
      </c>
      <c r="K1908" t="str">
        <f>VLOOKUP(VLOOKUP(A1908,orders!A:C,3,0),employees!A:B,2,0)</f>
        <v>Laura Callahan</v>
      </c>
    </row>
    <row r="1909" spans="1:11" x14ac:dyDescent="0.25">
      <c r="A1909">
        <v>10986</v>
      </c>
      <c r="B1909">
        <v>77</v>
      </c>
      <c r="C1909">
        <v>13</v>
      </c>
      <c r="D1909">
        <v>15</v>
      </c>
      <c r="E1909">
        <v>0</v>
      </c>
      <c r="F1909">
        <f t="shared" si="29"/>
        <v>195</v>
      </c>
      <c r="G1909">
        <f>YEAR(VLOOKUP(A1909,orders!A:D,4,0))</f>
        <v>2015</v>
      </c>
      <c r="H1909">
        <f>MONTH(INDEX(orders!D:D,MATCH(A1909, orders!A:A,0)))</f>
        <v>3</v>
      </c>
      <c r="I1909" t="str">
        <f>VLOOKUP(VLOOKUP(B1909,products!A:F,6,0),categories!A:B,2,0)</f>
        <v>Condiments</v>
      </c>
      <c r="J1909" t="str">
        <f>VLOOKUP(VLOOKUP(A1909,orders!A:B,2,0),customers!A:F,6,0)</f>
        <v>Argentina</v>
      </c>
      <c r="K1909" t="str">
        <f>VLOOKUP(VLOOKUP(A1909,orders!A:C,3,0),employees!A:B,2,0)</f>
        <v>Laura Callahan</v>
      </c>
    </row>
    <row r="1910" spans="1:11" x14ac:dyDescent="0.25">
      <c r="A1910">
        <v>10987</v>
      </c>
      <c r="B1910">
        <v>7</v>
      </c>
      <c r="C1910">
        <v>30</v>
      </c>
      <c r="D1910">
        <v>60</v>
      </c>
      <c r="E1910">
        <v>0</v>
      </c>
      <c r="F1910">
        <f t="shared" si="29"/>
        <v>1800</v>
      </c>
      <c r="G1910">
        <f>YEAR(VLOOKUP(A1910,orders!A:D,4,0))</f>
        <v>2015</v>
      </c>
      <c r="H1910">
        <f>MONTH(INDEX(orders!D:D,MATCH(A1910, orders!A:A,0)))</f>
        <v>3</v>
      </c>
      <c r="I1910" t="str">
        <f>VLOOKUP(VLOOKUP(B1910,products!A:F,6,0),categories!A:B,2,0)</f>
        <v>Produce</v>
      </c>
      <c r="J1910" t="str">
        <f>VLOOKUP(VLOOKUP(A1910,orders!A:B,2,0),customers!A:F,6,0)</f>
        <v>UK</v>
      </c>
      <c r="K1910" t="str">
        <f>VLOOKUP(VLOOKUP(A1910,orders!A:C,3,0),employees!A:B,2,0)</f>
        <v>Laura Callahan</v>
      </c>
    </row>
    <row r="1911" spans="1:11" x14ac:dyDescent="0.25">
      <c r="A1911">
        <v>10987</v>
      </c>
      <c r="B1911">
        <v>43</v>
      </c>
      <c r="C1911">
        <v>46</v>
      </c>
      <c r="D1911">
        <v>6</v>
      </c>
      <c r="E1911">
        <v>0</v>
      </c>
      <c r="F1911">
        <f t="shared" si="29"/>
        <v>276</v>
      </c>
      <c r="G1911">
        <f>YEAR(VLOOKUP(A1911,orders!A:D,4,0))</f>
        <v>2015</v>
      </c>
      <c r="H1911">
        <f>MONTH(INDEX(orders!D:D,MATCH(A1911, orders!A:A,0)))</f>
        <v>3</v>
      </c>
      <c r="I1911" t="str">
        <f>VLOOKUP(VLOOKUP(B1911,products!A:F,6,0),categories!A:B,2,0)</f>
        <v>Beverages</v>
      </c>
      <c r="J1911" t="str">
        <f>VLOOKUP(VLOOKUP(A1911,orders!A:B,2,0),customers!A:F,6,0)</f>
        <v>UK</v>
      </c>
      <c r="K1911" t="str">
        <f>VLOOKUP(VLOOKUP(A1911,orders!A:C,3,0),employees!A:B,2,0)</f>
        <v>Laura Callahan</v>
      </c>
    </row>
    <row r="1912" spans="1:11" x14ac:dyDescent="0.25">
      <c r="A1912">
        <v>10987</v>
      </c>
      <c r="B1912">
        <v>72</v>
      </c>
      <c r="C1912">
        <v>34.799999999999997</v>
      </c>
      <c r="D1912">
        <v>20</v>
      </c>
      <c r="E1912">
        <v>0</v>
      </c>
      <c r="F1912">
        <f t="shared" si="29"/>
        <v>696</v>
      </c>
      <c r="G1912">
        <f>YEAR(VLOOKUP(A1912,orders!A:D,4,0))</f>
        <v>2015</v>
      </c>
      <c r="H1912">
        <f>MONTH(INDEX(orders!D:D,MATCH(A1912, orders!A:A,0)))</f>
        <v>3</v>
      </c>
      <c r="I1912" t="str">
        <f>VLOOKUP(VLOOKUP(B1912,products!A:F,6,0),categories!A:B,2,0)</f>
        <v>Dairy Products</v>
      </c>
      <c r="J1912" t="str">
        <f>VLOOKUP(VLOOKUP(A1912,orders!A:B,2,0),customers!A:F,6,0)</f>
        <v>UK</v>
      </c>
      <c r="K1912" t="str">
        <f>VLOOKUP(VLOOKUP(A1912,orders!A:C,3,0),employees!A:B,2,0)</f>
        <v>Laura Callahan</v>
      </c>
    </row>
    <row r="1913" spans="1:11" x14ac:dyDescent="0.25">
      <c r="A1913">
        <v>10988</v>
      </c>
      <c r="B1913">
        <v>7</v>
      </c>
      <c r="C1913">
        <v>30</v>
      </c>
      <c r="D1913">
        <v>60</v>
      </c>
      <c r="E1913">
        <v>0</v>
      </c>
      <c r="F1913">
        <f t="shared" si="29"/>
        <v>1800</v>
      </c>
      <c r="G1913">
        <f>YEAR(VLOOKUP(A1913,orders!A:D,4,0))</f>
        <v>2015</v>
      </c>
      <c r="H1913">
        <f>MONTH(INDEX(orders!D:D,MATCH(A1913, orders!A:A,0)))</f>
        <v>3</v>
      </c>
      <c r="I1913" t="str">
        <f>VLOOKUP(VLOOKUP(B1913,products!A:F,6,0),categories!A:B,2,0)</f>
        <v>Produce</v>
      </c>
      <c r="J1913" t="str">
        <f>VLOOKUP(VLOOKUP(A1913,orders!A:B,2,0),customers!A:F,6,0)</f>
        <v>USA</v>
      </c>
      <c r="K1913" t="str">
        <f>VLOOKUP(VLOOKUP(A1913,orders!A:C,3,0),employees!A:B,2,0)</f>
        <v>Janet Leverling</v>
      </c>
    </row>
    <row r="1914" spans="1:11" x14ac:dyDescent="0.25">
      <c r="A1914">
        <v>10988</v>
      </c>
      <c r="B1914">
        <v>62</v>
      </c>
      <c r="C1914">
        <v>49.3</v>
      </c>
      <c r="D1914">
        <v>40</v>
      </c>
      <c r="E1914">
        <v>0.1</v>
      </c>
      <c r="F1914">
        <f t="shared" si="29"/>
        <v>1774.8</v>
      </c>
      <c r="G1914">
        <f>YEAR(VLOOKUP(A1914,orders!A:D,4,0))</f>
        <v>2015</v>
      </c>
      <c r="H1914">
        <f>MONTH(INDEX(orders!D:D,MATCH(A1914, orders!A:A,0)))</f>
        <v>3</v>
      </c>
      <c r="I1914" t="str">
        <f>VLOOKUP(VLOOKUP(B1914,products!A:F,6,0),categories!A:B,2,0)</f>
        <v>Confections</v>
      </c>
      <c r="J1914" t="str">
        <f>VLOOKUP(VLOOKUP(A1914,orders!A:B,2,0),customers!A:F,6,0)</f>
        <v>USA</v>
      </c>
      <c r="K1914" t="str">
        <f>VLOOKUP(VLOOKUP(A1914,orders!A:C,3,0),employees!A:B,2,0)</f>
        <v>Janet Leverling</v>
      </c>
    </row>
    <row r="1915" spans="1:11" x14ac:dyDescent="0.25">
      <c r="A1915">
        <v>10989</v>
      </c>
      <c r="B1915">
        <v>6</v>
      </c>
      <c r="C1915">
        <v>25</v>
      </c>
      <c r="D1915">
        <v>40</v>
      </c>
      <c r="E1915">
        <v>0</v>
      </c>
      <c r="F1915">
        <f t="shared" si="29"/>
        <v>1000</v>
      </c>
      <c r="G1915">
        <f>YEAR(VLOOKUP(A1915,orders!A:D,4,0))</f>
        <v>2015</v>
      </c>
      <c r="H1915">
        <f>MONTH(INDEX(orders!D:D,MATCH(A1915, orders!A:A,0)))</f>
        <v>3</v>
      </c>
      <c r="I1915" t="str">
        <f>VLOOKUP(VLOOKUP(B1915,products!A:F,6,0),categories!A:B,2,0)</f>
        <v>Condiments</v>
      </c>
      <c r="J1915" t="str">
        <f>VLOOKUP(VLOOKUP(A1915,orders!A:B,2,0),customers!A:F,6,0)</f>
        <v>Brazil</v>
      </c>
      <c r="K1915" t="str">
        <f>VLOOKUP(VLOOKUP(A1915,orders!A:C,3,0),employees!A:B,2,0)</f>
        <v>Andrew Fuller</v>
      </c>
    </row>
    <row r="1916" spans="1:11" x14ac:dyDescent="0.25">
      <c r="A1916">
        <v>10989</v>
      </c>
      <c r="B1916">
        <v>11</v>
      </c>
      <c r="C1916">
        <v>21</v>
      </c>
      <c r="D1916">
        <v>15</v>
      </c>
      <c r="E1916">
        <v>0</v>
      </c>
      <c r="F1916">
        <f t="shared" si="29"/>
        <v>315</v>
      </c>
      <c r="G1916">
        <f>YEAR(VLOOKUP(A1916,orders!A:D,4,0))</f>
        <v>2015</v>
      </c>
      <c r="H1916">
        <f>MONTH(INDEX(orders!D:D,MATCH(A1916, orders!A:A,0)))</f>
        <v>3</v>
      </c>
      <c r="I1916" t="str">
        <f>VLOOKUP(VLOOKUP(B1916,products!A:F,6,0),categories!A:B,2,0)</f>
        <v>Dairy Products</v>
      </c>
      <c r="J1916" t="str">
        <f>VLOOKUP(VLOOKUP(A1916,orders!A:B,2,0),customers!A:F,6,0)</f>
        <v>Brazil</v>
      </c>
      <c r="K1916" t="str">
        <f>VLOOKUP(VLOOKUP(A1916,orders!A:C,3,0),employees!A:B,2,0)</f>
        <v>Andrew Fuller</v>
      </c>
    </row>
    <row r="1917" spans="1:11" x14ac:dyDescent="0.25">
      <c r="A1917">
        <v>10989</v>
      </c>
      <c r="B1917">
        <v>41</v>
      </c>
      <c r="C1917">
        <v>9.65</v>
      </c>
      <c r="D1917">
        <v>4</v>
      </c>
      <c r="E1917">
        <v>0</v>
      </c>
      <c r="F1917">
        <f t="shared" si="29"/>
        <v>38.6</v>
      </c>
      <c r="G1917">
        <f>YEAR(VLOOKUP(A1917,orders!A:D,4,0))</f>
        <v>2015</v>
      </c>
      <c r="H1917">
        <f>MONTH(INDEX(orders!D:D,MATCH(A1917, orders!A:A,0)))</f>
        <v>3</v>
      </c>
      <c r="I1917" t="str">
        <f>VLOOKUP(VLOOKUP(B1917,products!A:F,6,0),categories!A:B,2,0)</f>
        <v>Seafood</v>
      </c>
      <c r="J1917" t="str">
        <f>VLOOKUP(VLOOKUP(A1917,orders!A:B,2,0),customers!A:F,6,0)</f>
        <v>Brazil</v>
      </c>
      <c r="K1917" t="str">
        <f>VLOOKUP(VLOOKUP(A1917,orders!A:C,3,0),employees!A:B,2,0)</f>
        <v>Andrew Fuller</v>
      </c>
    </row>
    <row r="1918" spans="1:11" x14ac:dyDescent="0.25">
      <c r="A1918">
        <v>10990</v>
      </c>
      <c r="B1918">
        <v>21</v>
      </c>
      <c r="C1918">
        <v>10</v>
      </c>
      <c r="D1918">
        <v>65</v>
      </c>
      <c r="E1918">
        <v>0</v>
      </c>
      <c r="F1918">
        <f t="shared" si="29"/>
        <v>650</v>
      </c>
      <c r="G1918">
        <f>YEAR(VLOOKUP(A1918,orders!A:D,4,0))</f>
        <v>2015</v>
      </c>
      <c r="H1918">
        <f>MONTH(INDEX(orders!D:D,MATCH(A1918, orders!A:A,0)))</f>
        <v>4</v>
      </c>
      <c r="I1918" t="str">
        <f>VLOOKUP(VLOOKUP(B1918,products!A:F,6,0),categories!A:B,2,0)</f>
        <v>Confections</v>
      </c>
      <c r="J1918" t="str">
        <f>VLOOKUP(VLOOKUP(A1918,orders!A:B,2,0),customers!A:F,6,0)</f>
        <v>Austria</v>
      </c>
      <c r="K1918" t="str">
        <f>VLOOKUP(VLOOKUP(A1918,orders!A:C,3,0),employees!A:B,2,0)</f>
        <v>Andrew Fuller</v>
      </c>
    </row>
    <row r="1919" spans="1:11" x14ac:dyDescent="0.25">
      <c r="A1919">
        <v>10990</v>
      </c>
      <c r="B1919">
        <v>34</v>
      </c>
      <c r="C1919">
        <v>14</v>
      </c>
      <c r="D1919">
        <v>60</v>
      </c>
      <c r="E1919">
        <v>0.15</v>
      </c>
      <c r="F1919">
        <f t="shared" si="29"/>
        <v>714</v>
      </c>
      <c r="G1919">
        <f>YEAR(VLOOKUP(A1919,orders!A:D,4,0))</f>
        <v>2015</v>
      </c>
      <c r="H1919">
        <f>MONTH(INDEX(orders!D:D,MATCH(A1919, orders!A:A,0)))</f>
        <v>4</v>
      </c>
      <c r="I1919" t="str">
        <f>VLOOKUP(VLOOKUP(B1919,products!A:F,6,0),categories!A:B,2,0)</f>
        <v>Beverages</v>
      </c>
      <c r="J1919" t="str">
        <f>VLOOKUP(VLOOKUP(A1919,orders!A:B,2,0),customers!A:F,6,0)</f>
        <v>Austria</v>
      </c>
      <c r="K1919" t="str">
        <f>VLOOKUP(VLOOKUP(A1919,orders!A:C,3,0),employees!A:B,2,0)</f>
        <v>Andrew Fuller</v>
      </c>
    </row>
    <row r="1920" spans="1:11" x14ac:dyDescent="0.25">
      <c r="A1920">
        <v>10990</v>
      </c>
      <c r="B1920">
        <v>55</v>
      </c>
      <c r="C1920">
        <v>24</v>
      </c>
      <c r="D1920">
        <v>65</v>
      </c>
      <c r="E1920">
        <v>0.15</v>
      </c>
      <c r="F1920">
        <f t="shared" si="29"/>
        <v>1326</v>
      </c>
      <c r="G1920">
        <f>YEAR(VLOOKUP(A1920,orders!A:D,4,0))</f>
        <v>2015</v>
      </c>
      <c r="H1920">
        <f>MONTH(INDEX(orders!D:D,MATCH(A1920, orders!A:A,0)))</f>
        <v>4</v>
      </c>
      <c r="I1920" t="str">
        <f>VLOOKUP(VLOOKUP(B1920,products!A:F,6,0),categories!A:B,2,0)</f>
        <v>Meat &amp; Poultry</v>
      </c>
      <c r="J1920" t="str">
        <f>VLOOKUP(VLOOKUP(A1920,orders!A:B,2,0),customers!A:F,6,0)</f>
        <v>Austria</v>
      </c>
      <c r="K1920" t="str">
        <f>VLOOKUP(VLOOKUP(A1920,orders!A:C,3,0),employees!A:B,2,0)</f>
        <v>Andrew Fuller</v>
      </c>
    </row>
    <row r="1921" spans="1:11" x14ac:dyDescent="0.25">
      <c r="A1921">
        <v>10990</v>
      </c>
      <c r="B1921">
        <v>61</v>
      </c>
      <c r="C1921">
        <v>28.5</v>
      </c>
      <c r="D1921">
        <v>66</v>
      </c>
      <c r="E1921">
        <v>0.15</v>
      </c>
      <c r="F1921">
        <f t="shared" si="29"/>
        <v>1598.85</v>
      </c>
      <c r="G1921">
        <f>YEAR(VLOOKUP(A1921,orders!A:D,4,0))</f>
        <v>2015</v>
      </c>
      <c r="H1921">
        <f>MONTH(INDEX(orders!D:D,MATCH(A1921, orders!A:A,0)))</f>
        <v>4</v>
      </c>
      <c r="I1921" t="str">
        <f>VLOOKUP(VLOOKUP(B1921,products!A:F,6,0),categories!A:B,2,0)</f>
        <v>Condiments</v>
      </c>
      <c r="J1921" t="str">
        <f>VLOOKUP(VLOOKUP(A1921,orders!A:B,2,0),customers!A:F,6,0)</f>
        <v>Austria</v>
      </c>
      <c r="K1921" t="str">
        <f>VLOOKUP(VLOOKUP(A1921,orders!A:C,3,0),employees!A:B,2,0)</f>
        <v>Andrew Fuller</v>
      </c>
    </row>
    <row r="1922" spans="1:11" x14ac:dyDescent="0.25">
      <c r="A1922">
        <v>10991</v>
      </c>
      <c r="B1922">
        <v>2</v>
      </c>
      <c r="C1922">
        <v>19</v>
      </c>
      <c r="D1922">
        <v>50</v>
      </c>
      <c r="E1922">
        <v>0.2</v>
      </c>
      <c r="F1922">
        <f t="shared" si="29"/>
        <v>760</v>
      </c>
      <c r="G1922">
        <f>YEAR(VLOOKUP(A1922,orders!A:D,4,0))</f>
        <v>2015</v>
      </c>
      <c r="H1922">
        <f>MONTH(INDEX(orders!D:D,MATCH(A1922, orders!A:A,0)))</f>
        <v>4</v>
      </c>
      <c r="I1922" t="str">
        <f>VLOOKUP(VLOOKUP(B1922,products!A:F,6,0),categories!A:B,2,0)</f>
        <v>Beverages</v>
      </c>
      <c r="J1922" t="str">
        <f>VLOOKUP(VLOOKUP(A1922,orders!A:B,2,0),customers!A:F,6,0)</f>
        <v>Germany</v>
      </c>
      <c r="K1922" t="str">
        <f>VLOOKUP(VLOOKUP(A1922,orders!A:C,3,0),employees!A:B,2,0)</f>
        <v>Nancy Davolio</v>
      </c>
    </row>
    <row r="1923" spans="1:11" x14ac:dyDescent="0.25">
      <c r="A1923">
        <v>10991</v>
      </c>
      <c r="B1923">
        <v>70</v>
      </c>
      <c r="C1923">
        <v>15</v>
      </c>
      <c r="D1923">
        <v>20</v>
      </c>
      <c r="E1923">
        <v>0.2</v>
      </c>
      <c r="F1923">
        <f t="shared" ref="F1923:F1986" si="30">C1923*D1923*(1-E1923)</f>
        <v>240</v>
      </c>
      <c r="G1923">
        <f>YEAR(VLOOKUP(A1923,orders!A:D,4,0))</f>
        <v>2015</v>
      </c>
      <c r="H1923">
        <f>MONTH(INDEX(orders!D:D,MATCH(A1923, orders!A:A,0)))</f>
        <v>4</v>
      </c>
      <c r="I1923" t="str">
        <f>VLOOKUP(VLOOKUP(B1923,products!A:F,6,0),categories!A:B,2,0)</f>
        <v>Beverages</v>
      </c>
      <c r="J1923" t="str">
        <f>VLOOKUP(VLOOKUP(A1923,orders!A:B,2,0),customers!A:F,6,0)</f>
        <v>Germany</v>
      </c>
      <c r="K1923" t="str">
        <f>VLOOKUP(VLOOKUP(A1923,orders!A:C,3,0),employees!A:B,2,0)</f>
        <v>Nancy Davolio</v>
      </c>
    </row>
    <row r="1924" spans="1:11" x14ac:dyDescent="0.25">
      <c r="A1924">
        <v>10991</v>
      </c>
      <c r="B1924">
        <v>76</v>
      </c>
      <c r="C1924">
        <v>18</v>
      </c>
      <c r="D1924">
        <v>90</v>
      </c>
      <c r="E1924">
        <v>0.2</v>
      </c>
      <c r="F1924">
        <f t="shared" si="30"/>
        <v>1296</v>
      </c>
      <c r="G1924">
        <f>YEAR(VLOOKUP(A1924,orders!A:D,4,0))</f>
        <v>2015</v>
      </c>
      <c r="H1924">
        <f>MONTH(INDEX(orders!D:D,MATCH(A1924, orders!A:A,0)))</f>
        <v>4</v>
      </c>
      <c r="I1924" t="str">
        <f>VLOOKUP(VLOOKUP(B1924,products!A:F,6,0),categories!A:B,2,0)</f>
        <v>Beverages</v>
      </c>
      <c r="J1924" t="str">
        <f>VLOOKUP(VLOOKUP(A1924,orders!A:B,2,0),customers!A:F,6,0)</f>
        <v>Germany</v>
      </c>
      <c r="K1924" t="str">
        <f>VLOOKUP(VLOOKUP(A1924,orders!A:C,3,0),employees!A:B,2,0)</f>
        <v>Nancy Davolio</v>
      </c>
    </row>
    <row r="1925" spans="1:11" x14ac:dyDescent="0.25">
      <c r="A1925">
        <v>10992</v>
      </c>
      <c r="B1925">
        <v>72</v>
      </c>
      <c r="C1925">
        <v>34.799999999999997</v>
      </c>
      <c r="D1925">
        <v>2</v>
      </c>
      <c r="E1925">
        <v>0</v>
      </c>
      <c r="F1925">
        <f t="shared" si="30"/>
        <v>69.599999999999994</v>
      </c>
      <c r="G1925">
        <f>YEAR(VLOOKUP(A1925,orders!A:D,4,0))</f>
        <v>2015</v>
      </c>
      <c r="H1925">
        <f>MONTH(INDEX(orders!D:D,MATCH(A1925, orders!A:A,0)))</f>
        <v>4</v>
      </c>
      <c r="I1925" t="str">
        <f>VLOOKUP(VLOOKUP(B1925,products!A:F,6,0),categories!A:B,2,0)</f>
        <v>Dairy Products</v>
      </c>
      <c r="J1925" t="str">
        <f>VLOOKUP(VLOOKUP(A1925,orders!A:B,2,0),customers!A:F,6,0)</f>
        <v>USA</v>
      </c>
      <c r="K1925" t="str">
        <f>VLOOKUP(VLOOKUP(A1925,orders!A:C,3,0),employees!A:B,2,0)</f>
        <v>Nancy Davolio</v>
      </c>
    </row>
    <row r="1926" spans="1:11" x14ac:dyDescent="0.25">
      <c r="A1926">
        <v>10993</v>
      </c>
      <c r="B1926">
        <v>29</v>
      </c>
      <c r="C1926">
        <v>123.79</v>
      </c>
      <c r="D1926">
        <v>50</v>
      </c>
      <c r="E1926">
        <v>0.25</v>
      </c>
      <c r="F1926">
        <f t="shared" si="30"/>
        <v>4642.125</v>
      </c>
      <c r="G1926">
        <f>YEAR(VLOOKUP(A1926,orders!A:D,4,0))</f>
        <v>2015</v>
      </c>
      <c r="H1926">
        <f>MONTH(INDEX(orders!D:D,MATCH(A1926, orders!A:A,0)))</f>
        <v>4</v>
      </c>
      <c r="I1926" t="str">
        <f>VLOOKUP(VLOOKUP(B1926,products!A:F,6,0),categories!A:B,2,0)</f>
        <v>Meat &amp; Poultry</v>
      </c>
      <c r="J1926" t="str">
        <f>VLOOKUP(VLOOKUP(A1926,orders!A:B,2,0),customers!A:F,6,0)</f>
        <v>Sweden</v>
      </c>
      <c r="K1926" t="str">
        <f>VLOOKUP(VLOOKUP(A1926,orders!A:C,3,0),employees!A:B,2,0)</f>
        <v>Robert King</v>
      </c>
    </row>
    <row r="1927" spans="1:11" x14ac:dyDescent="0.25">
      <c r="A1927">
        <v>10993</v>
      </c>
      <c r="B1927">
        <v>41</v>
      </c>
      <c r="C1927">
        <v>9.65</v>
      </c>
      <c r="D1927">
        <v>35</v>
      </c>
      <c r="E1927">
        <v>0.25</v>
      </c>
      <c r="F1927">
        <f t="shared" si="30"/>
        <v>253.3125</v>
      </c>
      <c r="G1927">
        <f>YEAR(VLOOKUP(A1927,orders!A:D,4,0))</f>
        <v>2015</v>
      </c>
      <c r="H1927">
        <f>MONTH(INDEX(orders!D:D,MATCH(A1927, orders!A:A,0)))</f>
        <v>4</v>
      </c>
      <c r="I1927" t="str">
        <f>VLOOKUP(VLOOKUP(B1927,products!A:F,6,0),categories!A:B,2,0)</f>
        <v>Seafood</v>
      </c>
      <c r="J1927" t="str">
        <f>VLOOKUP(VLOOKUP(A1927,orders!A:B,2,0),customers!A:F,6,0)</f>
        <v>Sweden</v>
      </c>
      <c r="K1927" t="str">
        <f>VLOOKUP(VLOOKUP(A1927,orders!A:C,3,0),employees!A:B,2,0)</f>
        <v>Robert King</v>
      </c>
    </row>
    <row r="1928" spans="1:11" x14ac:dyDescent="0.25">
      <c r="A1928">
        <v>10994</v>
      </c>
      <c r="B1928">
        <v>59</v>
      </c>
      <c r="C1928">
        <v>55</v>
      </c>
      <c r="D1928">
        <v>18</v>
      </c>
      <c r="E1928">
        <v>0.05</v>
      </c>
      <c r="F1928">
        <f t="shared" si="30"/>
        <v>940.5</v>
      </c>
      <c r="G1928">
        <f>YEAR(VLOOKUP(A1928,orders!A:D,4,0))</f>
        <v>2015</v>
      </c>
      <c r="H1928">
        <f>MONTH(INDEX(orders!D:D,MATCH(A1928, orders!A:A,0)))</f>
        <v>4</v>
      </c>
      <c r="I1928" t="str">
        <f>VLOOKUP(VLOOKUP(B1928,products!A:F,6,0),categories!A:B,2,0)</f>
        <v>Dairy Products</v>
      </c>
      <c r="J1928" t="str">
        <f>VLOOKUP(VLOOKUP(A1928,orders!A:B,2,0),customers!A:F,6,0)</f>
        <v>Denmark</v>
      </c>
      <c r="K1928" t="str">
        <f>VLOOKUP(VLOOKUP(A1928,orders!A:C,3,0),employees!A:B,2,0)</f>
        <v>Andrew Fuller</v>
      </c>
    </row>
    <row r="1929" spans="1:11" x14ac:dyDescent="0.25">
      <c r="A1929">
        <v>10995</v>
      </c>
      <c r="B1929">
        <v>51</v>
      </c>
      <c r="C1929">
        <v>53</v>
      </c>
      <c r="D1929">
        <v>20</v>
      </c>
      <c r="E1929">
        <v>0</v>
      </c>
      <c r="F1929">
        <f t="shared" si="30"/>
        <v>1060</v>
      </c>
      <c r="G1929">
        <f>YEAR(VLOOKUP(A1929,orders!A:D,4,0))</f>
        <v>2015</v>
      </c>
      <c r="H1929">
        <f>MONTH(INDEX(orders!D:D,MATCH(A1929, orders!A:A,0)))</f>
        <v>4</v>
      </c>
      <c r="I1929" t="str">
        <f>VLOOKUP(VLOOKUP(B1929,products!A:F,6,0),categories!A:B,2,0)</f>
        <v>Produce</v>
      </c>
      <c r="J1929" t="str">
        <f>VLOOKUP(VLOOKUP(A1929,orders!A:B,2,0),customers!A:F,6,0)</f>
        <v>Mexico</v>
      </c>
      <c r="K1929" t="str">
        <f>VLOOKUP(VLOOKUP(A1929,orders!A:C,3,0),employees!A:B,2,0)</f>
        <v>Nancy Davolio</v>
      </c>
    </row>
    <row r="1930" spans="1:11" x14ac:dyDescent="0.25">
      <c r="A1930">
        <v>10995</v>
      </c>
      <c r="B1930">
        <v>60</v>
      </c>
      <c r="C1930">
        <v>34</v>
      </c>
      <c r="D1930">
        <v>4</v>
      </c>
      <c r="E1930">
        <v>0</v>
      </c>
      <c r="F1930">
        <f t="shared" si="30"/>
        <v>136</v>
      </c>
      <c r="G1930">
        <f>YEAR(VLOOKUP(A1930,orders!A:D,4,0))</f>
        <v>2015</v>
      </c>
      <c r="H1930">
        <f>MONTH(INDEX(orders!D:D,MATCH(A1930, orders!A:A,0)))</f>
        <v>4</v>
      </c>
      <c r="I1930" t="str">
        <f>VLOOKUP(VLOOKUP(B1930,products!A:F,6,0),categories!A:B,2,0)</f>
        <v>Dairy Products</v>
      </c>
      <c r="J1930" t="str">
        <f>VLOOKUP(VLOOKUP(A1930,orders!A:B,2,0),customers!A:F,6,0)</f>
        <v>Mexico</v>
      </c>
      <c r="K1930" t="str">
        <f>VLOOKUP(VLOOKUP(A1930,orders!A:C,3,0),employees!A:B,2,0)</f>
        <v>Nancy Davolio</v>
      </c>
    </row>
    <row r="1931" spans="1:11" x14ac:dyDescent="0.25">
      <c r="A1931">
        <v>10996</v>
      </c>
      <c r="B1931">
        <v>42</v>
      </c>
      <c r="C1931">
        <v>14</v>
      </c>
      <c r="D1931">
        <v>40</v>
      </c>
      <c r="E1931">
        <v>0</v>
      </c>
      <c r="F1931">
        <f t="shared" si="30"/>
        <v>560</v>
      </c>
      <c r="G1931">
        <f>YEAR(VLOOKUP(A1931,orders!A:D,4,0))</f>
        <v>2015</v>
      </c>
      <c r="H1931">
        <f>MONTH(INDEX(orders!D:D,MATCH(A1931, orders!A:A,0)))</f>
        <v>4</v>
      </c>
      <c r="I1931" t="str">
        <f>VLOOKUP(VLOOKUP(B1931,products!A:F,6,0),categories!A:B,2,0)</f>
        <v>Grains &amp; Cereals</v>
      </c>
      <c r="J1931" t="str">
        <f>VLOOKUP(VLOOKUP(A1931,orders!A:B,2,0),customers!A:F,6,0)</f>
        <v>Germany</v>
      </c>
      <c r="K1931" t="str">
        <f>VLOOKUP(VLOOKUP(A1931,orders!A:C,3,0),employees!A:B,2,0)</f>
        <v>Margaret Peacock</v>
      </c>
    </row>
    <row r="1932" spans="1:11" x14ac:dyDescent="0.25">
      <c r="A1932">
        <v>10997</v>
      </c>
      <c r="B1932">
        <v>32</v>
      </c>
      <c r="C1932">
        <v>32</v>
      </c>
      <c r="D1932">
        <v>50</v>
      </c>
      <c r="E1932">
        <v>0</v>
      </c>
      <c r="F1932">
        <f t="shared" si="30"/>
        <v>1600</v>
      </c>
      <c r="G1932">
        <f>YEAR(VLOOKUP(A1932,orders!A:D,4,0))</f>
        <v>2015</v>
      </c>
      <c r="H1932">
        <f>MONTH(INDEX(orders!D:D,MATCH(A1932, orders!A:A,0)))</f>
        <v>4</v>
      </c>
      <c r="I1932" t="str">
        <f>VLOOKUP(VLOOKUP(B1932,products!A:F,6,0),categories!A:B,2,0)</f>
        <v>Dairy Products</v>
      </c>
      <c r="J1932" t="str">
        <f>VLOOKUP(VLOOKUP(A1932,orders!A:B,2,0),customers!A:F,6,0)</f>
        <v>Venezuela</v>
      </c>
      <c r="K1932" t="str">
        <f>VLOOKUP(VLOOKUP(A1932,orders!A:C,3,0),employees!A:B,2,0)</f>
        <v>Laura Callahan</v>
      </c>
    </row>
    <row r="1933" spans="1:11" x14ac:dyDescent="0.25">
      <c r="A1933">
        <v>10997</v>
      </c>
      <c r="B1933">
        <v>46</v>
      </c>
      <c r="C1933">
        <v>12</v>
      </c>
      <c r="D1933">
        <v>20</v>
      </c>
      <c r="E1933">
        <v>0.25</v>
      </c>
      <c r="F1933">
        <f t="shared" si="30"/>
        <v>180</v>
      </c>
      <c r="G1933">
        <f>YEAR(VLOOKUP(A1933,orders!A:D,4,0))</f>
        <v>2015</v>
      </c>
      <c r="H1933">
        <f>MONTH(INDEX(orders!D:D,MATCH(A1933, orders!A:A,0)))</f>
        <v>4</v>
      </c>
      <c r="I1933" t="str">
        <f>VLOOKUP(VLOOKUP(B1933,products!A:F,6,0),categories!A:B,2,0)</f>
        <v>Seafood</v>
      </c>
      <c r="J1933" t="str">
        <f>VLOOKUP(VLOOKUP(A1933,orders!A:B,2,0),customers!A:F,6,0)</f>
        <v>Venezuela</v>
      </c>
      <c r="K1933" t="str">
        <f>VLOOKUP(VLOOKUP(A1933,orders!A:C,3,0),employees!A:B,2,0)</f>
        <v>Laura Callahan</v>
      </c>
    </row>
    <row r="1934" spans="1:11" x14ac:dyDescent="0.25">
      <c r="A1934">
        <v>10997</v>
      </c>
      <c r="B1934">
        <v>52</v>
      </c>
      <c r="C1934">
        <v>7</v>
      </c>
      <c r="D1934">
        <v>20</v>
      </c>
      <c r="E1934">
        <v>0.25</v>
      </c>
      <c r="F1934">
        <f t="shared" si="30"/>
        <v>105</v>
      </c>
      <c r="G1934">
        <f>YEAR(VLOOKUP(A1934,orders!A:D,4,0))</f>
        <v>2015</v>
      </c>
      <c r="H1934">
        <f>MONTH(INDEX(orders!D:D,MATCH(A1934, orders!A:A,0)))</f>
        <v>4</v>
      </c>
      <c r="I1934" t="str">
        <f>VLOOKUP(VLOOKUP(B1934,products!A:F,6,0),categories!A:B,2,0)</f>
        <v>Grains &amp; Cereals</v>
      </c>
      <c r="J1934" t="str">
        <f>VLOOKUP(VLOOKUP(A1934,orders!A:B,2,0),customers!A:F,6,0)</f>
        <v>Venezuela</v>
      </c>
      <c r="K1934" t="str">
        <f>VLOOKUP(VLOOKUP(A1934,orders!A:C,3,0),employees!A:B,2,0)</f>
        <v>Laura Callahan</v>
      </c>
    </row>
    <row r="1935" spans="1:11" x14ac:dyDescent="0.25">
      <c r="A1935">
        <v>10998</v>
      </c>
      <c r="B1935">
        <v>24</v>
      </c>
      <c r="C1935">
        <v>4.5</v>
      </c>
      <c r="D1935">
        <v>12</v>
      </c>
      <c r="E1935">
        <v>0</v>
      </c>
      <c r="F1935">
        <f t="shared" si="30"/>
        <v>54</v>
      </c>
      <c r="G1935">
        <f>YEAR(VLOOKUP(A1935,orders!A:D,4,0))</f>
        <v>2015</v>
      </c>
      <c r="H1935">
        <f>MONTH(INDEX(orders!D:D,MATCH(A1935, orders!A:A,0)))</f>
        <v>4</v>
      </c>
      <c r="I1935" t="str">
        <f>VLOOKUP(VLOOKUP(B1935,products!A:F,6,0),categories!A:B,2,0)</f>
        <v>Beverages</v>
      </c>
      <c r="J1935" t="str">
        <f>VLOOKUP(VLOOKUP(A1935,orders!A:B,2,0),customers!A:F,6,0)</f>
        <v>Poland</v>
      </c>
      <c r="K1935" t="str">
        <f>VLOOKUP(VLOOKUP(A1935,orders!A:C,3,0),employees!A:B,2,0)</f>
        <v>Laura Callahan</v>
      </c>
    </row>
    <row r="1936" spans="1:11" x14ac:dyDescent="0.25">
      <c r="A1936">
        <v>10998</v>
      </c>
      <c r="B1936">
        <v>61</v>
      </c>
      <c r="C1936">
        <v>28.5</v>
      </c>
      <c r="D1936">
        <v>7</v>
      </c>
      <c r="E1936">
        <v>0</v>
      </c>
      <c r="F1936">
        <f t="shared" si="30"/>
        <v>199.5</v>
      </c>
      <c r="G1936">
        <f>YEAR(VLOOKUP(A1936,orders!A:D,4,0))</f>
        <v>2015</v>
      </c>
      <c r="H1936">
        <f>MONTH(INDEX(orders!D:D,MATCH(A1936, orders!A:A,0)))</f>
        <v>4</v>
      </c>
      <c r="I1936" t="str">
        <f>VLOOKUP(VLOOKUP(B1936,products!A:F,6,0),categories!A:B,2,0)</f>
        <v>Condiments</v>
      </c>
      <c r="J1936" t="str">
        <f>VLOOKUP(VLOOKUP(A1936,orders!A:B,2,0),customers!A:F,6,0)</f>
        <v>Poland</v>
      </c>
      <c r="K1936" t="str">
        <f>VLOOKUP(VLOOKUP(A1936,orders!A:C,3,0),employees!A:B,2,0)</f>
        <v>Laura Callahan</v>
      </c>
    </row>
    <row r="1937" spans="1:11" x14ac:dyDescent="0.25">
      <c r="A1937">
        <v>10998</v>
      </c>
      <c r="B1937">
        <v>74</v>
      </c>
      <c r="C1937">
        <v>10</v>
      </c>
      <c r="D1937">
        <v>20</v>
      </c>
      <c r="E1937">
        <v>0</v>
      </c>
      <c r="F1937">
        <f t="shared" si="30"/>
        <v>200</v>
      </c>
      <c r="G1937">
        <f>YEAR(VLOOKUP(A1937,orders!A:D,4,0))</f>
        <v>2015</v>
      </c>
      <c r="H1937">
        <f>MONTH(INDEX(orders!D:D,MATCH(A1937, orders!A:A,0)))</f>
        <v>4</v>
      </c>
      <c r="I1937" t="str">
        <f>VLOOKUP(VLOOKUP(B1937,products!A:F,6,0),categories!A:B,2,0)</f>
        <v>Produce</v>
      </c>
      <c r="J1937" t="str">
        <f>VLOOKUP(VLOOKUP(A1937,orders!A:B,2,0),customers!A:F,6,0)</f>
        <v>Poland</v>
      </c>
      <c r="K1937" t="str">
        <f>VLOOKUP(VLOOKUP(A1937,orders!A:C,3,0),employees!A:B,2,0)</f>
        <v>Laura Callahan</v>
      </c>
    </row>
    <row r="1938" spans="1:11" x14ac:dyDescent="0.25">
      <c r="A1938">
        <v>10998</v>
      </c>
      <c r="B1938">
        <v>75</v>
      </c>
      <c r="C1938">
        <v>7.75</v>
      </c>
      <c r="D1938">
        <v>30</v>
      </c>
      <c r="E1938">
        <v>0</v>
      </c>
      <c r="F1938">
        <f t="shared" si="30"/>
        <v>232.5</v>
      </c>
      <c r="G1938">
        <f>YEAR(VLOOKUP(A1938,orders!A:D,4,0))</f>
        <v>2015</v>
      </c>
      <c r="H1938">
        <f>MONTH(INDEX(orders!D:D,MATCH(A1938, orders!A:A,0)))</f>
        <v>4</v>
      </c>
      <c r="I1938" t="str">
        <f>VLOOKUP(VLOOKUP(B1938,products!A:F,6,0),categories!A:B,2,0)</f>
        <v>Beverages</v>
      </c>
      <c r="J1938" t="str">
        <f>VLOOKUP(VLOOKUP(A1938,orders!A:B,2,0),customers!A:F,6,0)</f>
        <v>Poland</v>
      </c>
      <c r="K1938" t="str">
        <f>VLOOKUP(VLOOKUP(A1938,orders!A:C,3,0),employees!A:B,2,0)</f>
        <v>Laura Callahan</v>
      </c>
    </row>
    <row r="1939" spans="1:11" x14ac:dyDescent="0.25">
      <c r="A1939">
        <v>10999</v>
      </c>
      <c r="B1939">
        <v>41</v>
      </c>
      <c r="C1939">
        <v>9.65</v>
      </c>
      <c r="D1939">
        <v>20</v>
      </c>
      <c r="E1939">
        <v>0.05</v>
      </c>
      <c r="F1939">
        <f t="shared" si="30"/>
        <v>183.35</v>
      </c>
      <c r="G1939">
        <f>YEAR(VLOOKUP(A1939,orders!A:D,4,0))</f>
        <v>2015</v>
      </c>
      <c r="H1939">
        <f>MONTH(INDEX(orders!D:D,MATCH(A1939, orders!A:A,0)))</f>
        <v>4</v>
      </c>
      <c r="I1939" t="str">
        <f>VLOOKUP(VLOOKUP(B1939,products!A:F,6,0),categories!A:B,2,0)</f>
        <v>Seafood</v>
      </c>
      <c r="J1939" t="str">
        <f>VLOOKUP(VLOOKUP(A1939,orders!A:B,2,0),customers!A:F,6,0)</f>
        <v>Germany</v>
      </c>
      <c r="K1939" t="str">
        <f>VLOOKUP(VLOOKUP(A1939,orders!A:C,3,0),employees!A:B,2,0)</f>
        <v>Michael Suyama</v>
      </c>
    </row>
    <row r="1940" spans="1:11" x14ac:dyDescent="0.25">
      <c r="A1940">
        <v>10999</v>
      </c>
      <c r="B1940">
        <v>51</v>
      </c>
      <c r="C1940">
        <v>53</v>
      </c>
      <c r="D1940">
        <v>15</v>
      </c>
      <c r="E1940">
        <v>0.05</v>
      </c>
      <c r="F1940">
        <f t="shared" si="30"/>
        <v>755.25</v>
      </c>
      <c r="G1940">
        <f>YEAR(VLOOKUP(A1940,orders!A:D,4,0))</f>
        <v>2015</v>
      </c>
      <c r="H1940">
        <f>MONTH(INDEX(orders!D:D,MATCH(A1940, orders!A:A,0)))</f>
        <v>4</v>
      </c>
      <c r="I1940" t="str">
        <f>VLOOKUP(VLOOKUP(B1940,products!A:F,6,0),categories!A:B,2,0)</f>
        <v>Produce</v>
      </c>
      <c r="J1940" t="str">
        <f>VLOOKUP(VLOOKUP(A1940,orders!A:B,2,0),customers!A:F,6,0)</f>
        <v>Germany</v>
      </c>
      <c r="K1940" t="str">
        <f>VLOOKUP(VLOOKUP(A1940,orders!A:C,3,0),employees!A:B,2,0)</f>
        <v>Michael Suyama</v>
      </c>
    </row>
    <row r="1941" spans="1:11" x14ac:dyDescent="0.25">
      <c r="A1941">
        <v>10999</v>
      </c>
      <c r="B1941">
        <v>77</v>
      </c>
      <c r="C1941">
        <v>13</v>
      </c>
      <c r="D1941">
        <v>21</v>
      </c>
      <c r="E1941">
        <v>0.05</v>
      </c>
      <c r="F1941">
        <f t="shared" si="30"/>
        <v>259.34999999999997</v>
      </c>
      <c r="G1941">
        <f>YEAR(VLOOKUP(A1941,orders!A:D,4,0))</f>
        <v>2015</v>
      </c>
      <c r="H1941">
        <f>MONTH(INDEX(orders!D:D,MATCH(A1941, orders!A:A,0)))</f>
        <v>4</v>
      </c>
      <c r="I1941" t="str">
        <f>VLOOKUP(VLOOKUP(B1941,products!A:F,6,0),categories!A:B,2,0)</f>
        <v>Condiments</v>
      </c>
      <c r="J1941" t="str">
        <f>VLOOKUP(VLOOKUP(A1941,orders!A:B,2,0),customers!A:F,6,0)</f>
        <v>Germany</v>
      </c>
      <c r="K1941" t="str">
        <f>VLOOKUP(VLOOKUP(A1941,orders!A:C,3,0),employees!A:B,2,0)</f>
        <v>Michael Suyama</v>
      </c>
    </row>
    <row r="1942" spans="1:11" x14ac:dyDescent="0.25">
      <c r="A1942">
        <v>11000</v>
      </c>
      <c r="B1942">
        <v>4</v>
      </c>
      <c r="C1942">
        <v>22</v>
      </c>
      <c r="D1942">
        <v>25</v>
      </c>
      <c r="E1942">
        <v>0.25</v>
      </c>
      <c r="F1942">
        <f t="shared" si="30"/>
        <v>412.5</v>
      </c>
      <c r="G1942">
        <f>YEAR(VLOOKUP(A1942,orders!A:D,4,0))</f>
        <v>2015</v>
      </c>
      <c r="H1942">
        <f>MONTH(INDEX(orders!D:D,MATCH(A1942, orders!A:A,0)))</f>
        <v>4</v>
      </c>
      <c r="I1942" t="str">
        <f>VLOOKUP(VLOOKUP(B1942,products!A:F,6,0),categories!A:B,2,0)</f>
        <v>Condiments</v>
      </c>
      <c r="J1942" t="str">
        <f>VLOOKUP(VLOOKUP(A1942,orders!A:B,2,0),customers!A:F,6,0)</f>
        <v>USA</v>
      </c>
      <c r="K1942" t="str">
        <f>VLOOKUP(VLOOKUP(A1942,orders!A:C,3,0),employees!A:B,2,0)</f>
        <v>Andrew Fuller</v>
      </c>
    </row>
    <row r="1943" spans="1:11" x14ac:dyDescent="0.25">
      <c r="A1943">
        <v>11000</v>
      </c>
      <c r="B1943">
        <v>24</v>
      </c>
      <c r="C1943">
        <v>4.5</v>
      </c>
      <c r="D1943">
        <v>30</v>
      </c>
      <c r="E1943">
        <v>0.25</v>
      </c>
      <c r="F1943">
        <f t="shared" si="30"/>
        <v>101.25</v>
      </c>
      <c r="G1943">
        <f>YEAR(VLOOKUP(A1943,orders!A:D,4,0))</f>
        <v>2015</v>
      </c>
      <c r="H1943">
        <f>MONTH(INDEX(orders!D:D,MATCH(A1943, orders!A:A,0)))</f>
        <v>4</v>
      </c>
      <c r="I1943" t="str">
        <f>VLOOKUP(VLOOKUP(B1943,products!A:F,6,0),categories!A:B,2,0)</f>
        <v>Beverages</v>
      </c>
      <c r="J1943" t="str">
        <f>VLOOKUP(VLOOKUP(A1943,orders!A:B,2,0),customers!A:F,6,0)</f>
        <v>USA</v>
      </c>
      <c r="K1943" t="str">
        <f>VLOOKUP(VLOOKUP(A1943,orders!A:C,3,0),employees!A:B,2,0)</f>
        <v>Andrew Fuller</v>
      </c>
    </row>
    <row r="1944" spans="1:11" x14ac:dyDescent="0.25">
      <c r="A1944">
        <v>11000</v>
      </c>
      <c r="B1944">
        <v>77</v>
      </c>
      <c r="C1944">
        <v>13</v>
      </c>
      <c r="D1944">
        <v>30</v>
      </c>
      <c r="E1944">
        <v>0</v>
      </c>
      <c r="F1944">
        <f t="shared" si="30"/>
        <v>390</v>
      </c>
      <c r="G1944">
        <f>YEAR(VLOOKUP(A1944,orders!A:D,4,0))</f>
        <v>2015</v>
      </c>
      <c r="H1944">
        <f>MONTH(INDEX(orders!D:D,MATCH(A1944, orders!A:A,0)))</f>
        <v>4</v>
      </c>
      <c r="I1944" t="str">
        <f>VLOOKUP(VLOOKUP(B1944,products!A:F,6,0),categories!A:B,2,0)</f>
        <v>Condiments</v>
      </c>
      <c r="J1944" t="str">
        <f>VLOOKUP(VLOOKUP(A1944,orders!A:B,2,0),customers!A:F,6,0)</f>
        <v>USA</v>
      </c>
      <c r="K1944" t="str">
        <f>VLOOKUP(VLOOKUP(A1944,orders!A:C,3,0),employees!A:B,2,0)</f>
        <v>Andrew Fuller</v>
      </c>
    </row>
    <row r="1945" spans="1:11" x14ac:dyDescent="0.25">
      <c r="A1945">
        <v>11001</v>
      </c>
      <c r="B1945">
        <v>7</v>
      </c>
      <c r="C1945">
        <v>30</v>
      </c>
      <c r="D1945">
        <v>60</v>
      </c>
      <c r="E1945">
        <v>0</v>
      </c>
      <c r="F1945">
        <f t="shared" si="30"/>
        <v>1800</v>
      </c>
      <c r="G1945">
        <f>YEAR(VLOOKUP(A1945,orders!A:D,4,0))</f>
        <v>2015</v>
      </c>
      <c r="H1945">
        <f>MONTH(INDEX(orders!D:D,MATCH(A1945, orders!A:A,0)))</f>
        <v>4</v>
      </c>
      <c r="I1945" t="str">
        <f>VLOOKUP(VLOOKUP(B1945,products!A:F,6,0),categories!A:B,2,0)</f>
        <v>Produce</v>
      </c>
      <c r="J1945" t="str">
        <f>VLOOKUP(VLOOKUP(A1945,orders!A:B,2,0),customers!A:F,6,0)</f>
        <v>Sweden</v>
      </c>
      <c r="K1945" t="str">
        <f>VLOOKUP(VLOOKUP(A1945,orders!A:C,3,0),employees!A:B,2,0)</f>
        <v>Andrew Fuller</v>
      </c>
    </row>
    <row r="1946" spans="1:11" x14ac:dyDescent="0.25">
      <c r="A1946">
        <v>11001</v>
      </c>
      <c r="B1946">
        <v>22</v>
      </c>
      <c r="C1946">
        <v>21</v>
      </c>
      <c r="D1946">
        <v>25</v>
      </c>
      <c r="E1946">
        <v>0</v>
      </c>
      <c r="F1946">
        <f t="shared" si="30"/>
        <v>525</v>
      </c>
      <c r="G1946">
        <f>YEAR(VLOOKUP(A1946,orders!A:D,4,0))</f>
        <v>2015</v>
      </c>
      <c r="H1946">
        <f>MONTH(INDEX(orders!D:D,MATCH(A1946, orders!A:A,0)))</f>
        <v>4</v>
      </c>
      <c r="I1946" t="str">
        <f>VLOOKUP(VLOOKUP(B1946,products!A:F,6,0),categories!A:B,2,0)</f>
        <v>Grains &amp; Cereals</v>
      </c>
      <c r="J1946" t="str">
        <f>VLOOKUP(VLOOKUP(A1946,orders!A:B,2,0),customers!A:F,6,0)</f>
        <v>Sweden</v>
      </c>
      <c r="K1946" t="str">
        <f>VLOOKUP(VLOOKUP(A1946,orders!A:C,3,0),employees!A:B,2,0)</f>
        <v>Andrew Fuller</v>
      </c>
    </row>
    <row r="1947" spans="1:11" x14ac:dyDescent="0.25">
      <c r="A1947">
        <v>11001</v>
      </c>
      <c r="B1947">
        <v>46</v>
      </c>
      <c r="C1947">
        <v>12</v>
      </c>
      <c r="D1947">
        <v>25</v>
      </c>
      <c r="E1947">
        <v>0</v>
      </c>
      <c r="F1947">
        <f t="shared" si="30"/>
        <v>300</v>
      </c>
      <c r="G1947">
        <f>YEAR(VLOOKUP(A1947,orders!A:D,4,0))</f>
        <v>2015</v>
      </c>
      <c r="H1947">
        <f>MONTH(INDEX(orders!D:D,MATCH(A1947, orders!A:A,0)))</f>
        <v>4</v>
      </c>
      <c r="I1947" t="str">
        <f>VLOOKUP(VLOOKUP(B1947,products!A:F,6,0),categories!A:B,2,0)</f>
        <v>Seafood</v>
      </c>
      <c r="J1947" t="str">
        <f>VLOOKUP(VLOOKUP(A1947,orders!A:B,2,0),customers!A:F,6,0)</f>
        <v>Sweden</v>
      </c>
      <c r="K1947" t="str">
        <f>VLOOKUP(VLOOKUP(A1947,orders!A:C,3,0),employees!A:B,2,0)</f>
        <v>Andrew Fuller</v>
      </c>
    </row>
    <row r="1948" spans="1:11" x14ac:dyDescent="0.25">
      <c r="A1948">
        <v>11001</v>
      </c>
      <c r="B1948">
        <v>55</v>
      </c>
      <c r="C1948">
        <v>24</v>
      </c>
      <c r="D1948">
        <v>6</v>
      </c>
      <c r="E1948">
        <v>0</v>
      </c>
      <c r="F1948">
        <f t="shared" si="30"/>
        <v>144</v>
      </c>
      <c r="G1948">
        <f>YEAR(VLOOKUP(A1948,orders!A:D,4,0))</f>
        <v>2015</v>
      </c>
      <c r="H1948">
        <f>MONTH(INDEX(orders!D:D,MATCH(A1948, orders!A:A,0)))</f>
        <v>4</v>
      </c>
      <c r="I1948" t="str">
        <f>VLOOKUP(VLOOKUP(B1948,products!A:F,6,0),categories!A:B,2,0)</f>
        <v>Meat &amp; Poultry</v>
      </c>
      <c r="J1948" t="str">
        <f>VLOOKUP(VLOOKUP(A1948,orders!A:B,2,0),customers!A:F,6,0)</f>
        <v>Sweden</v>
      </c>
      <c r="K1948" t="str">
        <f>VLOOKUP(VLOOKUP(A1948,orders!A:C,3,0),employees!A:B,2,0)</f>
        <v>Andrew Fuller</v>
      </c>
    </row>
    <row r="1949" spans="1:11" x14ac:dyDescent="0.25">
      <c r="A1949">
        <v>11002</v>
      </c>
      <c r="B1949">
        <v>13</v>
      </c>
      <c r="C1949">
        <v>6</v>
      </c>
      <c r="D1949">
        <v>56</v>
      </c>
      <c r="E1949">
        <v>0</v>
      </c>
      <c r="F1949">
        <f t="shared" si="30"/>
        <v>336</v>
      </c>
      <c r="G1949">
        <f>YEAR(VLOOKUP(A1949,orders!A:D,4,0))</f>
        <v>2015</v>
      </c>
      <c r="H1949">
        <f>MONTH(INDEX(orders!D:D,MATCH(A1949, orders!A:A,0)))</f>
        <v>4</v>
      </c>
      <c r="I1949" t="str">
        <f>VLOOKUP(VLOOKUP(B1949,products!A:F,6,0),categories!A:B,2,0)</f>
        <v>Seafood</v>
      </c>
      <c r="J1949" t="str">
        <f>VLOOKUP(VLOOKUP(A1949,orders!A:B,2,0),customers!A:F,6,0)</f>
        <v>USA</v>
      </c>
      <c r="K1949" t="str">
        <f>VLOOKUP(VLOOKUP(A1949,orders!A:C,3,0),employees!A:B,2,0)</f>
        <v>Margaret Peacock</v>
      </c>
    </row>
    <row r="1950" spans="1:11" x14ac:dyDescent="0.25">
      <c r="A1950">
        <v>11002</v>
      </c>
      <c r="B1950">
        <v>35</v>
      </c>
      <c r="C1950">
        <v>18</v>
      </c>
      <c r="D1950">
        <v>15</v>
      </c>
      <c r="E1950">
        <v>0.15</v>
      </c>
      <c r="F1950">
        <f t="shared" si="30"/>
        <v>229.5</v>
      </c>
      <c r="G1950">
        <f>YEAR(VLOOKUP(A1950,orders!A:D,4,0))</f>
        <v>2015</v>
      </c>
      <c r="H1950">
        <f>MONTH(INDEX(orders!D:D,MATCH(A1950, orders!A:A,0)))</f>
        <v>4</v>
      </c>
      <c r="I1950" t="str">
        <f>VLOOKUP(VLOOKUP(B1950,products!A:F,6,0),categories!A:B,2,0)</f>
        <v>Beverages</v>
      </c>
      <c r="J1950" t="str">
        <f>VLOOKUP(VLOOKUP(A1950,orders!A:B,2,0),customers!A:F,6,0)</f>
        <v>USA</v>
      </c>
      <c r="K1950" t="str">
        <f>VLOOKUP(VLOOKUP(A1950,orders!A:C,3,0),employees!A:B,2,0)</f>
        <v>Margaret Peacock</v>
      </c>
    </row>
    <row r="1951" spans="1:11" x14ac:dyDescent="0.25">
      <c r="A1951">
        <v>11002</v>
      </c>
      <c r="B1951">
        <v>42</v>
      </c>
      <c r="C1951">
        <v>14</v>
      </c>
      <c r="D1951">
        <v>24</v>
      </c>
      <c r="E1951">
        <v>0.15</v>
      </c>
      <c r="F1951">
        <f t="shared" si="30"/>
        <v>285.59999999999997</v>
      </c>
      <c r="G1951">
        <f>YEAR(VLOOKUP(A1951,orders!A:D,4,0))</f>
        <v>2015</v>
      </c>
      <c r="H1951">
        <f>MONTH(INDEX(orders!D:D,MATCH(A1951, orders!A:A,0)))</f>
        <v>4</v>
      </c>
      <c r="I1951" t="str">
        <f>VLOOKUP(VLOOKUP(B1951,products!A:F,6,0),categories!A:B,2,0)</f>
        <v>Grains &amp; Cereals</v>
      </c>
      <c r="J1951" t="str">
        <f>VLOOKUP(VLOOKUP(A1951,orders!A:B,2,0),customers!A:F,6,0)</f>
        <v>USA</v>
      </c>
      <c r="K1951" t="str">
        <f>VLOOKUP(VLOOKUP(A1951,orders!A:C,3,0),employees!A:B,2,0)</f>
        <v>Margaret Peacock</v>
      </c>
    </row>
    <row r="1952" spans="1:11" x14ac:dyDescent="0.25">
      <c r="A1952">
        <v>11002</v>
      </c>
      <c r="B1952">
        <v>55</v>
      </c>
      <c r="C1952">
        <v>24</v>
      </c>
      <c r="D1952">
        <v>40</v>
      </c>
      <c r="E1952">
        <v>0</v>
      </c>
      <c r="F1952">
        <f t="shared" si="30"/>
        <v>960</v>
      </c>
      <c r="G1952">
        <f>YEAR(VLOOKUP(A1952,orders!A:D,4,0))</f>
        <v>2015</v>
      </c>
      <c r="H1952">
        <f>MONTH(INDEX(orders!D:D,MATCH(A1952, orders!A:A,0)))</f>
        <v>4</v>
      </c>
      <c r="I1952" t="str">
        <f>VLOOKUP(VLOOKUP(B1952,products!A:F,6,0),categories!A:B,2,0)</f>
        <v>Meat &amp; Poultry</v>
      </c>
      <c r="J1952" t="str">
        <f>VLOOKUP(VLOOKUP(A1952,orders!A:B,2,0),customers!A:F,6,0)</f>
        <v>USA</v>
      </c>
      <c r="K1952" t="str">
        <f>VLOOKUP(VLOOKUP(A1952,orders!A:C,3,0),employees!A:B,2,0)</f>
        <v>Margaret Peacock</v>
      </c>
    </row>
    <row r="1953" spans="1:11" x14ac:dyDescent="0.25">
      <c r="A1953">
        <v>11003</v>
      </c>
      <c r="B1953">
        <v>1</v>
      </c>
      <c r="C1953">
        <v>18</v>
      </c>
      <c r="D1953">
        <v>4</v>
      </c>
      <c r="E1953">
        <v>0</v>
      </c>
      <c r="F1953">
        <f t="shared" si="30"/>
        <v>72</v>
      </c>
      <c r="G1953">
        <f>YEAR(VLOOKUP(A1953,orders!A:D,4,0))</f>
        <v>2015</v>
      </c>
      <c r="H1953">
        <f>MONTH(INDEX(orders!D:D,MATCH(A1953, orders!A:A,0)))</f>
        <v>4</v>
      </c>
      <c r="I1953" t="str">
        <f>VLOOKUP(VLOOKUP(B1953,products!A:F,6,0),categories!A:B,2,0)</f>
        <v>Beverages</v>
      </c>
      <c r="J1953" t="str">
        <f>VLOOKUP(VLOOKUP(A1953,orders!A:B,2,0),customers!A:F,6,0)</f>
        <v>USA</v>
      </c>
      <c r="K1953" t="str">
        <f>VLOOKUP(VLOOKUP(A1953,orders!A:C,3,0),employees!A:B,2,0)</f>
        <v>Janet Leverling</v>
      </c>
    </row>
    <row r="1954" spans="1:11" x14ac:dyDescent="0.25">
      <c r="A1954">
        <v>11003</v>
      </c>
      <c r="B1954">
        <v>40</v>
      </c>
      <c r="C1954">
        <v>18.399999999999999</v>
      </c>
      <c r="D1954">
        <v>10</v>
      </c>
      <c r="E1954">
        <v>0</v>
      </c>
      <c r="F1954">
        <f t="shared" si="30"/>
        <v>184</v>
      </c>
      <c r="G1954">
        <f>YEAR(VLOOKUP(A1954,orders!A:D,4,0))</f>
        <v>2015</v>
      </c>
      <c r="H1954">
        <f>MONTH(INDEX(orders!D:D,MATCH(A1954, orders!A:A,0)))</f>
        <v>4</v>
      </c>
      <c r="I1954" t="str">
        <f>VLOOKUP(VLOOKUP(B1954,products!A:F,6,0),categories!A:B,2,0)</f>
        <v>Seafood</v>
      </c>
      <c r="J1954" t="str">
        <f>VLOOKUP(VLOOKUP(A1954,orders!A:B,2,0),customers!A:F,6,0)</f>
        <v>USA</v>
      </c>
      <c r="K1954" t="str">
        <f>VLOOKUP(VLOOKUP(A1954,orders!A:C,3,0),employees!A:B,2,0)</f>
        <v>Janet Leverling</v>
      </c>
    </row>
    <row r="1955" spans="1:11" x14ac:dyDescent="0.25">
      <c r="A1955">
        <v>11003</v>
      </c>
      <c r="B1955">
        <v>52</v>
      </c>
      <c r="C1955">
        <v>7</v>
      </c>
      <c r="D1955">
        <v>10</v>
      </c>
      <c r="E1955">
        <v>0</v>
      </c>
      <c r="F1955">
        <f t="shared" si="30"/>
        <v>70</v>
      </c>
      <c r="G1955">
        <f>YEAR(VLOOKUP(A1955,orders!A:D,4,0))</f>
        <v>2015</v>
      </c>
      <c r="H1955">
        <f>MONTH(INDEX(orders!D:D,MATCH(A1955, orders!A:A,0)))</f>
        <v>4</v>
      </c>
      <c r="I1955" t="str">
        <f>VLOOKUP(VLOOKUP(B1955,products!A:F,6,0),categories!A:B,2,0)</f>
        <v>Grains &amp; Cereals</v>
      </c>
      <c r="J1955" t="str">
        <f>VLOOKUP(VLOOKUP(A1955,orders!A:B,2,0),customers!A:F,6,0)</f>
        <v>USA</v>
      </c>
      <c r="K1955" t="str">
        <f>VLOOKUP(VLOOKUP(A1955,orders!A:C,3,0),employees!A:B,2,0)</f>
        <v>Janet Leverling</v>
      </c>
    </row>
    <row r="1956" spans="1:11" x14ac:dyDescent="0.25">
      <c r="A1956">
        <v>11004</v>
      </c>
      <c r="B1956">
        <v>26</v>
      </c>
      <c r="C1956">
        <v>31.23</v>
      </c>
      <c r="D1956">
        <v>6</v>
      </c>
      <c r="E1956">
        <v>0</v>
      </c>
      <c r="F1956">
        <f t="shared" si="30"/>
        <v>187.38</v>
      </c>
      <c r="G1956">
        <f>YEAR(VLOOKUP(A1956,orders!A:D,4,0))</f>
        <v>2015</v>
      </c>
      <c r="H1956">
        <f>MONTH(INDEX(orders!D:D,MATCH(A1956, orders!A:A,0)))</f>
        <v>4</v>
      </c>
      <c r="I1956" t="str">
        <f>VLOOKUP(VLOOKUP(B1956,products!A:F,6,0),categories!A:B,2,0)</f>
        <v>Confections</v>
      </c>
      <c r="J1956" t="str">
        <f>VLOOKUP(VLOOKUP(A1956,orders!A:B,2,0),customers!A:F,6,0)</f>
        <v>Belgium</v>
      </c>
      <c r="K1956" t="str">
        <f>VLOOKUP(VLOOKUP(A1956,orders!A:C,3,0),employees!A:B,2,0)</f>
        <v>Janet Leverling</v>
      </c>
    </row>
    <row r="1957" spans="1:11" x14ac:dyDescent="0.25">
      <c r="A1957">
        <v>11004</v>
      </c>
      <c r="B1957">
        <v>76</v>
      </c>
      <c r="C1957">
        <v>18</v>
      </c>
      <c r="D1957">
        <v>6</v>
      </c>
      <c r="E1957">
        <v>0</v>
      </c>
      <c r="F1957">
        <f t="shared" si="30"/>
        <v>108</v>
      </c>
      <c r="G1957">
        <f>YEAR(VLOOKUP(A1957,orders!A:D,4,0))</f>
        <v>2015</v>
      </c>
      <c r="H1957">
        <f>MONTH(INDEX(orders!D:D,MATCH(A1957, orders!A:A,0)))</f>
        <v>4</v>
      </c>
      <c r="I1957" t="str">
        <f>VLOOKUP(VLOOKUP(B1957,products!A:F,6,0),categories!A:B,2,0)</f>
        <v>Beverages</v>
      </c>
      <c r="J1957" t="str">
        <f>VLOOKUP(VLOOKUP(A1957,orders!A:B,2,0),customers!A:F,6,0)</f>
        <v>Belgium</v>
      </c>
      <c r="K1957" t="str">
        <f>VLOOKUP(VLOOKUP(A1957,orders!A:C,3,0),employees!A:B,2,0)</f>
        <v>Janet Leverling</v>
      </c>
    </row>
    <row r="1958" spans="1:11" x14ac:dyDescent="0.25">
      <c r="A1958">
        <v>11005</v>
      </c>
      <c r="B1958">
        <v>1</v>
      </c>
      <c r="C1958">
        <v>18</v>
      </c>
      <c r="D1958">
        <v>2</v>
      </c>
      <c r="E1958">
        <v>0</v>
      </c>
      <c r="F1958">
        <f t="shared" si="30"/>
        <v>36</v>
      </c>
      <c r="G1958">
        <f>YEAR(VLOOKUP(A1958,orders!A:D,4,0))</f>
        <v>2015</v>
      </c>
      <c r="H1958">
        <f>MONTH(INDEX(orders!D:D,MATCH(A1958, orders!A:A,0)))</f>
        <v>4</v>
      </c>
      <c r="I1958" t="str">
        <f>VLOOKUP(VLOOKUP(B1958,products!A:F,6,0),categories!A:B,2,0)</f>
        <v>Beverages</v>
      </c>
      <c r="J1958" t="str">
        <f>VLOOKUP(VLOOKUP(A1958,orders!A:B,2,0),customers!A:F,6,0)</f>
        <v>Finland</v>
      </c>
      <c r="K1958" t="str">
        <f>VLOOKUP(VLOOKUP(A1958,orders!A:C,3,0),employees!A:B,2,0)</f>
        <v>Andrew Fuller</v>
      </c>
    </row>
    <row r="1959" spans="1:11" x14ac:dyDescent="0.25">
      <c r="A1959">
        <v>11005</v>
      </c>
      <c r="B1959">
        <v>59</v>
      </c>
      <c r="C1959">
        <v>55</v>
      </c>
      <c r="D1959">
        <v>10</v>
      </c>
      <c r="E1959">
        <v>0</v>
      </c>
      <c r="F1959">
        <f t="shared" si="30"/>
        <v>550</v>
      </c>
      <c r="G1959">
        <f>YEAR(VLOOKUP(A1959,orders!A:D,4,0))</f>
        <v>2015</v>
      </c>
      <c r="H1959">
        <f>MONTH(INDEX(orders!D:D,MATCH(A1959, orders!A:A,0)))</f>
        <v>4</v>
      </c>
      <c r="I1959" t="str">
        <f>VLOOKUP(VLOOKUP(B1959,products!A:F,6,0),categories!A:B,2,0)</f>
        <v>Dairy Products</v>
      </c>
      <c r="J1959" t="str">
        <f>VLOOKUP(VLOOKUP(A1959,orders!A:B,2,0),customers!A:F,6,0)</f>
        <v>Finland</v>
      </c>
      <c r="K1959" t="str">
        <f>VLOOKUP(VLOOKUP(A1959,orders!A:C,3,0),employees!A:B,2,0)</f>
        <v>Andrew Fuller</v>
      </c>
    </row>
    <row r="1960" spans="1:11" x14ac:dyDescent="0.25">
      <c r="A1960">
        <v>11006</v>
      </c>
      <c r="B1960">
        <v>1</v>
      </c>
      <c r="C1960">
        <v>18</v>
      </c>
      <c r="D1960">
        <v>8</v>
      </c>
      <c r="E1960">
        <v>0</v>
      </c>
      <c r="F1960">
        <f t="shared" si="30"/>
        <v>144</v>
      </c>
      <c r="G1960">
        <f>YEAR(VLOOKUP(A1960,orders!A:D,4,0))</f>
        <v>2015</v>
      </c>
      <c r="H1960">
        <f>MONTH(INDEX(orders!D:D,MATCH(A1960, orders!A:A,0)))</f>
        <v>4</v>
      </c>
      <c r="I1960" t="str">
        <f>VLOOKUP(VLOOKUP(B1960,products!A:F,6,0),categories!A:B,2,0)</f>
        <v>Beverages</v>
      </c>
      <c r="J1960" t="str">
        <f>VLOOKUP(VLOOKUP(A1960,orders!A:B,2,0),customers!A:F,6,0)</f>
        <v>USA</v>
      </c>
      <c r="K1960" t="str">
        <f>VLOOKUP(VLOOKUP(A1960,orders!A:C,3,0),employees!A:B,2,0)</f>
        <v>Janet Leverling</v>
      </c>
    </row>
    <row r="1961" spans="1:11" x14ac:dyDescent="0.25">
      <c r="A1961">
        <v>11006</v>
      </c>
      <c r="B1961">
        <v>29</v>
      </c>
      <c r="C1961">
        <v>123.79</v>
      </c>
      <c r="D1961">
        <v>2</v>
      </c>
      <c r="E1961">
        <v>0.25</v>
      </c>
      <c r="F1961">
        <f t="shared" si="30"/>
        <v>185.685</v>
      </c>
      <c r="G1961">
        <f>YEAR(VLOOKUP(A1961,orders!A:D,4,0))</f>
        <v>2015</v>
      </c>
      <c r="H1961">
        <f>MONTH(INDEX(orders!D:D,MATCH(A1961, orders!A:A,0)))</f>
        <v>4</v>
      </c>
      <c r="I1961" t="str">
        <f>VLOOKUP(VLOOKUP(B1961,products!A:F,6,0),categories!A:B,2,0)</f>
        <v>Meat &amp; Poultry</v>
      </c>
      <c r="J1961" t="str">
        <f>VLOOKUP(VLOOKUP(A1961,orders!A:B,2,0),customers!A:F,6,0)</f>
        <v>USA</v>
      </c>
      <c r="K1961" t="str">
        <f>VLOOKUP(VLOOKUP(A1961,orders!A:C,3,0),employees!A:B,2,0)</f>
        <v>Janet Leverling</v>
      </c>
    </row>
    <row r="1962" spans="1:11" x14ac:dyDescent="0.25">
      <c r="A1962">
        <v>11007</v>
      </c>
      <c r="B1962">
        <v>8</v>
      </c>
      <c r="C1962">
        <v>40</v>
      </c>
      <c r="D1962">
        <v>30</v>
      </c>
      <c r="E1962">
        <v>0</v>
      </c>
      <c r="F1962">
        <f t="shared" si="30"/>
        <v>1200</v>
      </c>
      <c r="G1962">
        <f>YEAR(VLOOKUP(A1962,orders!A:D,4,0))</f>
        <v>2015</v>
      </c>
      <c r="H1962">
        <f>MONTH(INDEX(orders!D:D,MATCH(A1962, orders!A:A,0)))</f>
        <v>4</v>
      </c>
      <c r="I1962" t="str">
        <f>VLOOKUP(VLOOKUP(B1962,products!A:F,6,0),categories!A:B,2,0)</f>
        <v>Condiments</v>
      </c>
      <c r="J1962" t="str">
        <f>VLOOKUP(VLOOKUP(A1962,orders!A:B,2,0),customers!A:F,6,0)</f>
        <v>Portugal</v>
      </c>
      <c r="K1962" t="str">
        <f>VLOOKUP(VLOOKUP(A1962,orders!A:C,3,0),employees!A:B,2,0)</f>
        <v>Laura Callahan</v>
      </c>
    </row>
    <row r="1963" spans="1:11" x14ac:dyDescent="0.25">
      <c r="A1963">
        <v>11007</v>
      </c>
      <c r="B1963">
        <v>29</v>
      </c>
      <c r="C1963">
        <v>123.79</v>
      </c>
      <c r="D1963">
        <v>10</v>
      </c>
      <c r="E1963">
        <v>0</v>
      </c>
      <c r="F1963">
        <f t="shared" si="30"/>
        <v>1237.9000000000001</v>
      </c>
      <c r="G1963">
        <f>YEAR(VLOOKUP(A1963,orders!A:D,4,0))</f>
        <v>2015</v>
      </c>
      <c r="H1963">
        <f>MONTH(INDEX(orders!D:D,MATCH(A1963, orders!A:A,0)))</f>
        <v>4</v>
      </c>
      <c r="I1963" t="str">
        <f>VLOOKUP(VLOOKUP(B1963,products!A:F,6,0),categories!A:B,2,0)</f>
        <v>Meat &amp; Poultry</v>
      </c>
      <c r="J1963" t="str">
        <f>VLOOKUP(VLOOKUP(A1963,orders!A:B,2,0),customers!A:F,6,0)</f>
        <v>Portugal</v>
      </c>
      <c r="K1963" t="str">
        <f>VLOOKUP(VLOOKUP(A1963,orders!A:C,3,0),employees!A:B,2,0)</f>
        <v>Laura Callahan</v>
      </c>
    </row>
    <row r="1964" spans="1:11" x14ac:dyDescent="0.25">
      <c r="A1964">
        <v>11007</v>
      </c>
      <c r="B1964">
        <v>42</v>
      </c>
      <c r="C1964">
        <v>14</v>
      </c>
      <c r="D1964">
        <v>14</v>
      </c>
      <c r="E1964">
        <v>0</v>
      </c>
      <c r="F1964">
        <f t="shared" si="30"/>
        <v>196</v>
      </c>
      <c r="G1964">
        <f>YEAR(VLOOKUP(A1964,orders!A:D,4,0))</f>
        <v>2015</v>
      </c>
      <c r="H1964">
        <f>MONTH(INDEX(orders!D:D,MATCH(A1964, orders!A:A,0)))</f>
        <v>4</v>
      </c>
      <c r="I1964" t="str">
        <f>VLOOKUP(VLOOKUP(B1964,products!A:F,6,0),categories!A:B,2,0)</f>
        <v>Grains &amp; Cereals</v>
      </c>
      <c r="J1964" t="str">
        <f>VLOOKUP(VLOOKUP(A1964,orders!A:B,2,0),customers!A:F,6,0)</f>
        <v>Portugal</v>
      </c>
      <c r="K1964" t="str">
        <f>VLOOKUP(VLOOKUP(A1964,orders!A:C,3,0),employees!A:B,2,0)</f>
        <v>Laura Callahan</v>
      </c>
    </row>
    <row r="1965" spans="1:11" x14ac:dyDescent="0.25">
      <c r="A1965">
        <v>11008</v>
      </c>
      <c r="B1965">
        <v>28</v>
      </c>
      <c r="C1965">
        <v>45.6</v>
      </c>
      <c r="D1965">
        <v>70</v>
      </c>
      <c r="E1965">
        <v>0.05</v>
      </c>
      <c r="F1965">
        <f t="shared" si="30"/>
        <v>3032.3999999999996</v>
      </c>
      <c r="G1965">
        <f>YEAR(VLOOKUP(A1965,orders!A:D,4,0))</f>
        <v>2015</v>
      </c>
      <c r="H1965">
        <f>MONTH(INDEX(orders!D:D,MATCH(A1965, orders!A:A,0)))</f>
        <v>4</v>
      </c>
      <c r="I1965" t="str">
        <f>VLOOKUP(VLOOKUP(B1965,products!A:F,6,0),categories!A:B,2,0)</f>
        <v>Produce</v>
      </c>
      <c r="J1965" t="str">
        <f>VLOOKUP(VLOOKUP(A1965,orders!A:B,2,0),customers!A:F,6,0)</f>
        <v>Austria</v>
      </c>
      <c r="K1965" t="str">
        <f>VLOOKUP(VLOOKUP(A1965,orders!A:C,3,0),employees!A:B,2,0)</f>
        <v>Robert King</v>
      </c>
    </row>
    <row r="1966" spans="1:11" x14ac:dyDescent="0.25">
      <c r="A1966">
        <v>11008</v>
      </c>
      <c r="B1966">
        <v>34</v>
      </c>
      <c r="C1966">
        <v>14</v>
      </c>
      <c r="D1966">
        <v>90</v>
      </c>
      <c r="E1966">
        <v>0.05</v>
      </c>
      <c r="F1966">
        <f t="shared" si="30"/>
        <v>1197</v>
      </c>
      <c r="G1966">
        <f>YEAR(VLOOKUP(A1966,orders!A:D,4,0))</f>
        <v>2015</v>
      </c>
      <c r="H1966">
        <f>MONTH(INDEX(orders!D:D,MATCH(A1966, orders!A:A,0)))</f>
        <v>4</v>
      </c>
      <c r="I1966" t="str">
        <f>VLOOKUP(VLOOKUP(B1966,products!A:F,6,0),categories!A:B,2,0)</f>
        <v>Beverages</v>
      </c>
      <c r="J1966" t="str">
        <f>VLOOKUP(VLOOKUP(A1966,orders!A:B,2,0),customers!A:F,6,0)</f>
        <v>Austria</v>
      </c>
      <c r="K1966" t="str">
        <f>VLOOKUP(VLOOKUP(A1966,orders!A:C,3,0),employees!A:B,2,0)</f>
        <v>Robert King</v>
      </c>
    </row>
    <row r="1967" spans="1:11" x14ac:dyDescent="0.25">
      <c r="A1967">
        <v>11008</v>
      </c>
      <c r="B1967">
        <v>71</v>
      </c>
      <c r="C1967">
        <v>21.5</v>
      </c>
      <c r="D1967">
        <v>21</v>
      </c>
      <c r="E1967">
        <v>0</v>
      </c>
      <c r="F1967">
        <f t="shared" si="30"/>
        <v>451.5</v>
      </c>
      <c r="G1967">
        <f>YEAR(VLOOKUP(A1967,orders!A:D,4,0))</f>
        <v>2015</v>
      </c>
      <c r="H1967">
        <f>MONTH(INDEX(orders!D:D,MATCH(A1967, orders!A:A,0)))</f>
        <v>4</v>
      </c>
      <c r="I1967" t="str">
        <f>VLOOKUP(VLOOKUP(B1967,products!A:F,6,0),categories!A:B,2,0)</f>
        <v>Dairy Products</v>
      </c>
      <c r="J1967" t="str">
        <f>VLOOKUP(VLOOKUP(A1967,orders!A:B,2,0),customers!A:F,6,0)</f>
        <v>Austria</v>
      </c>
      <c r="K1967" t="str">
        <f>VLOOKUP(VLOOKUP(A1967,orders!A:C,3,0),employees!A:B,2,0)</f>
        <v>Robert King</v>
      </c>
    </row>
    <row r="1968" spans="1:11" x14ac:dyDescent="0.25">
      <c r="A1968">
        <v>11009</v>
      </c>
      <c r="B1968">
        <v>24</v>
      </c>
      <c r="C1968">
        <v>4.5</v>
      </c>
      <c r="D1968">
        <v>12</v>
      </c>
      <c r="E1968">
        <v>0</v>
      </c>
      <c r="F1968">
        <f t="shared" si="30"/>
        <v>54</v>
      </c>
      <c r="G1968">
        <f>YEAR(VLOOKUP(A1968,orders!A:D,4,0))</f>
        <v>2015</v>
      </c>
      <c r="H1968">
        <f>MONTH(INDEX(orders!D:D,MATCH(A1968, orders!A:A,0)))</f>
        <v>4</v>
      </c>
      <c r="I1968" t="str">
        <f>VLOOKUP(VLOOKUP(B1968,products!A:F,6,0),categories!A:B,2,0)</f>
        <v>Beverages</v>
      </c>
      <c r="J1968" t="str">
        <f>VLOOKUP(VLOOKUP(A1968,orders!A:B,2,0),customers!A:F,6,0)</f>
        <v>Spain</v>
      </c>
      <c r="K1968" t="str">
        <f>VLOOKUP(VLOOKUP(A1968,orders!A:C,3,0),employees!A:B,2,0)</f>
        <v>Andrew Fuller</v>
      </c>
    </row>
    <row r="1969" spans="1:11" x14ac:dyDescent="0.25">
      <c r="A1969">
        <v>11009</v>
      </c>
      <c r="B1969">
        <v>36</v>
      </c>
      <c r="C1969">
        <v>19</v>
      </c>
      <c r="D1969">
        <v>18</v>
      </c>
      <c r="E1969">
        <v>0.25</v>
      </c>
      <c r="F1969">
        <f t="shared" si="30"/>
        <v>256.5</v>
      </c>
      <c r="G1969">
        <f>YEAR(VLOOKUP(A1969,orders!A:D,4,0))</f>
        <v>2015</v>
      </c>
      <c r="H1969">
        <f>MONTH(INDEX(orders!D:D,MATCH(A1969, orders!A:A,0)))</f>
        <v>4</v>
      </c>
      <c r="I1969" t="str">
        <f>VLOOKUP(VLOOKUP(B1969,products!A:F,6,0),categories!A:B,2,0)</f>
        <v>Seafood</v>
      </c>
      <c r="J1969" t="str">
        <f>VLOOKUP(VLOOKUP(A1969,orders!A:B,2,0),customers!A:F,6,0)</f>
        <v>Spain</v>
      </c>
      <c r="K1969" t="str">
        <f>VLOOKUP(VLOOKUP(A1969,orders!A:C,3,0),employees!A:B,2,0)</f>
        <v>Andrew Fuller</v>
      </c>
    </row>
    <row r="1970" spans="1:11" x14ac:dyDescent="0.25">
      <c r="A1970">
        <v>11009</v>
      </c>
      <c r="B1970">
        <v>60</v>
      </c>
      <c r="C1970">
        <v>34</v>
      </c>
      <c r="D1970">
        <v>9</v>
      </c>
      <c r="E1970">
        <v>0</v>
      </c>
      <c r="F1970">
        <f t="shared" si="30"/>
        <v>306</v>
      </c>
      <c r="G1970">
        <f>YEAR(VLOOKUP(A1970,orders!A:D,4,0))</f>
        <v>2015</v>
      </c>
      <c r="H1970">
        <f>MONTH(INDEX(orders!D:D,MATCH(A1970, orders!A:A,0)))</f>
        <v>4</v>
      </c>
      <c r="I1970" t="str">
        <f>VLOOKUP(VLOOKUP(B1970,products!A:F,6,0),categories!A:B,2,0)</f>
        <v>Dairy Products</v>
      </c>
      <c r="J1970" t="str">
        <f>VLOOKUP(VLOOKUP(A1970,orders!A:B,2,0),customers!A:F,6,0)</f>
        <v>Spain</v>
      </c>
      <c r="K1970" t="str">
        <f>VLOOKUP(VLOOKUP(A1970,orders!A:C,3,0),employees!A:B,2,0)</f>
        <v>Andrew Fuller</v>
      </c>
    </row>
    <row r="1971" spans="1:11" x14ac:dyDescent="0.25">
      <c r="A1971">
        <v>11010</v>
      </c>
      <c r="B1971">
        <v>7</v>
      </c>
      <c r="C1971">
        <v>30</v>
      </c>
      <c r="D1971">
        <v>20</v>
      </c>
      <c r="E1971">
        <v>0</v>
      </c>
      <c r="F1971">
        <f t="shared" si="30"/>
        <v>600</v>
      </c>
      <c r="G1971">
        <f>YEAR(VLOOKUP(A1971,orders!A:D,4,0))</f>
        <v>2015</v>
      </c>
      <c r="H1971">
        <f>MONTH(INDEX(orders!D:D,MATCH(A1971, orders!A:A,0)))</f>
        <v>4</v>
      </c>
      <c r="I1971" t="str">
        <f>VLOOKUP(VLOOKUP(B1971,products!A:F,6,0),categories!A:B,2,0)</f>
        <v>Produce</v>
      </c>
      <c r="J1971" t="str">
        <f>VLOOKUP(VLOOKUP(A1971,orders!A:B,2,0),customers!A:F,6,0)</f>
        <v>Italy</v>
      </c>
      <c r="K1971" t="str">
        <f>VLOOKUP(VLOOKUP(A1971,orders!A:C,3,0),employees!A:B,2,0)</f>
        <v>Andrew Fuller</v>
      </c>
    </row>
    <row r="1972" spans="1:11" x14ac:dyDescent="0.25">
      <c r="A1972">
        <v>11010</v>
      </c>
      <c r="B1972">
        <v>24</v>
      </c>
      <c r="C1972">
        <v>4.5</v>
      </c>
      <c r="D1972">
        <v>10</v>
      </c>
      <c r="E1972">
        <v>0</v>
      </c>
      <c r="F1972">
        <f t="shared" si="30"/>
        <v>45</v>
      </c>
      <c r="G1972">
        <f>YEAR(VLOOKUP(A1972,orders!A:D,4,0))</f>
        <v>2015</v>
      </c>
      <c r="H1972">
        <f>MONTH(INDEX(orders!D:D,MATCH(A1972, orders!A:A,0)))</f>
        <v>4</v>
      </c>
      <c r="I1972" t="str">
        <f>VLOOKUP(VLOOKUP(B1972,products!A:F,6,0),categories!A:B,2,0)</f>
        <v>Beverages</v>
      </c>
      <c r="J1972" t="str">
        <f>VLOOKUP(VLOOKUP(A1972,orders!A:B,2,0),customers!A:F,6,0)</f>
        <v>Italy</v>
      </c>
      <c r="K1972" t="str">
        <f>VLOOKUP(VLOOKUP(A1972,orders!A:C,3,0),employees!A:B,2,0)</f>
        <v>Andrew Fuller</v>
      </c>
    </row>
    <row r="1973" spans="1:11" x14ac:dyDescent="0.25">
      <c r="A1973">
        <v>11011</v>
      </c>
      <c r="B1973">
        <v>58</v>
      </c>
      <c r="C1973">
        <v>13.25</v>
      </c>
      <c r="D1973">
        <v>40</v>
      </c>
      <c r="E1973">
        <v>0.05</v>
      </c>
      <c r="F1973">
        <f t="shared" si="30"/>
        <v>503.5</v>
      </c>
      <c r="G1973">
        <f>YEAR(VLOOKUP(A1973,orders!A:D,4,0))</f>
        <v>2015</v>
      </c>
      <c r="H1973">
        <f>MONTH(INDEX(orders!D:D,MATCH(A1973, orders!A:A,0)))</f>
        <v>4</v>
      </c>
      <c r="I1973" t="str">
        <f>VLOOKUP(VLOOKUP(B1973,products!A:F,6,0),categories!A:B,2,0)</f>
        <v>Seafood</v>
      </c>
      <c r="J1973" t="str">
        <f>VLOOKUP(VLOOKUP(A1973,orders!A:B,2,0),customers!A:F,6,0)</f>
        <v>Germany</v>
      </c>
      <c r="K1973" t="str">
        <f>VLOOKUP(VLOOKUP(A1973,orders!A:C,3,0),employees!A:B,2,0)</f>
        <v>Janet Leverling</v>
      </c>
    </row>
    <row r="1974" spans="1:11" x14ac:dyDescent="0.25">
      <c r="A1974">
        <v>11011</v>
      </c>
      <c r="B1974">
        <v>71</v>
      </c>
      <c r="C1974">
        <v>21.5</v>
      </c>
      <c r="D1974">
        <v>20</v>
      </c>
      <c r="E1974">
        <v>0</v>
      </c>
      <c r="F1974">
        <f t="shared" si="30"/>
        <v>430</v>
      </c>
      <c r="G1974">
        <f>YEAR(VLOOKUP(A1974,orders!A:D,4,0))</f>
        <v>2015</v>
      </c>
      <c r="H1974">
        <f>MONTH(INDEX(orders!D:D,MATCH(A1974, orders!A:A,0)))</f>
        <v>4</v>
      </c>
      <c r="I1974" t="str">
        <f>VLOOKUP(VLOOKUP(B1974,products!A:F,6,0),categories!A:B,2,0)</f>
        <v>Dairy Products</v>
      </c>
      <c r="J1974" t="str">
        <f>VLOOKUP(VLOOKUP(A1974,orders!A:B,2,0),customers!A:F,6,0)</f>
        <v>Germany</v>
      </c>
      <c r="K1974" t="str">
        <f>VLOOKUP(VLOOKUP(A1974,orders!A:C,3,0),employees!A:B,2,0)</f>
        <v>Janet Leverling</v>
      </c>
    </row>
    <row r="1975" spans="1:11" x14ac:dyDescent="0.25">
      <c r="A1975">
        <v>11012</v>
      </c>
      <c r="B1975">
        <v>19</v>
      </c>
      <c r="C1975">
        <v>9.1999999999999993</v>
      </c>
      <c r="D1975">
        <v>50</v>
      </c>
      <c r="E1975">
        <v>0.05</v>
      </c>
      <c r="F1975">
        <f t="shared" si="30"/>
        <v>436.99999999999994</v>
      </c>
      <c r="G1975">
        <f>YEAR(VLOOKUP(A1975,orders!A:D,4,0))</f>
        <v>2015</v>
      </c>
      <c r="H1975">
        <f>MONTH(INDEX(orders!D:D,MATCH(A1975, orders!A:A,0)))</f>
        <v>4</v>
      </c>
      <c r="I1975" t="str">
        <f>VLOOKUP(VLOOKUP(B1975,products!A:F,6,0),categories!A:B,2,0)</f>
        <v>Confections</v>
      </c>
      <c r="J1975" t="str">
        <f>VLOOKUP(VLOOKUP(A1975,orders!A:B,2,0),customers!A:F,6,0)</f>
        <v>Germany</v>
      </c>
      <c r="K1975" t="str">
        <f>VLOOKUP(VLOOKUP(A1975,orders!A:C,3,0),employees!A:B,2,0)</f>
        <v>Nancy Davolio</v>
      </c>
    </row>
    <row r="1976" spans="1:11" x14ac:dyDescent="0.25">
      <c r="A1976">
        <v>11012</v>
      </c>
      <c r="B1976">
        <v>60</v>
      </c>
      <c r="C1976">
        <v>34</v>
      </c>
      <c r="D1976">
        <v>36</v>
      </c>
      <c r="E1976">
        <v>0.05</v>
      </c>
      <c r="F1976">
        <f t="shared" si="30"/>
        <v>1162.8</v>
      </c>
      <c r="G1976">
        <f>YEAR(VLOOKUP(A1976,orders!A:D,4,0))</f>
        <v>2015</v>
      </c>
      <c r="H1976">
        <f>MONTH(INDEX(orders!D:D,MATCH(A1976, orders!A:A,0)))</f>
        <v>4</v>
      </c>
      <c r="I1976" t="str">
        <f>VLOOKUP(VLOOKUP(B1976,products!A:F,6,0),categories!A:B,2,0)</f>
        <v>Dairy Products</v>
      </c>
      <c r="J1976" t="str">
        <f>VLOOKUP(VLOOKUP(A1976,orders!A:B,2,0),customers!A:F,6,0)</f>
        <v>Germany</v>
      </c>
      <c r="K1976" t="str">
        <f>VLOOKUP(VLOOKUP(A1976,orders!A:C,3,0),employees!A:B,2,0)</f>
        <v>Nancy Davolio</v>
      </c>
    </row>
    <row r="1977" spans="1:11" x14ac:dyDescent="0.25">
      <c r="A1977">
        <v>11012</v>
      </c>
      <c r="B1977">
        <v>71</v>
      </c>
      <c r="C1977">
        <v>21.5</v>
      </c>
      <c r="D1977">
        <v>60</v>
      </c>
      <c r="E1977">
        <v>0.05</v>
      </c>
      <c r="F1977">
        <f t="shared" si="30"/>
        <v>1225.5</v>
      </c>
      <c r="G1977">
        <f>YEAR(VLOOKUP(A1977,orders!A:D,4,0))</f>
        <v>2015</v>
      </c>
      <c r="H1977">
        <f>MONTH(INDEX(orders!D:D,MATCH(A1977, orders!A:A,0)))</f>
        <v>4</v>
      </c>
      <c r="I1977" t="str">
        <f>VLOOKUP(VLOOKUP(B1977,products!A:F,6,0),categories!A:B,2,0)</f>
        <v>Dairy Products</v>
      </c>
      <c r="J1977" t="str">
        <f>VLOOKUP(VLOOKUP(A1977,orders!A:B,2,0),customers!A:F,6,0)</f>
        <v>Germany</v>
      </c>
      <c r="K1977" t="str">
        <f>VLOOKUP(VLOOKUP(A1977,orders!A:C,3,0),employees!A:B,2,0)</f>
        <v>Nancy Davolio</v>
      </c>
    </row>
    <row r="1978" spans="1:11" x14ac:dyDescent="0.25">
      <c r="A1978">
        <v>11013</v>
      </c>
      <c r="B1978">
        <v>23</v>
      </c>
      <c r="C1978">
        <v>9</v>
      </c>
      <c r="D1978">
        <v>10</v>
      </c>
      <c r="E1978">
        <v>0</v>
      </c>
      <c r="F1978">
        <f t="shared" si="30"/>
        <v>90</v>
      </c>
      <c r="G1978">
        <f>YEAR(VLOOKUP(A1978,orders!A:D,4,0))</f>
        <v>2015</v>
      </c>
      <c r="H1978">
        <f>MONTH(INDEX(orders!D:D,MATCH(A1978, orders!A:A,0)))</f>
        <v>4</v>
      </c>
      <c r="I1978" t="str">
        <f>VLOOKUP(VLOOKUP(B1978,products!A:F,6,0),categories!A:B,2,0)</f>
        <v>Grains &amp; Cereals</v>
      </c>
      <c r="J1978" t="str">
        <f>VLOOKUP(VLOOKUP(A1978,orders!A:B,2,0),customers!A:F,6,0)</f>
        <v>Spain</v>
      </c>
      <c r="K1978" t="str">
        <f>VLOOKUP(VLOOKUP(A1978,orders!A:C,3,0),employees!A:B,2,0)</f>
        <v>Andrew Fuller</v>
      </c>
    </row>
    <row r="1979" spans="1:11" x14ac:dyDescent="0.25">
      <c r="A1979">
        <v>11013</v>
      </c>
      <c r="B1979">
        <v>42</v>
      </c>
      <c r="C1979">
        <v>14</v>
      </c>
      <c r="D1979">
        <v>4</v>
      </c>
      <c r="E1979">
        <v>0</v>
      </c>
      <c r="F1979">
        <f t="shared" si="30"/>
        <v>56</v>
      </c>
      <c r="G1979">
        <f>YEAR(VLOOKUP(A1979,orders!A:D,4,0))</f>
        <v>2015</v>
      </c>
      <c r="H1979">
        <f>MONTH(INDEX(orders!D:D,MATCH(A1979, orders!A:A,0)))</f>
        <v>4</v>
      </c>
      <c r="I1979" t="str">
        <f>VLOOKUP(VLOOKUP(B1979,products!A:F,6,0),categories!A:B,2,0)</f>
        <v>Grains &amp; Cereals</v>
      </c>
      <c r="J1979" t="str">
        <f>VLOOKUP(VLOOKUP(A1979,orders!A:B,2,0),customers!A:F,6,0)</f>
        <v>Spain</v>
      </c>
      <c r="K1979" t="str">
        <f>VLOOKUP(VLOOKUP(A1979,orders!A:C,3,0),employees!A:B,2,0)</f>
        <v>Andrew Fuller</v>
      </c>
    </row>
    <row r="1980" spans="1:11" x14ac:dyDescent="0.25">
      <c r="A1980">
        <v>11013</v>
      </c>
      <c r="B1980">
        <v>45</v>
      </c>
      <c r="C1980">
        <v>9.5</v>
      </c>
      <c r="D1980">
        <v>20</v>
      </c>
      <c r="E1980">
        <v>0</v>
      </c>
      <c r="F1980">
        <f t="shared" si="30"/>
        <v>190</v>
      </c>
      <c r="G1980">
        <f>YEAR(VLOOKUP(A1980,orders!A:D,4,0))</f>
        <v>2015</v>
      </c>
      <c r="H1980">
        <f>MONTH(INDEX(orders!D:D,MATCH(A1980, orders!A:A,0)))</f>
        <v>4</v>
      </c>
      <c r="I1980" t="str">
        <f>VLOOKUP(VLOOKUP(B1980,products!A:F,6,0),categories!A:B,2,0)</f>
        <v>Seafood</v>
      </c>
      <c r="J1980" t="str">
        <f>VLOOKUP(VLOOKUP(A1980,orders!A:B,2,0),customers!A:F,6,0)</f>
        <v>Spain</v>
      </c>
      <c r="K1980" t="str">
        <f>VLOOKUP(VLOOKUP(A1980,orders!A:C,3,0),employees!A:B,2,0)</f>
        <v>Andrew Fuller</v>
      </c>
    </row>
    <row r="1981" spans="1:11" x14ac:dyDescent="0.25">
      <c r="A1981">
        <v>11013</v>
      </c>
      <c r="B1981">
        <v>68</v>
      </c>
      <c r="C1981">
        <v>12.5</v>
      </c>
      <c r="D1981">
        <v>2</v>
      </c>
      <c r="E1981">
        <v>0</v>
      </c>
      <c r="F1981">
        <f t="shared" si="30"/>
        <v>25</v>
      </c>
      <c r="G1981">
        <f>YEAR(VLOOKUP(A1981,orders!A:D,4,0))</f>
        <v>2015</v>
      </c>
      <c r="H1981">
        <f>MONTH(INDEX(orders!D:D,MATCH(A1981, orders!A:A,0)))</f>
        <v>4</v>
      </c>
      <c r="I1981" t="str">
        <f>VLOOKUP(VLOOKUP(B1981,products!A:F,6,0),categories!A:B,2,0)</f>
        <v>Confections</v>
      </c>
      <c r="J1981" t="str">
        <f>VLOOKUP(VLOOKUP(A1981,orders!A:B,2,0),customers!A:F,6,0)</f>
        <v>Spain</v>
      </c>
      <c r="K1981" t="str">
        <f>VLOOKUP(VLOOKUP(A1981,orders!A:C,3,0),employees!A:B,2,0)</f>
        <v>Andrew Fuller</v>
      </c>
    </row>
    <row r="1982" spans="1:11" x14ac:dyDescent="0.25">
      <c r="A1982">
        <v>11014</v>
      </c>
      <c r="B1982">
        <v>41</v>
      </c>
      <c r="C1982">
        <v>9.65</v>
      </c>
      <c r="D1982">
        <v>28</v>
      </c>
      <c r="E1982">
        <v>0.1</v>
      </c>
      <c r="F1982">
        <f t="shared" si="30"/>
        <v>243.18</v>
      </c>
      <c r="G1982">
        <f>YEAR(VLOOKUP(A1982,orders!A:D,4,0))</f>
        <v>2015</v>
      </c>
      <c r="H1982">
        <f>MONTH(INDEX(orders!D:D,MATCH(A1982, orders!A:A,0)))</f>
        <v>4</v>
      </c>
      <c r="I1982" t="str">
        <f>VLOOKUP(VLOOKUP(B1982,products!A:F,6,0),categories!A:B,2,0)</f>
        <v>Seafood</v>
      </c>
      <c r="J1982" t="str">
        <f>VLOOKUP(VLOOKUP(A1982,orders!A:B,2,0),customers!A:F,6,0)</f>
        <v>Venezuela</v>
      </c>
      <c r="K1982" t="str">
        <f>VLOOKUP(VLOOKUP(A1982,orders!A:C,3,0),employees!A:B,2,0)</f>
        <v>Andrew Fuller</v>
      </c>
    </row>
    <row r="1983" spans="1:11" x14ac:dyDescent="0.25">
      <c r="A1983">
        <v>11015</v>
      </c>
      <c r="B1983">
        <v>30</v>
      </c>
      <c r="C1983">
        <v>25.89</v>
      </c>
      <c r="D1983">
        <v>15</v>
      </c>
      <c r="E1983">
        <v>0</v>
      </c>
      <c r="F1983">
        <f t="shared" si="30"/>
        <v>388.35</v>
      </c>
      <c r="G1983">
        <f>YEAR(VLOOKUP(A1983,orders!A:D,4,0))</f>
        <v>2015</v>
      </c>
      <c r="H1983">
        <f>MONTH(INDEX(orders!D:D,MATCH(A1983, orders!A:A,0)))</f>
        <v>4</v>
      </c>
      <c r="I1983" t="str">
        <f>VLOOKUP(VLOOKUP(B1983,products!A:F,6,0),categories!A:B,2,0)</f>
        <v>Seafood</v>
      </c>
      <c r="J1983" t="str">
        <f>VLOOKUP(VLOOKUP(A1983,orders!A:B,2,0),customers!A:F,6,0)</f>
        <v>Norway</v>
      </c>
      <c r="K1983" t="str">
        <f>VLOOKUP(VLOOKUP(A1983,orders!A:C,3,0),employees!A:B,2,0)</f>
        <v>Andrew Fuller</v>
      </c>
    </row>
    <row r="1984" spans="1:11" x14ac:dyDescent="0.25">
      <c r="A1984">
        <v>11015</v>
      </c>
      <c r="B1984">
        <v>77</v>
      </c>
      <c r="C1984">
        <v>13</v>
      </c>
      <c r="D1984">
        <v>18</v>
      </c>
      <c r="E1984">
        <v>0</v>
      </c>
      <c r="F1984">
        <f t="shared" si="30"/>
        <v>234</v>
      </c>
      <c r="G1984">
        <f>YEAR(VLOOKUP(A1984,orders!A:D,4,0))</f>
        <v>2015</v>
      </c>
      <c r="H1984">
        <f>MONTH(INDEX(orders!D:D,MATCH(A1984, orders!A:A,0)))</f>
        <v>4</v>
      </c>
      <c r="I1984" t="str">
        <f>VLOOKUP(VLOOKUP(B1984,products!A:F,6,0),categories!A:B,2,0)</f>
        <v>Condiments</v>
      </c>
      <c r="J1984" t="str">
        <f>VLOOKUP(VLOOKUP(A1984,orders!A:B,2,0),customers!A:F,6,0)</f>
        <v>Norway</v>
      </c>
      <c r="K1984" t="str">
        <f>VLOOKUP(VLOOKUP(A1984,orders!A:C,3,0),employees!A:B,2,0)</f>
        <v>Andrew Fuller</v>
      </c>
    </row>
    <row r="1985" spans="1:11" x14ac:dyDescent="0.25">
      <c r="A1985">
        <v>11016</v>
      </c>
      <c r="B1985">
        <v>31</v>
      </c>
      <c r="C1985">
        <v>12.5</v>
      </c>
      <c r="D1985">
        <v>15</v>
      </c>
      <c r="E1985">
        <v>0</v>
      </c>
      <c r="F1985">
        <f t="shared" si="30"/>
        <v>187.5</v>
      </c>
      <c r="G1985">
        <f>YEAR(VLOOKUP(A1985,orders!A:D,4,0))</f>
        <v>2015</v>
      </c>
      <c r="H1985">
        <f>MONTH(INDEX(orders!D:D,MATCH(A1985, orders!A:A,0)))</f>
        <v>4</v>
      </c>
      <c r="I1985" t="str">
        <f>VLOOKUP(VLOOKUP(B1985,products!A:F,6,0),categories!A:B,2,0)</f>
        <v>Dairy Products</v>
      </c>
      <c r="J1985" t="str">
        <f>VLOOKUP(VLOOKUP(A1985,orders!A:B,2,0),customers!A:F,6,0)</f>
        <v>UK</v>
      </c>
      <c r="K1985" t="str">
        <f>VLOOKUP(VLOOKUP(A1985,orders!A:C,3,0),employees!A:B,2,0)</f>
        <v>Anne Dodsworth</v>
      </c>
    </row>
    <row r="1986" spans="1:11" x14ac:dyDescent="0.25">
      <c r="A1986">
        <v>11016</v>
      </c>
      <c r="B1986">
        <v>36</v>
      </c>
      <c r="C1986">
        <v>19</v>
      </c>
      <c r="D1986">
        <v>16</v>
      </c>
      <c r="E1986">
        <v>0</v>
      </c>
      <c r="F1986">
        <f t="shared" si="30"/>
        <v>304</v>
      </c>
      <c r="G1986">
        <f>YEAR(VLOOKUP(A1986,orders!A:D,4,0))</f>
        <v>2015</v>
      </c>
      <c r="H1986">
        <f>MONTH(INDEX(orders!D:D,MATCH(A1986, orders!A:A,0)))</f>
        <v>4</v>
      </c>
      <c r="I1986" t="str">
        <f>VLOOKUP(VLOOKUP(B1986,products!A:F,6,0),categories!A:B,2,0)</f>
        <v>Seafood</v>
      </c>
      <c r="J1986" t="str">
        <f>VLOOKUP(VLOOKUP(A1986,orders!A:B,2,0),customers!A:F,6,0)</f>
        <v>UK</v>
      </c>
      <c r="K1986" t="str">
        <f>VLOOKUP(VLOOKUP(A1986,orders!A:C,3,0),employees!A:B,2,0)</f>
        <v>Anne Dodsworth</v>
      </c>
    </row>
    <row r="1987" spans="1:11" x14ac:dyDescent="0.25">
      <c r="A1987">
        <v>11017</v>
      </c>
      <c r="B1987">
        <v>3</v>
      </c>
      <c r="C1987">
        <v>10</v>
      </c>
      <c r="D1987">
        <v>25</v>
      </c>
      <c r="E1987">
        <v>0</v>
      </c>
      <c r="F1987">
        <f t="shared" ref="F1987:F2050" si="31">C1987*D1987*(1-E1987)</f>
        <v>250</v>
      </c>
      <c r="G1987">
        <f>YEAR(VLOOKUP(A1987,orders!A:D,4,0))</f>
        <v>2015</v>
      </c>
      <c r="H1987">
        <f>MONTH(INDEX(orders!D:D,MATCH(A1987, orders!A:A,0)))</f>
        <v>4</v>
      </c>
      <c r="I1987" t="str">
        <f>VLOOKUP(VLOOKUP(B1987,products!A:F,6,0),categories!A:B,2,0)</f>
        <v>Condiments</v>
      </c>
      <c r="J1987" t="str">
        <f>VLOOKUP(VLOOKUP(A1987,orders!A:B,2,0),customers!A:F,6,0)</f>
        <v>Austria</v>
      </c>
      <c r="K1987" t="str">
        <f>VLOOKUP(VLOOKUP(A1987,orders!A:C,3,0),employees!A:B,2,0)</f>
        <v>Anne Dodsworth</v>
      </c>
    </row>
    <row r="1988" spans="1:11" x14ac:dyDescent="0.25">
      <c r="A1988">
        <v>11017</v>
      </c>
      <c r="B1988">
        <v>59</v>
      </c>
      <c r="C1988">
        <v>55</v>
      </c>
      <c r="D1988">
        <v>110</v>
      </c>
      <c r="E1988">
        <v>0</v>
      </c>
      <c r="F1988">
        <f t="shared" si="31"/>
        <v>6050</v>
      </c>
      <c r="G1988">
        <f>YEAR(VLOOKUP(A1988,orders!A:D,4,0))</f>
        <v>2015</v>
      </c>
      <c r="H1988">
        <f>MONTH(INDEX(orders!D:D,MATCH(A1988, orders!A:A,0)))</f>
        <v>4</v>
      </c>
      <c r="I1988" t="str">
        <f>VLOOKUP(VLOOKUP(B1988,products!A:F,6,0),categories!A:B,2,0)</f>
        <v>Dairy Products</v>
      </c>
      <c r="J1988" t="str">
        <f>VLOOKUP(VLOOKUP(A1988,orders!A:B,2,0),customers!A:F,6,0)</f>
        <v>Austria</v>
      </c>
      <c r="K1988" t="str">
        <f>VLOOKUP(VLOOKUP(A1988,orders!A:C,3,0),employees!A:B,2,0)</f>
        <v>Anne Dodsworth</v>
      </c>
    </row>
    <row r="1989" spans="1:11" x14ac:dyDescent="0.25">
      <c r="A1989">
        <v>11017</v>
      </c>
      <c r="B1989">
        <v>70</v>
      </c>
      <c r="C1989">
        <v>15</v>
      </c>
      <c r="D1989">
        <v>30</v>
      </c>
      <c r="E1989">
        <v>0</v>
      </c>
      <c r="F1989">
        <f t="shared" si="31"/>
        <v>450</v>
      </c>
      <c r="G1989">
        <f>YEAR(VLOOKUP(A1989,orders!A:D,4,0))</f>
        <v>2015</v>
      </c>
      <c r="H1989">
        <f>MONTH(INDEX(orders!D:D,MATCH(A1989, orders!A:A,0)))</f>
        <v>4</v>
      </c>
      <c r="I1989" t="str">
        <f>VLOOKUP(VLOOKUP(B1989,products!A:F,6,0),categories!A:B,2,0)</f>
        <v>Beverages</v>
      </c>
      <c r="J1989" t="str">
        <f>VLOOKUP(VLOOKUP(A1989,orders!A:B,2,0),customers!A:F,6,0)</f>
        <v>Austria</v>
      </c>
      <c r="K1989" t="str">
        <f>VLOOKUP(VLOOKUP(A1989,orders!A:C,3,0),employees!A:B,2,0)</f>
        <v>Anne Dodsworth</v>
      </c>
    </row>
    <row r="1990" spans="1:11" x14ac:dyDescent="0.25">
      <c r="A1990">
        <v>11018</v>
      </c>
      <c r="B1990">
        <v>12</v>
      </c>
      <c r="C1990">
        <v>38</v>
      </c>
      <c r="D1990">
        <v>20</v>
      </c>
      <c r="E1990">
        <v>0</v>
      </c>
      <c r="F1990">
        <f t="shared" si="31"/>
        <v>760</v>
      </c>
      <c r="G1990">
        <f>YEAR(VLOOKUP(A1990,orders!A:D,4,0))</f>
        <v>2015</v>
      </c>
      <c r="H1990">
        <f>MONTH(INDEX(orders!D:D,MATCH(A1990, orders!A:A,0)))</f>
        <v>4</v>
      </c>
      <c r="I1990" t="str">
        <f>VLOOKUP(VLOOKUP(B1990,products!A:F,6,0),categories!A:B,2,0)</f>
        <v>Dairy Products</v>
      </c>
      <c r="J1990" t="str">
        <f>VLOOKUP(VLOOKUP(A1990,orders!A:B,2,0),customers!A:F,6,0)</f>
        <v>USA</v>
      </c>
      <c r="K1990" t="str">
        <f>VLOOKUP(VLOOKUP(A1990,orders!A:C,3,0),employees!A:B,2,0)</f>
        <v>Margaret Peacock</v>
      </c>
    </row>
    <row r="1991" spans="1:11" x14ac:dyDescent="0.25">
      <c r="A1991">
        <v>11018</v>
      </c>
      <c r="B1991">
        <v>18</v>
      </c>
      <c r="C1991">
        <v>62.5</v>
      </c>
      <c r="D1991">
        <v>10</v>
      </c>
      <c r="E1991">
        <v>0</v>
      </c>
      <c r="F1991">
        <f t="shared" si="31"/>
        <v>625</v>
      </c>
      <c r="G1991">
        <f>YEAR(VLOOKUP(A1991,orders!A:D,4,0))</f>
        <v>2015</v>
      </c>
      <c r="H1991">
        <f>MONTH(INDEX(orders!D:D,MATCH(A1991, orders!A:A,0)))</f>
        <v>4</v>
      </c>
      <c r="I1991" t="str">
        <f>VLOOKUP(VLOOKUP(B1991,products!A:F,6,0),categories!A:B,2,0)</f>
        <v>Seafood</v>
      </c>
      <c r="J1991" t="str">
        <f>VLOOKUP(VLOOKUP(A1991,orders!A:B,2,0),customers!A:F,6,0)</f>
        <v>USA</v>
      </c>
      <c r="K1991" t="str">
        <f>VLOOKUP(VLOOKUP(A1991,orders!A:C,3,0),employees!A:B,2,0)</f>
        <v>Margaret Peacock</v>
      </c>
    </row>
    <row r="1992" spans="1:11" x14ac:dyDescent="0.25">
      <c r="A1992">
        <v>11018</v>
      </c>
      <c r="B1992">
        <v>56</v>
      </c>
      <c r="C1992">
        <v>38</v>
      </c>
      <c r="D1992">
        <v>5</v>
      </c>
      <c r="E1992">
        <v>0</v>
      </c>
      <c r="F1992">
        <f t="shared" si="31"/>
        <v>190</v>
      </c>
      <c r="G1992">
        <f>YEAR(VLOOKUP(A1992,orders!A:D,4,0))</f>
        <v>2015</v>
      </c>
      <c r="H1992">
        <f>MONTH(INDEX(orders!D:D,MATCH(A1992, orders!A:A,0)))</f>
        <v>4</v>
      </c>
      <c r="I1992" t="str">
        <f>VLOOKUP(VLOOKUP(B1992,products!A:F,6,0),categories!A:B,2,0)</f>
        <v>Grains &amp; Cereals</v>
      </c>
      <c r="J1992" t="str">
        <f>VLOOKUP(VLOOKUP(A1992,orders!A:B,2,0),customers!A:F,6,0)</f>
        <v>USA</v>
      </c>
      <c r="K1992" t="str">
        <f>VLOOKUP(VLOOKUP(A1992,orders!A:C,3,0),employees!A:B,2,0)</f>
        <v>Margaret Peacock</v>
      </c>
    </row>
    <row r="1993" spans="1:11" x14ac:dyDescent="0.25">
      <c r="A1993">
        <v>11019</v>
      </c>
      <c r="B1993">
        <v>46</v>
      </c>
      <c r="C1993">
        <v>12</v>
      </c>
      <c r="D1993">
        <v>3</v>
      </c>
      <c r="E1993">
        <v>0</v>
      </c>
      <c r="F1993">
        <f t="shared" si="31"/>
        <v>36</v>
      </c>
      <c r="G1993">
        <f>YEAR(VLOOKUP(A1993,orders!A:D,4,0))</f>
        <v>2015</v>
      </c>
      <c r="H1993">
        <f>MONTH(INDEX(orders!D:D,MATCH(A1993, orders!A:A,0)))</f>
        <v>4</v>
      </c>
      <c r="I1993" t="str">
        <f>VLOOKUP(VLOOKUP(B1993,products!A:F,6,0),categories!A:B,2,0)</f>
        <v>Seafood</v>
      </c>
      <c r="J1993" t="str">
        <f>VLOOKUP(VLOOKUP(A1993,orders!A:B,2,0),customers!A:F,6,0)</f>
        <v>Argentina</v>
      </c>
      <c r="K1993" t="str">
        <f>VLOOKUP(VLOOKUP(A1993,orders!A:C,3,0),employees!A:B,2,0)</f>
        <v>Michael Suyama</v>
      </c>
    </row>
    <row r="1994" spans="1:11" x14ac:dyDescent="0.25">
      <c r="A1994">
        <v>11019</v>
      </c>
      <c r="B1994">
        <v>49</v>
      </c>
      <c r="C1994">
        <v>20</v>
      </c>
      <c r="D1994">
        <v>2</v>
      </c>
      <c r="E1994">
        <v>0</v>
      </c>
      <c r="F1994">
        <f t="shared" si="31"/>
        <v>40</v>
      </c>
      <c r="G1994">
        <f>YEAR(VLOOKUP(A1994,orders!A:D,4,0))</f>
        <v>2015</v>
      </c>
      <c r="H1994">
        <f>MONTH(INDEX(orders!D:D,MATCH(A1994, orders!A:A,0)))</f>
        <v>4</v>
      </c>
      <c r="I1994" t="str">
        <f>VLOOKUP(VLOOKUP(B1994,products!A:F,6,0),categories!A:B,2,0)</f>
        <v>Confections</v>
      </c>
      <c r="J1994" t="str">
        <f>VLOOKUP(VLOOKUP(A1994,orders!A:B,2,0),customers!A:F,6,0)</f>
        <v>Argentina</v>
      </c>
      <c r="K1994" t="str">
        <f>VLOOKUP(VLOOKUP(A1994,orders!A:C,3,0),employees!A:B,2,0)</f>
        <v>Michael Suyama</v>
      </c>
    </row>
    <row r="1995" spans="1:11" x14ac:dyDescent="0.25">
      <c r="A1995">
        <v>11020</v>
      </c>
      <c r="B1995">
        <v>10</v>
      </c>
      <c r="C1995">
        <v>31</v>
      </c>
      <c r="D1995">
        <v>24</v>
      </c>
      <c r="E1995">
        <v>0.15</v>
      </c>
      <c r="F1995">
        <f t="shared" si="31"/>
        <v>632.4</v>
      </c>
      <c r="G1995">
        <f>YEAR(VLOOKUP(A1995,orders!A:D,4,0))</f>
        <v>2015</v>
      </c>
      <c r="H1995">
        <f>MONTH(INDEX(orders!D:D,MATCH(A1995, orders!A:A,0)))</f>
        <v>4</v>
      </c>
      <c r="I1995" t="str">
        <f>VLOOKUP(VLOOKUP(B1995,products!A:F,6,0),categories!A:B,2,0)</f>
        <v>Seafood</v>
      </c>
      <c r="J1995" t="str">
        <f>VLOOKUP(VLOOKUP(A1995,orders!A:B,2,0),customers!A:F,6,0)</f>
        <v>Germany</v>
      </c>
      <c r="K1995" t="str">
        <f>VLOOKUP(VLOOKUP(A1995,orders!A:C,3,0),employees!A:B,2,0)</f>
        <v>Andrew Fuller</v>
      </c>
    </row>
    <row r="1996" spans="1:11" x14ac:dyDescent="0.25">
      <c r="A1996">
        <v>11021</v>
      </c>
      <c r="B1996">
        <v>2</v>
      </c>
      <c r="C1996">
        <v>19</v>
      </c>
      <c r="D1996">
        <v>11</v>
      </c>
      <c r="E1996">
        <v>0.25</v>
      </c>
      <c r="F1996">
        <f t="shared" si="31"/>
        <v>156.75</v>
      </c>
      <c r="G1996">
        <f>YEAR(VLOOKUP(A1996,orders!A:D,4,0))</f>
        <v>2015</v>
      </c>
      <c r="H1996">
        <f>MONTH(INDEX(orders!D:D,MATCH(A1996, orders!A:A,0)))</f>
        <v>4</v>
      </c>
      <c r="I1996" t="str">
        <f>VLOOKUP(VLOOKUP(B1996,products!A:F,6,0),categories!A:B,2,0)</f>
        <v>Beverages</v>
      </c>
      <c r="J1996" t="str">
        <f>VLOOKUP(VLOOKUP(A1996,orders!A:B,2,0),customers!A:F,6,0)</f>
        <v>Germany</v>
      </c>
      <c r="K1996" t="str">
        <f>VLOOKUP(VLOOKUP(A1996,orders!A:C,3,0),employees!A:B,2,0)</f>
        <v>Janet Leverling</v>
      </c>
    </row>
    <row r="1997" spans="1:11" x14ac:dyDescent="0.25">
      <c r="A1997">
        <v>11021</v>
      </c>
      <c r="B1997">
        <v>20</v>
      </c>
      <c r="C1997">
        <v>81</v>
      </c>
      <c r="D1997">
        <v>15</v>
      </c>
      <c r="E1997">
        <v>0</v>
      </c>
      <c r="F1997">
        <f t="shared" si="31"/>
        <v>1215</v>
      </c>
      <c r="G1997">
        <f>YEAR(VLOOKUP(A1997,orders!A:D,4,0))</f>
        <v>2015</v>
      </c>
      <c r="H1997">
        <f>MONTH(INDEX(orders!D:D,MATCH(A1997, orders!A:A,0)))</f>
        <v>4</v>
      </c>
      <c r="I1997" t="str">
        <f>VLOOKUP(VLOOKUP(B1997,products!A:F,6,0),categories!A:B,2,0)</f>
        <v>Confections</v>
      </c>
      <c r="J1997" t="str">
        <f>VLOOKUP(VLOOKUP(A1997,orders!A:B,2,0),customers!A:F,6,0)</f>
        <v>Germany</v>
      </c>
      <c r="K1997" t="str">
        <f>VLOOKUP(VLOOKUP(A1997,orders!A:C,3,0),employees!A:B,2,0)</f>
        <v>Janet Leverling</v>
      </c>
    </row>
    <row r="1998" spans="1:11" x14ac:dyDescent="0.25">
      <c r="A1998">
        <v>11021</v>
      </c>
      <c r="B1998">
        <v>26</v>
      </c>
      <c r="C1998">
        <v>31.23</v>
      </c>
      <c r="D1998">
        <v>63</v>
      </c>
      <c r="E1998">
        <v>0</v>
      </c>
      <c r="F1998">
        <f t="shared" si="31"/>
        <v>1967.49</v>
      </c>
      <c r="G1998">
        <f>YEAR(VLOOKUP(A1998,orders!A:D,4,0))</f>
        <v>2015</v>
      </c>
      <c r="H1998">
        <f>MONTH(INDEX(orders!D:D,MATCH(A1998, orders!A:A,0)))</f>
        <v>4</v>
      </c>
      <c r="I1998" t="str">
        <f>VLOOKUP(VLOOKUP(B1998,products!A:F,6,0),categories!A:B,2,0)</f>
        <v>Confections</v>
      </c>
      <c r="J1998" t="str">
        <f>VLOOKUP(VLOOKUP(A1998,orders!A:B,2,0),customers!A:F,6,0)</f>
        <v>Germany</v>
      </c>
      <c r="K1998" t="str">
        <f>VLOOKUP(VLOOKUP(A1998,orders!A:C,3,0),employees!A:B,2,0)</f>
        <v>Janet Leverling</v>
      </c>
    </row>
    <row r="1999" spans="1:11" x14ac:dyDescent="0.25">
      <c r="A1999">
        <v>11021</v>
      </c>
      <c r="B1999">
        <v>51</v>
      </c>
      <c r="C1999">
        <v>53</v>
      </c>
      <c r="D1999">
        <v>44</v>
      </c>
      <c r="E1999">
        <v>0.25</v>
      </c>
      <c r="F1999">
        <f t="shared" si="31"/>
        <v>1749</v>
      </c>
      <c r="G1999">
        <f>YEAR(VLOOKUP(A1999,orders!A:D,4,0))</f>
        <v>2015</v>
      </c>
      <c r="H1999">
        <f>MONTH(INDEX(orders!D:D,MATCH(A1999, orders!A:A,0)))</f>
        <v>4</v>
      </c>
      <c r="I1999" t="str">
        <f>VLOOKUP(VLOOKUP(B1999,products!A:F,6,0),categories!A:B,2,0)</f>
        <v>Produce</v>
      </c>
      <c r="J1999" t="str">
        <f>VLOOKUP(VLOOKUP(A1999,orders!A:B,2,0),customers!A:F,6,0)</f>
        <v>Germany</v>
      </c>
      <c r="K1999" t="str">
        <f>VLOOKUP(VLOOKUP(A1999,orders!A:C,3,0),employees!A:B,2,0)</f>
        <v>Janet Leverling</v>
      </c>
    </row>
    <row r="2000" spans="1:11" x14ac:dyDescent="0.25">
      <c r="A2000">
        <v>11021</v>
      </c>
      <c r="B2000">
        <v>72</v>
      </c>
      <c r="C2000">
        <v>34.799999999999997</v>
      </c>
      <c r="D2000">
        <v>35</v>
      </c>
      <c r="E2000">
        <v>0</v>
      </c>
      <c r="F2000">
        <f t="shared" si="31"/>
        <v>1218</v>
      </c>
      <c r="G2000">
        <f>YEAR(VLOOKUP(A2000,orders!A:D,4,0))</f>
        <v>2015</v>
      </c>
      <c r="H2000">
        <f>MONTH(INDEX(orders!D:D,MATCH(A2000, orders!A:A,0)))</f>
        <v>4</v>
      </c>
      <c r="I2000" t="str">
        <f>VLOOKUP(VLOOKUP(B2000,products!A:F,6,0),categories!A:B,2,0)</f>
        <v>Dairy Products</v>
      </c>
      <c r="J2000" t="str">
        <f>VLOOKUP(VLOOKUP(A2000,orders!A:B,2,0),customers!A:F,6,0)</f>
        <v>Germany</v>
      </c>
      <c r="K2000" t="str">
        <f>VLOOKUP(VLOOKUP(A2000,orders!A:C,3,0),employees!A:B,2,0)</f>
        <v>Janet Leverling</v>
      </c>
    </row>
    <row r="2001" spans="1:11" x14ac:dyDescent="0.25">
      <c r="A2001">
        <v>11022</v>
      </c>
      <c r="B2001">
        <v>19</v>
      </c>
      <c r="C2001">
        <v>9.1999999999999993</v>
      </c>
      <c r="D2001">
        <v>35</v>
      </c>
      <c r="E2001">
        <v>0</v>
      </c>
      <c r="F2001">
        <f t="shared" si="31"/>
        <v>322</v>
      </c>
      <c r="G2001">
        <f>YEAR(VLOOKUP(A2001,orders!A:D,4,0))</f>
        <v>2015</v>
      </c>
      <c r="H2001">
        <f>MONTH(INDEX(orders!D:D,MATCH(A2001, orders!A:A,0)))</f>
        <v>4</v>
      </c>
      <c r="I2001" t="str">
        <f>VLOOKUP(VLOOKUP(B2001,products!A:F,6,0),categories!A:B,2,0)</f>
        <v>Confections</v>
      </c>
      <c r="J2001" t="str">
        <f>VLOOKUP(VLOOKUP(A2001,orders!A:B,2,0),customers!A:F,6,0)</f>
        <v>Brazil</v>
      </c>
      <c r="K2001" t="str">
        <f>VLOOKUP(VLOOKUP(A2001,orders!A:C,3,0),employees!A:B,2,0)</f>
        <v>Anne Dodsworth</v>
      </c>
    </row>
    <row r="2002" spans="1:11" x14ac:dyDescent="0.25">
      <c r="A2002">
        <v>11022</v>
      </c>
      <c r="B2002">
        <v>69</v>
      </c>
      <c r="C2002">
        <v>36</v>
      </c>
      <c r="D2002">
        <v>30</v>
      </c>
      <c r="E2002">
        <v>0</v>
      </c>
      <c r="F2002">
        <f t="shared" si="31"/>
        <v>1080</v>
      </c>
      <c r="G2002">
        <f>YEAR(VLOOKUP(A2002,orders!A:D,4,0))</f>
        <v>2015</v>
      </c>
      <c r="H2002">
        <f>MONTH(INDEX(orders!D:D,MATCH(A2002, orders!A:A,0)))</f>
        <v>4</v>
      </c>
      <c r="I2002" t="str">
        <f>VLOOKUP(VLOOKUP(B2002,products!A:F,6,0),categories!A:B,2,0)</f>
        <v>Dairy Products</v>
      </c>
      <c r="J2002" t="str">
        <f>VLOOKUP(VLOOKUP(A2002,orders!A:B,2,0),customers!A:F,6,0)</f>
        <v>Brazil</v>
      </c>
      <c r="K2002" t="str">
        <f>VLOOKUP(VLOOKUP(A2002,orders!A:C,3,0),employees!A:B,2,0)</f>
        <v>Anne Dodsworth</v>
      </c>
    </row>
    <row r="2003" spans="1:11" x14ac:dyDescent="0.25">
      <c r="A2003">
        <v>11023</v>
      </c>
      <c r="B2003">
        <v>7</v>
      </c>
      <c r="C2003">
        <v>30</v>
      </c>
      <c r="D2003">
        <v>4</v>
      </c>
      <c r="E2003">
        <v>0</v>
      </c>
      <c r="F2003">
        <f t="shared" si="31"/>
        <v>120</v>
      </c>
      <c r="G2003">
        <f>YEAR(VLOOKUP(A2003,orders!A:D,4,0))</f>
        <v>2015</v>
      </c>
      <c r="H2003">
        <f>MONTH(INDEX(orders!D:D,MATCH(A2003, orders!A:A,0)))</f>
        <v>4</v>
      </c>
      <c r="I2003" t="str">
        <f>VLOOKUP(VLOOKUP(B2003,products!A:F,6,0),categories!A:B,2,0)</f>
        <v>Produce</v>
      </c>
      <c r="J2003" t="str">
        <f>VLOOKUP(VLOOKUP(A2003,orders!A:B,2,0),customers!A:F,6,0)</f>
        <v>UK</v>
      </c>
      <c r="K2003" t="str">
        <f>VLOOKUP(VLOOKUP(A2003,orders!A:C,3,0),employees!A:B,2,0)</f>
        <v>Nancy Davolio</v>
      </c>
    </row>
    <row r="2004" spans="1:11" x14ac:dyDescent="0.25">
      <c r="A2004">
        <v>11023</v>
      </c>
      <c r="B2004">
        <v>43</v>
      </c>
      <c r="C2004">
        <v>46</v>
      </c>
      <c r="D2004">
        <v>30</v>
      </c>
      <c r="E2004">
        <v>0</v>
      </c>
      <c r="F2004">
        <f t="shared" si="31"/>
        <v>1380</v>
      </c>
      <c r="G2004">
        <f>YEAR(VLOOKUP(A2004,orders!A:D,4,0))</f>
        <v>2015</v>
      </c>
      <c r="H2004">
        <f>MONTH(INDEX(orders!D:D,MATCH(A2004, orders!A:A,0)))</f>
        <v>4</v>
      </c>
      <c r="I2004" t="str">
        <f>VLOOKUP(VLOOKUP(B2004,products!A:F,6,0),categories!A:B,2,0)</f>
        <v>Beverages</v>
      </c>
      <c r="J2004" t="str">
        <f>VLOOKUP(VLOOKUP(A2004,orders!A:B,2,0),customers!A:F,6,0)</f>
        <v>UK</v>
      </c>
      <c r="K2004" t="str">
        <f>VLOOKUP(VLOOKUP(A2004,orders!A:C,3,0),employees!A:B,2,0)</f>
        <v>Nancy Davolio</v>
      </c>
    </row>
    <row r="2005" spans="1:11" x14ac:dyDescent="0.25">
      <c r="A2005">
        <v>11024</v>
      </c>
      <c r="B2005">
        <v>26</v>
      </c>
      <c r="C2005">
        <v>31.23</v>
      </c>
      <c r="D2005">
        <v>12</v>
      </c>
      <c r="E2005">
        <v>0</v>
      </c>
      <c r="F2005">
        <f t="shared" si="31"/>
        <v>374.76</v>
      </c>
      <c r="G2005">
        <f>YEAR(VLOOKUP(A2005,orders!A:D,4,0))</f>
        <v>2015</v>
      </c>
      <c r="H2005">
        <f>MONTH(INDEX(orders!D:D,MATCH(A2005, orders!A:A,0)))</f>
        <v>4</v>
      </c>
      <c r="I2005" t="str">
        <f>VLOOKUP(VLOOKUP(B2005,products!A:F,6,0),categories!A:B,2,0)</f>
        <v>Confections</v>
      </c>
      <c r="J2005" t="str">
        <f>VLOOKUP(VLOOKUP(A2005,orders!A:B,2,0),customers!A:F,6,0)</f>
        <v>UK</v>
      </c>
      <c r="K2005" t="str">
        <f>VLOOKUP(VLOOKUP(A2005,orders!A:C,3,0),employees!A:B,2,0)</f>
        <v>Margaret Peacock</v>
      </c>
    </row>
    <row r="2006" spans="1:11" x14ac:dyDescent="0.25">
      <c r="A2006">
        <v>11024</v>
      </c>
      <c r="B2006">
        <v>33</v>
      </c>
      <c r="C2006">
        <v>2.5</v>
      </c>
      <c r="D2006">
        <v>30</v>
      </c>
      <c r="E2006">
        <v>0</v>
      </c>
      <c r="F2006">
        <f t="shared" si="31"/>
        <v>75</v>
      </c>
      <c r="G2006">
        <f>YEAR(VLOOKUP(A2006,orders!A:D,4,0))</f>
        <v>2015</v>
      </c>
      <c r="H2006">
        <f>MONTH(INDEX(orders!D:D,MATCH(A2006, orders!A:A,0)))</f>
        <v>4</v>
      </c>
      <c r="I2006" t="str">
        <f>VLOOKUP(VLOOKUP(B2006,products!A:F,6,0),categories!A:B,2,0)</f>
        <v>Dairy Products</v>
      </c>
      <c r="J2006" t="str">
        <f>VLOOKUP(VLOOKUP(A2006,orders!A:B,2,0),customers!A:F,6,0)</f>
        <v>UK</v>
      </c>
      <c r="K2006" t="str">
        <f>VLOOKUP(VLOOKUP(A2006,orders!A:C,3,0),employees!A:B,2,0)</f>
        <v>Margaret Peacock</v>
      </c>
    </row>
    <row r="2007" spans="1:11" x14ac:dyDescent="0.25">
      <c r="A2007">
        <v>11024</v>
      </c>
      <c r="B2007">
        <v>65</v>
      </c>
      <c r="C2007">
        <v>21.05</v>
      </c>
      <c r="D2007">
        <v>21</v>
      </c>
      <c r="E2007">
        <v>0</v>
      </c>
      <c r="F2007">
        <f t="shared" si="31"/>
        <v>442.05</v>
      </c>
      <c r="G2007">
        <f>YEAR(VLOOKUP(A2007,orders!A:D,4,0))</f>
        <v>2015</v>
      </c>
      <c r="H2007">
        <f>MONTH(INDEX(orders!D:D,MATCH(A2007, orders!A:A,0)))</f>
        <v>4</v>
      </c>
      <c r="I2007" t="str">
        <f>VLOOKUP(VLOOKUP(B2007,products!A:F,6,0),categories!A:B,2,0)</f>
        <v>Condiments</v>
      </c>
      <c r="J2007" t="str">
        <f>VLOOKUP(VLOOKUP(A2007,orders!A:B,2,0),customers!A:F,6,0)</f>
        <v>UK</v>
      </c>
      <c r="K2007" t="str">
        <f>VLOOKUP(VLOOKUP(A2007,orders!A:C,3,0),employees!A:B,2,0)</f>
        <v>Margaret Peacock</v>
      </c>
    </row>
    <row r="2008" spans="1:11" x14ac:dyDescent="0.25">
      <c r="A2008">
        <v>11024</v>
      </c>
      <c r="B2008">
        <v>71</v>
      </c>
      <c r="C2008">
        <v>21.5</v>
      </c>
      <c r="D2008">
        <v>50</v>
      </c>
      <c r="E2008">
        <v>0</v>
      </c>
      <c r="F2008">
        <f t="shared" si="31"/>
        <v>1075</v>
      </c>
      <c r="G2008">
        <f>YEAR(VLOOKUP(A2008,orders!A:D,4,0))</f>
        <v>2015</v>
      </c>
      <c r="H2008">
        <f>MONTH(INDEX(orders!D:D,MATCH(A2008, orders!A:A,0)))</f>
        <v>4</v>
      </c>
      <c r="I2008" t="str">
        <f>VLOOKUP(VLOOKUP(B2008,products!A:F,6,0),categories!A:B,2,0)</f>
        <v>Dairy Products</v>
      </c>
      <c r="J2008" t="str">
        <f>VLOOKUP(VLOOKUP(A2008,orders!A:B,2,0),customers!A:F,6,0)</f>
        <v>UK</v>
      </c>
      <c r="K2008" t="str">
        <f>VLOOKUP(VLOOKUP(A2008,orders!A:C,3,0),employees!A:B,2,0)</f>
        <v>Margaret Peacock</v>
      </c>
    </row>
    <row r="2009" spans="1:11" x14ac:dyDescent="0.25">
      <c r="A2009">
        <v>11025</v>
      </c>
      <c r="B2009">
        <v>1</v>
      </c>
      <c r="C2009">
        <v>18</v>
      </c>
      <c r="D2009">
        <v>10</v>
      </c>
      <c r="E2009">
        <v>0.1</v>
      </c>
      <c r="F2009">
        <f t="shared" si="31"/>
        <v>162</v>
      </c>
      <c r="G2009">
        <f>YEAR(VLOOKUP(A2009,orders!A:D,4,0))</f>
        <v>2015</v>
      </c>
      <c r="H2009">
        <f>MONTH(INDEX(orders!D:D,MATCH(A2009, orders!A:A,0)))</f>
        <v>4</v>
      </c>
      <c r="I2009" t="str">
        <f>VLOOKUP(VLOOKUP(B2009,products!A:F,6,0),categories!A:B,2,0)</f>
        <v>Beverages</v>
      </c>
      <c r="J2009" t="str">
        <f>VLOOKUP(VLOOKUP(A2009,orders!A:B,2,0),customers!A:F,6,0)</f>
        <v>Finland</v>
      </c>
      <c r="K2009" t="str">
        <f>VLOOKUP(VLOOKUP(A2009,orders!A:C,3,0),employees!A:B,2,0)</f>
        <v>Michael Suyama</v>
      </c>
    </row>
    <row r="2010" spans="1:11" x14ac:dyDescent="0.25">
      <c r="A2010">
        <v>11025</v>
      </c>
      <c r="B2010">
        <v>13</v>
      </c>
      <c r="C2010">
        <v>6</v>
      </c>
      <c r="D2010">
        <v>20</v>
      </c>
      <c r="E2010">
        <v>0.1</v>
      </c>
      <c r="F2010">
        <f t="shared" si="31"/>
        <v>108</v>
      </c>
      <c r="G2010">
        <f>YEAR(VLOOKUP(A2010,orders!A:D,4,0))</f>
        <v>2015</v>
      </c>
      <c r="H2010">
        <f>MONTH(INDEX(orders!D:D,MATCH(A2010, orders!A:A,0)))</f>
        <v>4</v>
      </c>
      <c r="I2010" t="str">
        <f>VLOOKUP(VLOOKUP(B2010,products!A:F,6,0),categories!A:B,2,0)</f>
        <v>Seafood</v>
      </c>
      <c r="J2010" t="str">
        <f>VLOOKUP(VLOOKUP(A2010,orders!A:B,2,0),customers!A:F,6,0)</f>
        <v>Finland</v>
      </c>
      <c r="K2010" t="str">
        <f>VLOOKUP(VLOOKUP(A2010,orders!A:C,3,0),employees!A:B,2,0)</f>
        <v>Michael Suyama</v>
      </c>
    </row>
    <row r="2011" spans="1:11" x14ac:dyDescent="0.25">
      <c r="A2011">
        <v>11026</v>
      </c>
      <c r="B2011">
        <v>18</v>
      </c>
      <c r="C2011">
        <v>62.5</v>
      </c>
      <c r="D2011">
        <v>8</v>
      </c>
      <c r="E2011">
        <v>0</v>
      </c>
      <c r="F2011">
        <f t="shared" si="31"/>
        <v>500</v>
      </c>
      <c r="G2011">
        <f>YEAR(VLOOKUP(A2011,orders!A:D,4,0))</f>
        <v>2015</v>
      </c>
      <c r="H2011">
        <f>MONTH(INDEX(orders!D:D,MATCH(A2011, orders!A:A,0)))</f>
        <v>4</v>
      </c>
      <c r="I2011" t="str">
        <f>VLOOKUP(VLOOKUP(B2011,products!A:F,6,0),categories!A:B,2,0)</f>
        <v>Seafood</v>
      </c>
      <c r="J2011" t="str">
        <f>VLOOKUP(VLOOKUP(A2011,orders!A:B,2,0),customers!A:F,6,0)</f>
        <v>Italy</v>
      </c>
      <c r="K2011" t="str">
        <f>VLOOKUP(VLOOKUP(A2011,orders!A:C,3,0),employees!A:B,2,0)</f>
        <v>Margaret Peacock</v>
      </c>
    </row>
    <row r="2012" spans="1:11" x14ac:dyDescent="0.25">
      <c r="A2012">
        <v>11026</v>
      </c>
      <c r="B2012">
        <v>51</v>
      </c>
      <c r="C2012">
        <v>53</v>
      </c>
      <c r="D2012">
        <v>10</v>
      </c>
      <c r="E2012">
        <v>0</v>
      </c>
      <c r="F2012">
        <f t="shared" si="31"/>
        <v>530</v>
      </c>
      <c r="G2012">
        <f>YEAR(VLOOKUP(A2012,orders!A:D,4,0))</f>
        <v>2015</v>
      </c>
      <c r="H2012">
        <f>MONTH(INDEX(orders!D:D,MATCH(A2012, orders!A:A,0)))</f>
        <v>4</v>
      </c>
      <c r="I2012" t="str">
        <f>VLOOKUP(VLOOKUP(B2012,products!A:F,6,0),categories!A:B,2,0)</f>
        <v>Produce</v>
      </c>
      <c r="J2012" t="str">
        <f>VLOOKUP(VLOOKUP(A2012,orders!A:B,2,0),customers!A:F,6,0)</f>
        <v>Italy</v>
      </c>
      <c r="K2012" t="str">
        <f>VLOOKUP(VLOOKUP(A2012,orders!A:C,3,0),employees!A:B,2,0)</f>
        <v>Margaret Peacock</v>
      </c>
    </row>
    <row r="2013" spans="1:11" x14ac:dyDescent="0.25">
      <c r="A2013">
        <v>11027</v>
      </c>
      <c r="B2013">
        <v>24</v>
      </c>
      <c r="C2013">
        <v>4.5</v>
      </c>
      <c r="D2013">
        <v>30</v>
      </c>
      <c r="E2013">
        <v>0.25</v>
      </c>
      <c r="F2013">
        <f t="shared" si="31"/>
        <v>101.25</v>
      </c>
      <c r="G2013">
        <f>YEAR(VLOOKUP(A2013,orders!A:D,4,0))</f>
        <v>2015</v>
      </c>
      <c r="H2013">
        <f>MONTH(INDEX(orders!D:D,MATCH(A2013, orders!A:A,0)))</f>
        <v>4</v>
      </c>
      <c r="I2013" t="str">
        <f>VLOOKUP(VLOOKUP(B2013,products!A:F,6,0),categories!A:B,2,0)</f>
        <v>Beverages</v>
      </c>
      <c r="J2013" t="str">
        <f>VLOOKUP(VLOOKUP(A2013,orders!A:B,2,0),customers!A:F,6,0)</f>
        <v>Canada</v>
      </c>
      <c r="K2013" t="str">
        <f>VLOOKUP(VLOOKUP(A2013,orders!A:C,3,0),employees!A:B,2,0)</f>
        <v>Nancy Davolio</v>
      </c>
    </row>
    <row r="2014" spans="1:11" x14ac:dyDescent="0.25">
      <c r="A2014">
        <v>11027</v>
      </c>
      <c r="B2014">
        <v>62</v>
      </c>
      <c r="C2014">
        <v>49.3</v>
      </c>
      <c r="D2014">
        <v>21</v>
      </c>
      <c r="E2014">
        <v>0.25</v>
      </c>
      <c r="F2014">
        <f t="shared" si="31"/>
        <v>776.47499999999991</v>
      </c>
      <c r="G2014">
        <f>YEAR(VLOOKUP(A2014,orders!A:D,4,0))</f>
        <v>2015</v>
      </c>
      <c r="H2014">
        <f>MONTH(INDEX(orders!D:D,MATCH(A2014, orders!A:A,0)))</f>
        <v>4</v>
      </c>
      <c r="I2014" t="str">
        <f>VLOOKUP(VLOOKUP(B2014,products!A:F,6,0),categories!A:B,2,0)</f>
        <v>Confections</v>
      </c>
      <c r="J2014" t="str">
        <f>VLOOKUP(VLOOKUP(A2014,orders!A:B,2,0),customers!A:F,6,0)</f>
        <v>Canada</v>
      </c>
      <c r="K2014" t="str">
        <f>VLOOKUP(VLOOKUP(A2014,orders!A:C,3,0),employees!A:B,2,0)</f>
        <v>Nancy Davolio</v>
      </c>
    </row>
    <row r="2015" spans="1:11" x14ac:dyDescent="0.25">
      <c r="A2015">
        <v>11028</v>
      </c>
      <c r="B2015">
        <v>55</v>
      </c>
      <c r="C2015">
        <v>24</v>
      </c>
      <c r="D2015">
        <v>35</v>
      </c>
      <c r="E2015">
        <v>0</v>
      </c>
      <c r="F2015">
        <f t="shared" si="31"/>
        <v>840</v>
      </c>
      <c r="G2015">
        <f>YEAR(VLOOKUP(A2015,orders!A:D,4,0))</f>
        <v>2015</v>
      </c>
      <c r="H2015">
        <f>MONTH(INDEX(orders!D:D,MATCH(A2015, orders!A:A,0)))</f>
        <v>4</v>
      </c>
      <c r="I2015" t="str">
        <f>VLOOKUP(VLOOKUP(B2015,products!A:F,6,0),categories!A:B,2,0)</f>
        <v>Meat &amp; Poultry</v>
      </c>
      <c r="J2015" t="str">
        <f>VLOOKUP(VLOOKUP(A2015,orders!A:B,2,0),customers!A:F,6,0)</f>
        <v>Germany</v>
      </c>
      <c r="K2015" t="str">
        <f>VLOOKUP(VLOOKUP(A2015,orders!A:C,3,0),employees!A:B,2,0)</f>
        <v>Andrew Fuller</v>
      </c>
    </row>
    <row r="2016" spans="1:11" x14ac:dyDescent="0.25">
      <c r="A2016">
        <v>11028</v>
      </c>
      <c r="B2016">
        <v>59</v>
      </c>
      <c r="C2016">
        <v>55</v>
      </c>
      <c r="D2016">
        <v>24</v>
      </c>
      <c r="E2016">
        <v>0</v>
      </c>
      <c r="F2016">
        <f t="shared" si="31"/>
        <v>1320</v>
      </c>
      <c r="G2016">
        <f>YEAR(VLOOKUP(A2016,orders!A:D,4,0))</f>
        <v>2015</v>
      </c>
      <c r="H2016">
        <f>MONTH(INDEX(orders!D:D,MATCH(A2016, orders!A:A,0)))</f>
        <v>4</v>
      </c>
      <c r="I2016" t="str">
        <f>VLOOKUP(VLOOKUP(B2016,products!A:F,6,0),categories!A:B,2,0)</f>
        <v>Dairy Products</v>
      </c>
      <c r="J2016" t="str">
        <f>VLOOKUP(VLOOKUP(A2016,orders!A:B,2,0),customers!A:F,6,0)</f>
        <v>Germany</v>
      </c>
      <c r="K2016" t="str">
        <f>VLOOKUP(VLOOKUP(A2016,orders!A:C,3,0),employees!A:B,2,0)</f>
        <v>Andrew Fuller</v>
      </c>
    </row>
    <row r="2017" spans="1:11" x14ac:dyDescent="0.25">
      <c r="A2017">
        <v>11029</v>
      </c>
      <c r="B2017">
        <v>56</v>
      </c>
      <c r="C2017">
        <v>38</v>
      </c>
      <c r="D2017">
        <v>20</v>
      </c>
      <c r="E2017">
        <v>0</v>
      </c>
      <c r="F2017">
        <f t="shared" si="31"/>
        <v>760</v>
      </c>
      <c r="G2017">
        <f>YEAR(VLOOKUP(A2017,orders!A:D,4,0))</f>
        <v>2015</v>
      </c>
      <c r="H2017">
        <f>MONTH(INDEX(orders!D:D,MATCH(A2017, orders!A:A,0)))</f>
        <v>4</v>
      </c>
      <c r="I2017" t="str">
        <f>VLOOKUP(VLOOKUP(B2017,products!A:F,6,0),categories!A:B,2,0)</f>
        <v>Grains &amp; Cereals</v>
      </c>
      <c r="J2017" t="str">
        <f>VLOOKUP(VLOOKUP(A2017,orders!A:B,2,0),customers!A:F,6,0)</f>
        <v>Switzerland</v>
      </c>
      <c r="K2017" t="str">
        <f>VLOOKUP(VLOOKUP(A2017,orders!A:C,3,0),employees!A:B,2,0)</f>
        <v>Margaret Peacock</v>
      </c>
    </row>
    <row r="2018" spans="1:11" x14ac:dyDescent="0.25">
      <c r="A2018">
        <v>11029</v>
      </c>
      <c r="B2018">
        <v>63</v>
      </c>
      <c r="C2018">
        <v>43.9</v>
      </c>
      <c r="D2018">
        <v>12</v>
      </c>
      <c r="E2018">
        <v>0</v>
      </c>
      <c r="F2018">
        <f t="shared" si="31"/>
        <v>526.79999999999995</v>
      </c>
      <c r="G2018">
        <f>YEAR(VLOOKUP(A2018,orders!A:D,4,0))</f>
        <v>2015</v>
      </c>
      <c r="H2018">
        <f>MONTH(INDEX(orders!D:D,MATCH(A2018, orders!A:A,0)))</f>
        <v>4</v>
      </c>
      <c r="I2018" t="str">
        <f>VLOOKUP(VLOOKUP(B2018,products!A:F,6,0),categories!A:B,2,0)</f>
        <v>Condiments</v>
      </c>
      <c r="J2018" t="str">
        <f>VLOOKUP(VLOOKUP(A2018,orders!A:B,2,0),customers!A:F,6,0)</f>
        <v>Switzerland</v>
      </c>
      <c r="K2018" t="str">
        <f>VLOOKUP(VLOOKUP(A2018,orders!A:C,3,0),employees!A:B,2,0)</f>
        <v>Margaret Peacock</v>
      </c>
    </row>
    <row r="2019" spans="1:11" x14ac:dyDescent="0.25">
      <c r="A2019">
        <v>11030</v>
      </c>
      <c r="B2019">
        <v>2</v>
      </c>
      <c r="C2019">
        <v>19</v>
      </c>
      <c r="D2019">
        <v>100</v>
      </c>
      <c r="E2019">
        <v>0.25</v>
      </c>
      <c r="F2019">
        <f t="shared" si="31"/>
        <v>1425</v>
      </c>
      <c r="G2019">
        <f>YEAR(VLOOKUP(A2019,orders!A:D,4,0))</f>
        <v>2015</v>
      </c>
      <c r="H2019">
        <f>MONTH(INDEX(orders!D:D,MATCH(A2019, orders!A:A,0)))</f>
        <v>4</v>
      </c>
      <c r="I2019" t="str">
        <f>VLOOKUP(VLOOKUP(B2019,products!A:F,6,0),categories!A:B,2,0)</f>
        <v>Beverages</v>
      </c>
      <c r="J2019" t="str">
        <f>VLOOKUP(VLOOKUP(A2019,orders!A:B,2,0),customers!A:F,6,0)</f>
        <v>USA</v>
      </c>
      <c r="K2019" t="str">
        <f>VLOOKUP(VLOOKUP(A2019,orders!A:C,3,0),employees!A:B,2,0)</f>
        <v>Robert King</v>
      </c>
    </row>
    <row r="2020" spans="1:11" x14ac:dyDescent="0.25">
      <c r="A2020">
        <v>11030</v>
      </c>
      <c r="B2020">
        <v>5</v>
      </c>
      <c r="C2020">
        <v>21.35</v>
      </c>
      <c r="D2020">
        <v>70</v>
      </c>
      <c r="E2020">
        <v>0</v>
      </c>
      <c r="F2020">
        <f t="shared" si="31"/>
        <v>1494.5</v>
      </c>
      <c r="G2020">
        <f>YEAR(VLOOKUP(A2020,orders!A:D,4,0))</f>
        <v>2015</v>
      </c>
      <c r="H2020">
        <f>MONTH(INDEX(orders!D:D,MATCH(A2020, orders!A:A,0)))</f>
        <v>4</v>
      </c>
      <c r="I2020" t="str">
        <f>VLOOKUP(VLOOKUP(B2020,products!A:F,6,0),categories!A:B,2,0)</f>
        <v>Condiments</v>
      </c>
      <c r="J2020" t="str">
        <f>VLOOKUP(VLOOKUP(A2020,orders!A:B,2,0),customers!A:F,6,0)</f>
        <v>USA</v>
      </c>
      <c r="K2020" t="str">
        <f>VLOOKUP(VLOOKUP(A2020,orders!A:C,3,0),employees!A:B,2,0)</f>
        <v>Robert King</v>
      </c>
    </row>
    <row r="2021" spans="1:11" x14ac:dyDescent="0.25">
      <c r="A2021">
        <v>11030</v>
      </c>
      <c r="B2021">
        <v>29</v>
      </c>
      <c r="C2021">
        <v>123.79</v>
      </c>
      <c r="D2021">
        <v>60</v>
      </c>
      <c r="E2021">
        <v>0.25</v>
      </c>
      <c r="F2021">
        <f t="shared" si="31"/>
        <v>5570.55</v>
      </c>
      <c r="G2021">
        <f>YEAR(VLOOKUP(A2021,orders!A:D,4,0))</f>
        <v>2015</v>
      </c>
      <c r="H2021">
        <f>MONTH(INDEX(orders!D:D,MATCH(A2021, orders!A:A,0)))</f>
        <v>4</v>
      </c>
      <c r="I2021" t="str">
        <f>VLOOKUP(VLOOKUP(B2021,products!A:F,6,0),categories!A:B,2,0)</f>
        <v>Meat &amp; Poultry</v>
      </c>
      <c r="J2021" t="str">
        <f>VLOOKUP(VLOOKUP(A2021,orders!A:B,2,0),customers!A:F,6,0)</f>
        <v>USA</v>
      </c>
      <c r="K2021" t="str">
        <f>VLOOKUP(VLOOKUP(A2021,orders!A:C,3,0),employees!A:B,2,0)</f>
        <v>Robert King</v>
      </c>
    </row>
    <row r="2022" spans="1:11" x14ac:dyDescent="0.25">
      <c r="A2022">
        <v>11030</v>
      </c>
      <c r="B2022">
        <v>59</v>
      </c>
      <c r="C2022">
        <v>55</v>
      </c>
      <c r="D2022">
        <v>100</v>
      </c>
      <c r="E2022">
        <v>0.25</v>
      </c>
      <c r="F2022">
        <f t="shared" si="31"/>
        <v>4125</v>
      </c>
      <c r="G2022">
        <f>YEAR(VLOOKUP(A2022,orders!A:D,4,0))</f>
        <v>2015</v>
      </c>
      <c r="H2022">
        <f>MONTH(INDEX(orders!D:D,MATCH(A2022, orders!A:A,0)))</f>
        <v>4</v>
      </c>
      <c r="I2022" t="str">
        <f>VLOOKUP(VLOOKUP(B2022,products!A:F,6,0),categories!A:B,2,0)</f>
        <v>Dairy Products</v>
      </c>
      <c r="J2022" t="str">
        <f>VLOOKUP(VLOOKUP(A2022,orders!A:B,2,0),customers!A:F,6,0)</f>
        <v>USA</v>
      </c>
      <c r="K2022" t="str">
        <f>VLOOKUP(VLOOKUP(A2022,orders!A:C,3,0),employees!A:B,2,0)</f>
        <v>Robert King</v>
      </c>
    </row>
    <row r="2023" spans="1:11" x14ac:dyDescent="0.25">
      <c r="A2023">
        <v>11031</v>
      </c>
      <c r="B2023">
        <v>1</v>
      </c>
      <c r="C2023">
        <v>18</v>
      </c>
      <c r="D2023">
        <v>45</v>
      </c>
      <c r="E2023">
        <v>0</v>
      </c>
      <c r="F2023">
        <f t="shared" si="31"/>
        <v>810</v>
      </c>
      <c r="G2023">
        <f>YEAR(VLOOKUP(A2023,orders!A:D,4,0))</f>
        <v>2015</v>
      </c>
      <c r="H2023">
        <f>MONTH(INDEX(orders!D:D,MATCH(A2023, orders!A:A,0)))</f>
        <v>4</v>
      </c>
      <c r="I2023" t="str">
        <f>VLOOKUP(VLOOKUP(B2023,products!A:F,6,0),categories!A:B,2,0)</f>
        <v>Beverages</v>
      </c>
      <c r="J2023" t="str">
        <f>VLOOKUP(VLOOKUP(A2023,orders!A:B,2,0),customers!A:F,6,0)</f>
        <v>USA</v>
      </c>
      <c r="K2023" t="str">
        <f>VLOOKUP(VLOOKUP(A2023,orders!A:C,3,0),employees!A:B,2,0)</f>
        <v>Michael Suyama</v>
      </c>
    </row>
    <row r="2024" spans="1:11" x14ac:dyDescent="0.25">
      <c r="A2024">
        <v>11031</v>
      </c>
      <c r="B2024">
        <v>13</v>
      </c>
      <c r="C2024">
        <v>6</v>
      </c>
      <c r="D2024">
        <v>80</v>
      </c>
      <c r="E2024">
        <v>0</v>
      </c>
      <c r="F2024">
        <f t="shared" si="31"/>
        <v>480</v>
      </c>
      <c r="G2024">
        <f>YEAR(VLOOKUP(A2024,orders!A:D,4,0))</f>
        <v>2015</v>
      </c>
      <c r="H2024">
        <f>MONTH(INDEX(orders!D:D,MATCH(A2024, orders!A:A,0)))</f>
        <v>4</v>
      </c>
      <c r="I2024" t="str">
        <f>VLOOKUP(VLOOKUP(B2024,products!A:F,6,0),categories!A:B,2,0)</f>
        <v>Seafood</v>
      </c>
      <c r="J2024" t="str">
        <f>VLOOKUP(VLOOKUP(A2024,orders!A:B,2,0),customers!A:F,6,0)</f>
        <v>USA</v>
      </c>
      <c r="K2024" t="str">
        <f>VLOOKUP(VLOOKUP(A2024,orders!A:C,3,0),employees!A:B,2,0)</f>
        <v>Michael Suyama</v>
      </c>
    </row>
    <row r="2025" spans="1:11" x14ac:dyDescent="0.25">
      <c r="A2025">
        <v>11031</v>
      </c>
      <c r="B2025">
        <v>24</v>
      </c>
      <c r="C2025">
        <v>4.5</v>
      </c>
      <c r="D2025">
        <v>21</v>
      </c>
      <c r="E2025">
        <v>0</v>
      </c>
      <c r="F2025">
        <f t="shared" si="31"/>
        <v>94.5</v>
      </c>
      <c r="G2025">
        <f>YEAR(VLOOKUP(A2025,orders!A:D,4,0))</f>
        <v>2015</v>
      </c>
      <c r="H2025">
        <f>MONTH(INDEX(orders!D:D,MATCH(A2025, orders!A:A,0)))</f>
        <v>4</v>
      </c>
      <c r="I2025" t="str">
        <f>VLOOKUP(VLOOKUP(B2025,products!A:F,6,0),categories!A:B,2,0)</f>
        <v>Beverages</v>
      </c>
      <c r="J2025" t="str">
        <f>VLOOKUP(VLOOKUP(A2025,orders!A:B,2,0),customers!A:F,6,0)</f>
        <v>USA</v>
      </c>
      <c r="K2025" t="str">
        <f>VLOOKUP(VLOOKUP(A2025,orders!A:C,3,0),employees!A:B,2,0)</f>
        <v>Michael Suyama</v>
      </c>
    </row>
    <row r="2026" spans="1:11" x14ac:dyDescent="0.25">
      <c r="A2026">
        <v>11031</v>
      </c>
      <c r="B2026">
        <v>64</v>
      </c>
      <c r="C2026">
        <v>33.25</v>
      </c>
      <c r="D2026">
        <v>20</v>
      </c>
      <c r="E2026">
        <v>0</v>
      </c>
      <c r="F2026">
        <f t="shared" si="31"/>
        <v>665</v>
      </c>
      <c r="G2026">
        <f>YEAR(VLOOKUP(A2026,orders!A:D,4,0))</f>
        <v>2015</v>
      </c>
      <c r="H2026">
        <f>MONTH(INDEX(orders!D:D,MATCH(A2026, orders!A:A,0)))</f>
        <v>4</v>
      </c>
      <c r="I2026" t="str">
        <f>VLOOKUP(VLOOKUP(B2026,products!A:F,6,0),categories!A:B,2,0)</f>
        <v>Grains &amp; Cereals</v>
      </c>
      <c r="J2026" t="str">
        <f>VLOOKUP(VLOOKUP(A2026,orders!A:B,2,0),customers!A:F,6,0)</f>
        <v>USA</v>
      </c>
      <c r="K2026" t="str">
        <f>VLOOKUP(VLOOKUP(A2026,orders!A:C,3,0),employees!A:B,2,0)</f>
        <v>Michael Suyama</v>
      </c>
    </row>
    <row r="2027" spans="1:11" x14ac:dyDescent="0.25">
      <c r="A2027">
        <v>11031</v>
      </c>
      <c r="B2027">
        <v>71</v>
      </c>
      <c r="C2027">
        <v>21.5</v>
      </c>
      <c r="D2027">
        <v>16</v>
      </c>
      <c r="E2027">
        <v>0</v>
      </c>
      <c r="F2027">
        <f t="shared" si="31"/>
        <v>344</v>
      </c>
      <c r="G2027">
        <f>YEAR(VLOOKUP(A2027,orders!A:D,4,0))</f>
        <v>2015</v>
      </c>
      <c r="H2027">
        <f>MONTH(INDEX(orders!D:D,MATCH(A2027, orders!A:A,0)))</f>
        <v>4</v>
      </c>
      <c r="I2027" t="str">
        <f>VLOOKUP(VLOOKUP(B2027,products!A:F,6,0),categories!A:B,2,0)</f>
        <v>Dairy Products</v>
      </c>
      <c r="J2027" t="str">
        <f>VLOOKUP(VLOOKUP(A2027,orders!A:B,2,0),customers!A:F,6,0)</f>
        <v>USA</v>
      </c>
      <c r="K2027" t="str">
        <f>VLOOKUP(VLOOKUP(A2027,orders!A:C,3,0),employees!A:B,2,0)</f>
        <v>Michael Suyama</v>
      </c>
    </row>
    <row r="2028" spans="1:11" x14ac:dyDescent="0.25">
      <c r="A2028">
        <v>11032</v>
      </c>
      <c r="B2028">
        <v>36</v>
      </c>
      <c r="C2028">
        <v>19</v>
      </c>
      <c r="D2028">
        <v>35</v>
      </c>
      <c r="E2028">
        <v>0</v>
      </c>
      <c r="F2028">
        <f t="shared" si="31"/>
        <v>665</v>
      </c>
      <c r="G2028">
        <f>YEAR(VLOOKUP(A2028,orders!A:D,4,0))</f>
        <v>2015</v>
      </c>
      <c r="H2028">
        <f>MONTH(INDEX(orders!D:D,MATCH(A2028, orders!A:A,0)))</f>
        <v>4</v>
      </c>
      <c r="I2028" t="str">
        <f>VLOOKUP(VLOOKUP(B2028,products!A:F,6,0),categories!A:B,2,0)</f>
        <v>Seafood</v>
      </c>
      <c r="J2028" t="str">
        <f>VLOOKUP(VLOOKUP(A2028,orders!A:B,2,0),customers!A:F,6,0)</f>
        <v>USA</v>
      </c>
      <c r="K2028" t="str">
        <f>VLOOKUP(VLOOKUP(A2028,orders!A:C,3,0),employees!A:B,2,0)</f>
        <v>Andrew Fuller</v>
      </c>
    </row>
    <row r="2029" spans="1:11" x14ac:dyDescent="0.25">
      <c r="A2029">
        <v>11032</v>
      </c>
      <c r="B2029">
        <v>38</v>
      </c>
      <c r="C2029">
        <v>263.5</v>
      </c>
      <c r="D2029">
        <v>25</v>
      </c>
      <c r="E2029">
        <v>0</v>
      </c>
      <c r="F2029">
        <f t="shared" si="31"/>
        <v>6587.5</v>
      </c>
      <c r="G2029">
        <f>YEAR(VLOOKUP(A2029,orders!A:D,4,0))</f>
        <v>2015</v>
      </c>
      <c r="H2029">
        <f>MONTH(INDEX(orders!D:D,MATCH(A2029, orders!A:A,0)))</f>
        <v>4</v>
      </c>
      <c r="I2029" t="str">
        <f>VLOOKUP(VLOOKUP(B2029,products!A:F,6,0),categories!A:B,2,0)</f>
        <v>Beverages</v>
      </c>
      <c r="J2029" t="str">
        <f>VLOOKUP(VLOOKUP(A2029,orders!A:B,2,0),customers!A:F,6,0)</f>
        <v>USA</v>
      </c>
      <c r="K2029" t="str">
        <f>VLOOKUP(VLOOKUP(A2029,orders!A:C,3,0),employees!A:B,2,0)</f>
        <v>Andrew Fuller</v>
      </c>
    </row>
    <row r="2030" spans="1:11" x14ac:dyDescent="0.25">
      <c r="A2030">
        <v>11032</v>
      </c>
      <c r="B2030">
        <v>59</v>
      </c>
      <c r="C2030">
        <v>55</v>
      </c>
      <c r="D2030">
        <v>30</v>
      </c>
      <c r="E2030">
        <v>0</v>
      </c>
      <c r="F2030">
        <f t="shared" si="31"/>
        <v>1650</v>
      </c>
      <c r="G2030">
        <f>YEAR(VLOOKUP(A2030,orders!A:D,4,0))</f>
        <v>2015</v>
      </c>
      <c r="H2030">
        <f>MONTH(INDEX(orders!D:D,MATCH(A2030, orders!A:A,0)))</f>
        <v>4</v>
      </c>
      <c r="I2030" t="str">
        <f>VLOOKUP(VLOOKUP(B2030,products!A:F,6,0),categories!A:B,2,0)</f>
        <v>Dairy Products</v>
      </c>
      <c r="J2030" t="str">
        <f>VLOOKUP(VLOOKUP(A2030,orders!A:B,2,0),customers!A:F,6,0)</f>
        <v>USA</v>
      </c>
      <c r="K2030" t="str">
        <f>VLOOKUP(VLOOKUP(A2030,orders!A:C,3,0),employees!A:B,2,0)</f>
        <v>Andrew Fuller</v>
      </c>
    </row>
    <row r="2031" spans="1:11" x14ac:dyDescent="0.25">
      <c r="A2031">
        <v>11033</v>
      </c>
      <c r="B2031">
        <v>53</v>
      </c>
      <c r="C2031">
        <v>32.799999999999997</v>
      </c>
      <c r="D2031">
        <v>70</v>
      </c>
      <c r="E2031">
        <v>0.1</v>
      </c>
      <c r="F2031">
        <f t="shared" si="31"/>
        <v>2066.4</v>
      </c>
      <c r="G2031">
        <f>YEAR(VLOOKUP(A2031,orders!A:D,4,0))</f>
        <v>2015</v>
      </c>
      <c r="H2031">
        <f>MONTH(INDEX(orders!D:D,MATCH(A2031, orders!A:A,0)))</f>
        <v>4</v>
      </c>
      <c r="I2031" t="str">
        <f>VLOOKUP(VLOOKUP(B2031,products!A:F,6,0),categories!A:B,2,0)</f>
        <v>Meat &amp; Poultry</v>
      </c>
      <c r="J2031" t="str">
        <f>VLOOKUP(VLOOKUP(A2031,orders!A:B,2,0),customers!A:F,6,0)</f>
        <v>Switzerland</v>
      </c>
      <c r="K2031" t="str">
        <f>VLOOKUP(VLOOKUP(A2031,orders!A:C,3,0),employees!A:B,2,0)</f>
        <v>Robert King</v>
      </c>
    </row>
    <row r="2032" spans="1:11" x14ac:dyDescent="0.25">
      <c r="A2032">
        <v>11033</v>
      </c>
      <c r="B2032">
        <v>69</v>
      </c>
      <c r="C2032">
        <v>36</v>
      </c>
      <c r="D2032">
        <v>36</v>
      </c>
      <c r="E2032">
        <v>0.1</v>
      </c>
      <c r="F2032">
        <f t="shared" si="31"/>
        <v>1166.4000000000001</v>
      </c>
      <c r="G2032">
        <f>YEAR(VLOOKUP(A2032,orders!A:D,4,0))</f>
        <v>2015</v>
      </c>
      <c r="H2032">
        <f>MONTH(INDEX(orders!D:D,MATCH(A2032, orders!A:A,0)))</f>
        <v>4</v>
      </c>
      <c r="I2032" t="str">
        <f>VLOOKUP(VLOOKUP(B2032,products!A:F,6,0),categories!A:B,2,0)</f>
        <v>Dairy Products</v>
      </c>
      <c r="J2032" t="str">
        <f>VLOOKUP(VLOOKUP(A2032,orders!A:B,2,0),customers!A:F,6,0)</f>
        <v>Switzerland</v>
      </c>
      <c r="K2032" t="str">
        <f>VLOOKUP(VLOOKUP(A2032,orders!A:C,3,0),employees!A:B,2,0)</f>
        <v>Robert King</v>
      </c>
    </row>
    <row r="2033" spans="1:11" x14ac:dyDescent="0.25">
      <c r="A2033">
        <v>11034</v>
      </c>
      <c r="B2033">
        <v>21</v>
      </c>
      <c r="C2033">
        <v>10</v>
      </c>
      <c r="D2033">
        <v>15</v>
      </c>
      <c r="E2033">
        <v>0.1</v>
      </c>
      <c r="F2033">
        <f t="shared" si="31"/>
        <v>135</v>
      </c>
      <c r="G2033">
        <f>YEAR(VLOOKUP(A2033,orders!A:D,4,0))</f>
        <v>2015</v>
      </c>
      <c r="H2033">
        <f>MONTH(INDEX(orders!D:D,MATCH(A2033, orders!A:A,0)))</f>
        <v>4</v>
      </c>
      <c r="I2033" t="str">
        <f>VLOOKUP(VLOOKUP(B2033,products!A:F,6,0),categories!A:B,2,0)</f>
        <v>Confections</v>
      </c>
      <c r="J2033" t="str">
        <f>VLOOKUP(VLOOKUP(A2033,orders!A:B,2,0),customers!A:F,6,0)</f>
        <v>USA</v>
      </c>
      <c r="K2033" t="str">
        <f>VLOOKUP(VLOOKUP(A2033,orders!A:C,3,0),employees!A:B,2,0)</f>
        <v>Laura Callahan</v>
      </c>
    </row>
    <row r="2034" spans="1:11" x14ac:dyDescent="0.25">
      <c r="A2034">
        <v>11034</v>
      </c>
      <c r="B2034">
        <v>44</v>
      </c>
      <c r="C2034">
        <v>19.45</v>
      </c>
      <c r="D2034">
        <v>12</v>
      </c>
      <c r="E2034">
        <v>0</v>
      </c>
      <c r="F2034">
        <f t="shared" si="31"/>
        <v>233.39999999999998</v>
      </c>
      <c r="G2034">
        <f>YEAR(VLOOKUP(A2034,orders!A:D,4,0))</f>
        <v>2015</v>
      </c>
      <c r="H2034">
        <f>MONTH(INDEX(orders!D:D,MATCH(A2034, orders!A:A,0)))</f>
        <v>4</v>
      </c>
      <c r="I2034" t="str">
        <f>VLOOKUP(VLOOKUP(B2034,products!A:F,6,0),categories!A:B,2,0)</f>
        <v>Condiments</v>
      </c>
      <c r="J2034" t="str">
        <f>VLOOKUP(VLOOKUP(A2034,orders!A:B,2,0),customers!A:F,6,0)</f>
        <v>USA</v>
      </c>
      <c r="K2034" t="str">
        <f>VLOOKUP(VLOOKUP(A2034,orders!A:C,3,0),employees!A:B,2,0)</f>
        <v>Laura Callahan</v>
      </c>
    </row>
    <row r="2035" spans="1:11" x14ac:dyDescent="0.25">
      <c r="A2035">
        <v>11034</v>
      </c>
      <c r="B2035">
        <v>61</v>
      </c>
      <c r="C2035">
        <v>28.5</v>
      </c>
      <c r="D2035">
        <v>6</v>
      </c>
      <c r="E2035">
        <v>0</v>
      </c>
      <c r="F2035">
        <f t="shared" si="31"/>
        <v>171</v>
      </c>
      <c r="G2035">
        <f>YEAR(VLOOKUP(A2035,orders!A:D,4,0))</f>
        <v>2015</v>
      </c>
      <c r="H2035">
        <f>MONTH(INDEX(orders!D:D,MATCH(A2035, orders!A:A,0)))</f>
        <v>4</v>
      </c>
      <c r="I2035" t="str">
        <f>VLOOKUP(VLOOKUP(B2035,products!A:F,6,0),categories!A:B,2,0)</f>
        <v>Condiments</v>
      </c>
      <c r="J2035" t="str">
        <f>VLOOKUP(VLOOKUP(A2035,orders!A:B,2,0),customers!A:F,6,0)</f>
        <v>USA</v>
      </c>
      <c r="K2035" t="str">
        <f>VLOOKUP(VLOOKUP(A2035,orders!A:C,3,0),employees!A:B,2,0)</f>
        <v>Laura Callahan</v>
      </c>
    </row>
    <row r="2036" spans="1:11" x14ac:dyDescent="0.25">
      <c r="A2036">
        <v>11035</v>
      </c>
      <c r="B2036">
        <v>1</v>
      </c>
      <c r="C2036">
        <v>18</v>
      </c>
      <c r="D2036">
        <v>10</v>
      </c>
      <c r="E2036">
        <v>0</v>
      </c>
      <c r="F2036">
        <f t="shared" si="31"/>
        <v>180</v>
      </c>
      <c r="G2036">
        <f>YEAR(VLOOKUP(A2036,orders!A:D,4,0))</f>
        <v>2015</v>
      </c>
      <c r="H2036">
        <f>MONTH(INDEX(orders!D:D,MATCH(A2036, orders!A:A,0)))</f>
        <v>4</v>
      </c>
      <c r="I2036" t="str">
        <f>VLOOKUP(VLOOKUP(B2036,products!A:F,6,0),categories!A:B,2,0)</f>
        <v>Beverages</v>
      </c>
      <c r="J2036" t="str">
        <f>VLOOKUP(VLOOKUP(A2036,orders!A:B,2,0),customers!A:F,6,0)</f>
        <v>Belgium</v>
      </c>
      <c r="K2036" t="str">
        <f>VLOOKUP(VLOOKUP(A2036,orders!A:C,3,0),employees!A:B,2,0)</f>
        <v>Andrew Fuller</v>
      </c>
    </row>
    <row r="2037" spans="1:11" x14ac:dyDescent="0.25">
      <c r="A2037">
        <v>11035</v>
      </c>
      <c r="B2037">
        <v>35</v>
      </c>
      <c r="C2037">
        <v>18</v>
      </c>
      <c r="D2037">
        <v>60</v>
      </c>
      <c r="E2037">
        <v>0</v>
      </c>
      <c r="F2037">
        <f t="shared" si="31"/>
        <v>1080</v>
      </c>
      <c r="G2037">
        <f>YEAR(VLOOKUP(A2037,orders!A:D,4,0))</f>
        <v>2015</v>
      </c>
      <c r="H2037">
        <f>MONTH(INDEX(orders!D:D,MATCH(A2037, orders!A:A,0)))</f>
        <v>4</v>
      </c>
      <c r="I2037" t="str">
        <f>VLOOKUP(VLOOKUP(B2037,products!A:F,6,0),categories!A:B,2,0)</f>
        <v>Beverages</v>
      </c>
      <c r="J2037" t="str">
        <f>VLOOKUP(VLOOKUP(A2037,orders!A:B,2,0),customers!A:F,6,0)</f>
        <v>Belgium</v>
      </c>
      <c r="K2037" t="str">
        <f>VLOOKUP(VLOOKUP(A2037,orders!A:C,3,0),employees!A:B,2,0)</f>
        <v>Andrew Fuller</v>
      </c>
    </row>
    <row r="2038" spans="1:11" x14ac:dyDescent="0.25">
      <c r="A2038">
        <v>11035</v>
      </c>
      <c r="B2038">
        <v>42</v>
      </c>
      <c r="C2038">
        <v>14</v>
      </c>
      <c r="D2038">
        <v>30</v>
      </c>
      <c r="E2038">
        <v>0</v>
      </c>
      <c r="F2038">
        <f t="shared" si="31"/>
        <v>420</v>
      </c>
      <c r="G2038">
        <f>YEAR(VLOOKUP(A2038,orders!A:D,4,0))</f>
        <v>2015</v>
      </c>
      <c r="H2038">
        <f>MONTH(INDEX(orders!D:D,MATCH(A2038, orders!A:A,0)))</f>
        <v>4</v>
      </c>
      <c r="I2038" t="str">
        <f>VLOOKUP(VLOOKUP(B2038,products!A:F,6,0),categories!A:B,2,0)</f>
        <v>Grains &amp; Cereals</v>
      </c>
      <c r="J2038" t="str">
        <f>VLOOKUP(VLOOKUP(A2038,orders!A:B,2,0),customers!A:F,6,0)</f>
        <v>Belgium</v>
      </c>
      <c r="K2038" t="str">
        <f>VLOOKUP(VLOOKUP(A2038,orders!A:C,3,0),employees!A:B,2,0)</f>
        <v>Andrew Fuller</v>
      </c>
    </row>
    <row r="2039" spans="1:11" x14ac:dyDescent="0.25">
      <c r="A2039">
        <v>11035</v>
      </c>
      <c r="B2039">
        <v>54</v>
      </c>
      <c r="C2039">
        <v>7.45</v>
      </c>
      <c r="D2039">
        <v>10</v>
      </c>
      <c r="E2039">
        <v>0</v>
      </c>
      <c r="F2039">
        <f t="shared" si="31"/>
        <v>74.5</v>
      </c>
      <c r="G2039">
        <f>YEAR(VLOOKUP(A2039,orders!A:D,4,0))</f>
        <v>2015</v>
      </c>
      <c r="H2039">
        <f>MONTH(INDEX(orders!D:D,MATCH(A2039, orders!A:A,0)))</f>
        <v>4</v>
      </c>
      <c r="I2039" t="str">
        <f>VLOOKUP(VLOOKUP(B2039,products!A:F,6,0),categories!A:B,2,0)</f>
        <v>Meat &amp; Poultry</v>
      </c>
      <c r="J2039" t="str">
        <f>VLOOKUP(VLOOKUP(A2039,orders!A:B,2,0),customers!A:F,6,0)</f>
        <v>Belgium</v>
      </c>
      <c r="K2039" t="str">
        <f>VLOOKUP(VLOOKUP(A2039,orders!A:C,3,0),employees!A:B,2,0)</f>
        <v>Andrew Fuller</v>
      </c>
    </row>
    <row r="2040" spans="1:11" x14ac:dyDescent="0.25">
      <c r="A2040">
        <v>11036</v>
      </c>
      <c r="B2040">
        <v>13</v>
      </c>
      <c r="C2040">
        <v>6</v>
      </c>
      <c r="D2040">
        <v>7</v>
      </c>
      <c r="E2040">
        <v>0</v>
      </c>
      <c r="F2040">
        <f t="shared" si="31"/>
        <v>42</v>
      </c>
      <c r="G2040">
        <f>YEAR(VLOOKUP(A2040,orders!A:D,4,0))</f>
        <v>2015</v>
      </c>
      <c r="H2040">
        <f>MONTH(INDEX(orders!D:D,MATCH(A2040, orders!A:A,0)))</f>
        <v>4</v>
      </c>
      <c r="I2040" t="str">
        <f>VLOOKUP(VLOOKUP(B2040,products!A:F,6,0),categories!A:B,2,0)</f>
        <v>Seafood</v>
      </c>
      <c r="J2040" t="str">
        <f>VLOOKUP(VLOOKUP(A2040,orders!A:B,2,0),customers!A:F,6,0)</f>
        <v>Germany</v>
      </c>
      <c r="K2040" t="str">
        <f>VLOOKUP(VLOOKUP(A2040,orders!A:C,3,0),employees!A:B,2,0)</f>
        <v>Laura Callahan</v>
      </c>
    </row>
    <row r="2041" spans="1:11" x14ac:dyDescent="0.25">
      <c r="A2041">
        <v>11036</v>
      </c>
      <c r="B2041">
        <v>59</v>
      </c>
      <c r="C2041">
        <v>55</v>
      </c>
      <c r="D2041">
        <v>30</v>
      </c>
      <c r="E2041">
        <v>0</v>
      </c>
      <c r="F2041">
        <f t="shared" si="31"/>
        <v>1650</v>
      </c>
      <c r="G2041">
        <f>YEAR(VLOOKUP(A2041,orders!A:D,4,0))</f>
        <v>2015</v>
      </c>
      <c r="H2041">
        <f>MONTH(INDEX(orders!D:D,MATCH(A2041, orders!A:A,0)))</f>
        <v>4</v>
      </c>
      <c r="I2041" t="str">
        <f>VLOOKUP(VLOOKUP(B2041,products!A:F,6,0),categories!A:B,2,0)</f>
        <v>Dairy Products</v>
      </c>
      <c r="J2041" t="str">
        <f>VLOOKUP(VLOOKUP(A2041,orders!A:B,2,0),customers!A:F,6,0)</f>
        <v>Germany</v>
      </c>
      <c r="K2041" t="str">
        <f>VLOOKUP(VLOOKUP(A2041,orders!A:C,3,0),employees!A:B,2,0)</f>
        <v>Laura Callahan</v>
      </c>
    </row>
    <row r="2042" spans="1:11" x14ac:dyDescent="0.25">
      <c r="A2042">
        <v>11037</v>
      </c>
      <c r="B2042">
        <v>70</v>
      </c>
      <c r="C2042">
        <v>15</v>
      </c>
      <c r="D2042">
        <v>4</v>
      </c>
      <c r="E2042">
        <v>0</v>
      </c>
      <c r="F2042">
        <f t="shared" si="31"/>
        <v>60</v>
      </c>
      <c r="G2042">
        <f>YEAR(VLOOKUP(A2042,orders!A:D,4,0))</f>
        <v>2015</v>
      </c>
      <c r="H2042">
        <f>MONTH(INDEX(orders!D:D,MATCH(A2042, orders!A:A,0)))</f>
        <v>4</v>
      </c>
      <c r="I2042" t="str">
        <f>VLOOKUP(VLOOKUP(B2042,products!A:F,6,0),categories!A:B,2,0)</f>
        <v>Beverages</v>
      </c>
      <c r="J2042" t="str">
        <f>VLOOKUP(VLOOKUP(A2042,orders!A:B,2,0),customers!A:F,6,0)</f>
        <v>Spain</v>
      </c>
      <c r="K2042" t="str">
        <f>VLOOKUP(VLOOKUP(A2042,orders!A:C,3,0),employees!A:B,2,0)</f>
        <v>Robert King</v>
      </c>
    </row>
    <row r="2043" spans="1:11" x14ac:dyDescent="0.25">
      <c r="A2043">
        <v>11038</v>
      </c>
      <c r="B2043">
        <v>40</v>
      </c>
      <c r="C2043">
        <v>18.399999999999999</v>
      </c>
      <c r="D2043">
        <v>5</v>
      </c>
      <c r="E2043">
        <v>0.2</v>
      </c>
      <c r="F2043">
        <f t="shared" si="31"/>
        <v>73.600000000000009</v>
      </c>
      <c r="G2043">
        <f>YEAR(VLOOKUP(A2043,orders!A:D,4,0))</f>
        <v>2015</v>
      </c>
      <c r="H2043">
        <f>MONTH(INDEX(orders!D:D,MATCH(A2043, orders!A:A,0)))</f>
        <v>4</v>
      </c>
      <c r="I2043" t="str">
        <f>VLOOKUP(VLOOKUP(B2043,products!A:F,6,0),categories!A:B,2,0)</f>
        <v>Seafood</v>
      </c>
      <c r="J2043" t="str">
        <f>VLOOKUP(VLOOKUP(A2043,orders!A:B,2,0),customers!A:F,6,0)</f>
        <v>Belgium</v>
      </c>
      <c r="K2043" t="str">
        <f>VLOOKUP(VLOOKUP(A2043,orders!A:C,3,0),employees!A:B,2,0)</f>
        <v>Nancy Davolio</v>
      </c>
    </row>
    <row r="2044" spans="1:11" x14ac:dyDescent="0.25">
      <c r="A2044">
        <v>11038</v>
      </c>
      <c r="B2044">
        <v>52</v>
      </c>
      <c r="C2044">
        <v>7</v>
      </c>
      <c r="D2044">
        <v>2</v>
      </c>
      <c r="E2044">
        <v>0</v>
      </c>
      <c r="F2044">
        <f t="shared" si="31"/>
        <v>14</v>
      </c>
      <c r="G2044">
        <f>YEAR(VLOOKUP(A2044,orders!A:D,4,0))</f>
        <v>2015</v>
      </c>
      <c r="H2044">
        <f>MONTH(INDEX(orders!D:D,MATCH(A2044, orders!A:A,0)))</f>
        <v>4</v>
      </c>
      <c r="I2044" t="str">
        <f>VLOOKUP(VLOOKUP(B2044,products!A:F,6,0),categories!A:B,2,0)</f>
        <v>Grains &amp; Cereals</v>
      </c>
      <c r="J2044" t="str">
        <f>VLOOKUP(VLOOKUP(A2044,orders!A:B,2,0),customers!A:F,6,0)</f>
        <v>Belgium</v>
      </c>
      <c r="K2044" t="str">
        <f>VLOOKUP(VLOOKUP(A2044,orders!A:C,3,0),employees!A:B,2,0)</f>
        <v>Nancy Davolio</v>
      </c>
    </row>
    <row r="2045" spans="1:11" x14ac:dyDescent="0.25">
      <c r="A2045">
        <v>11038</v>
      </c>
      <c r="B2045">
        <v>71</v>
      </c>
      <c r="C2045">
        <v>21.5</v>
      </c>
      <c r="D2045">
        <v>30</v>
      </c>
      <c r="E2045">
        <v>0</v>
      </c>
      <c r="F2045">
        <f t="shared" si="31"/>
        <v>645</v>
      </c>
      <c r="G2045">
        <f>YEAR(VLOOKUP(A2045,orders!A:D,4,0))</f>
        <v>2015</v>
      </c>
      <c r="H2045">
        <f>MONTH(INDEX(orders!D:D,MATCH(A2045, orders!A:A,0)))</f>
        <v>4</v>
      </c>
      <c r="I2045" t="str">
        <f>VLOOKUP(VLOOKUP(B2045,products!A:F,6,0),categories!A:B,2,0)</f>
        <v>Dairy Products</v>
      </c>
      <c r="J2045" t="str">
        <f>VLOOKUP(VLOOKUP(A2045,orders!A:B,2,0),customers!A:F,6,0)</f>
        <v>Belgium</v>
      </c>
      <c r="K2045" t="str">
        <f>VLOOKUP(VLOOKUP(A2045,orders!A:C,3,0),employees!A:B,2,0)</f>
        <v>Nancy Davolio</v>
      </c>
    </row>
    <row r="2046" spans="1:11" x14ac:dyDescent="0.25">
      <c r="A2046">
        <v>11039</v>
      </c>
      <c r="B2046">
        <v>28</v>
      </c>
      <c r="C2046">
        <v>45.6</v>
      </c>
      <c r="D2046">
        <v>20</v>
      </c>
      <c r="E2046">
        <v>0</v>
      </c>
      <c r="F2046">
        <f t="shared" si="31"/>
        <v>912</v>
      </c>
      <c r="G2046">
        <f>YEAR(VLOOKUP(A2046,orders!A:D,4,0))</f>
        <v>2015</v>
      </c>
      <c r="H2046">
        <f>MONTH(INDEX(orders!D:D,MATCH(A2046, orders!A:A,0)))</f>
        <v>4</v>
      </c>
      <c r="I2046" t="str">
        <f>VLOOKUP(VLOOKUP(B2046,products!A:F,6,0),categories!A:B,2,0)</f>
        <v>Produce</v>
      </c>
      <c r="J2046" t="str">
        <f>VLOOKUP(VLOOKUP(A2046,orders!A:B,2,0),customers!A:F,6,0)</f>
        <v>Venezuela</v>
      </c>
      <c r="K2046" t="str">
        <f>VLOOKUP(VLOOKUP(A2046,orders!A:C,3,0),employees!A:B,2,0)</f>
        <v>Nancy Davolio</v>
      </c>
    </row>
    <row r="2047" spans="1:11" x14ac:dyDescent="0.25">
      <c r="A2047">
        <v>11039</v>
      </c>
      <c r="B2047">
        <v>35</v>
      </c>
      <c r="C2047">
        <v>18</v>
      </c>
      <c r="D2047">
        <v>24</v>
      </c>
      <c r="E2047">
        <v>0</v>
      </c>
      <c r="F2047">
        <f t="shared" si="31"/>
        <v>432</v>
      </c>
      <c r="G2047">
        <f>YEAR(VLOOKUP(A2047,orders!A:D,4,0))</f>
        <v>2015</v>
      </c>
      <c r="H2047">
        <f>MONTH(INDEX(orders!D:D,MATCH(A2047, orders!A:A,0)))</f>
        <v>4</v>
      </c>
      <c r="I2047" t="str">
        <f>VLOOKUP(VLOOKUP(B2047,products!A:F,6,0),categories!A:B,2,0)</f>
        <v>Beverages</v>
      </c>
      <c r="J2047" t="str">
        <f>VLOOKUP(VLOOKUP(A2047,orders!A:B,2,0),customers!A:F,6,0)</f>
        <v>Venezuela</v>
      </c>
      <c r="K2047" t="str">
        <f>VLOOKUP(VLOOKUP(A2047,orders!A:C,3,0),employees!A:B,2,0)</f>
        <v>Nancy Davolio</v>
      </c>
    </row>
    <row r="2048" spans="1:11" x14ac:dyDescent="0.25">
      <c r="A2048">
        <v>11039</v>
      </c>
      <c r="B2048">
        <v>49</v>
      </c>
      <c r="C2048">
        <v>20</v>
      </c>
      <c r="D2048">
        <v>60</v>
      </c>
      <c r="E2048">
        <v>0</v>
      </c>
      <c r="F2048">
        <f t="shared" si="31"/>
        <v>1200</v>
      </c>
      <c r="G2048">
        <f>YEAR(VLOOKUP(A2048,orders!A:D,4,0))</f>
        <v>2015</v>
      </c>
      <c r="H2048">
        <f>MONTH(INDEX(orders!D:D,MATCH(A2048, orders!A:A,0)))</f>
        <v>4</v>
      </c>
      <c r="I2048" t="str">
        <f>VLOOKUP(VLOOKUP(B2048,products!A:F,6,0),categories!A:B,2,0)</f>
        <v>Confections</v>
      </c>
      <c r="J2048" t="str">
        <f>VLOOKUP(VLOOKUP(A2048,orders!A:B,2,0),customers!A:F,6,0)</f>
        <v>Venezuela</v>
      </c>
      <c r="K2048" t="str">
        <f>VLOOKUP(VLOOKUP(A2048,orders!A:C,3,0),employees!A:B,2,0)</f>
        <v>Nancy Davolio</v>
      </c>
    </row>
    <row r="2049" spans="1:11" x14ac:dyDescent="0.25">
      <c r="A2049">
        <v>11039</v>
      </c>
      <c r="B2049">
        <v>57</v>
      </c>
      <c r="C2049">
        <v>19.5</v>
      </c>
      <c r="D2049">
        <v>28</v>
      </c>
      <c r="E2049">
        <v>0</v>
      </c>
      <c r="F2049">
        <f t="shared" si="31"/>
        <v>546</v>
      </c>
      <c r="G2049">
        <f>YEAR(VLOOKUP(A2049,orders!A:D,4,0))</f>
        <v>2015</v>
      </c>
      <c r="H2049">
        <f>MONTH(INDEX(orders!D:D,MATCH(A2049, orders!A:A,0)))</f>
        <v>4</v>
      </c>
      <c r="I2049" t="str">
        <f>VLOOKUP(VLOOKUP(B2049,products!A:F,6,0),categories!A:B,2,0)</f>
        <v>Grains &amp; Cereals</v>
      </c>
      <c r="J2049" t="str">
        <f>VLOOKUP(VLOOKUP(A2049,orders!A:B,2,0),customers!A:F,6,0)</f>
        <v>Venezuela</v>
      </c>
      <c r="K2049" t="str">
        <f>VLOOKUP(VLOOKUP(A2049,orders!A:C,3,0),employees!A:B,2,0)</f>
        <v>Nancy Davolio</v>
      </c>
    </row>
    <row r="2050" spans="1:11" x14ac:dyDescent="0.25">
      <c r="A2050">
        <v>11040</v>
      </c>
      <c r="B2050">
        <v>21</v>
      </c>
      <c r="C2050">
        <v>10</v>
      </c>
      <c r="D2050">
        <v>20</v>
      </c>
      <c r="E2050">
        <v>0</v>
      </c>
      <c r="F2050">
        <f t="shared" si="31"/>
        <v>200</v>
      </c>
      <c r="G2050">
        <f>YEAR(VLOOKUP(A2050,orders!A:D,4,0))</f>
        <v>2015</v>
      </c>
      <c r="H2050">
        <f>MONTH(INDEX(orders!D:D,MATCH(A2050, orders!A:A,0)))</f>
        <v>4</v>
      </c>
      <c r="I2050" t="str">
        <f>VLOOKUP(VLOOKUP(B2050,products!A:F,6,0),categories!A:B,2,0)</f>
        <v>Confections</v>
      </c>
      <c r="J2050" t="str">
        <f>VLOOKUP(VLOOKUP(A2050,orders!A:B,2,0),customers!A:F,6,0)</f>
        <v>USA</v>
      </c>
      <c r="K2050" t="str">
        <f>VLOOKUP(VLOOKUP(A2050,orders!A:C,3,0),employees!A:B,2,0)</f>
        <v>Margaret Peacock</v>
      </c>
    </row>
    <row r="2051" spans="1:11" x14ac:dyDescent="0.25">
      <c r="A2051">
        <v>11041</v>
      </c>
      <c r="B2051">
        <v>2</v>
      </c>
      <c r="C2051">
        <v>19</v>
      </c>
      <c r="D2051">
        <v>30</v>
      </c>
      <c r="E2051">
        <v>0.2</v>
      </c>
      <c r="F2051">
        <f t="shared" ref="F2051:F2114" si="32">C2051*D2051*(1-E2051)</f>
        <v>456</v>
      </c>
      <c r="G2051">
        <f>YEAR(VLOOKUP(A2051,orders!A:D,4,0))</f>
        <v>2015</v>
      </c>
      <c r="H2051">
        <f>MONTH(INDEX(orders!D:D,MATCH(A2051, orders!A:A,0)))</f>
        <v>4</v>
      </c>
      <c r="I2051" t="str">
        <f>VLOOKUP(VLOOKUP(B2051,products!A:F,6,0),categories!A:B,2,0)</f>
        <v>Beverages</v>
      </c>
      <c r="J2051" t="str">
        <f>VLOOKUP(VLOOKUP(A2051,orders!A:B,2,0),customers!A:F,6,0)</f>
        <v>Switzerland</v>
      </c>
      <c r="K2051" t="str">
        <f>VLOOKUP(VLOOKUP(A2051,orders!A:C,3,0),employees!A:B,2,0)</f>
        <v>Janet Leverling</v>
      </c>
    </row>
    <row r="2052" spans="1:11" x14ac:dyDescent="0.25">
      <c r="A2052">
        <v>11041</v>
      </c>
      <c r="B2052">
        <v>63</v>
      </c>
      <c r="C2052">
        <v>43.9</v>
      </c>
      <c r="D2052">
        <v>30</v>
      </c>
      <c r="E2052">
        <v>0</v>
      </c>
      <c r="F2052">
        <f t="shared" si="32"/>
        <v>1317</v>
      </c>
      <c r="G2052">
        <f>YEAR(VLOOKUP(A2052,orders!A:D,4,0))</f>
        <v>2015</v>
      </c>
      <c r="H2052">
        <f>MONTH(INDEX(orders!D:D,MATCH(A2052, orders!A:A,0)))</f>
        <v>4</v>
      </c>
      <c r="I2052" t="str">
        <f>VLOOKUP(VLOOKUP(B2052,products!A:F,6,0),categories!A:B,2,0)</f>
        <v>Condiments</v>
      </c>
      <c r="J2052" t="str">
        <f>VLOOKUP(VLOOKUP(A2052,orders!A:B,2,0),customers!A:F,6,0)</f>
        <v>Switzerland</v>
      </c>
      <c r="K2052" t="str">
        <f>VLOOKUP(VLOOKUP(A2052,orders!A:C,3,0),employees!A:B,2,0)</f>
        <v>Janet Leverling</v>
      </c>
    </row>
    <row r="2053" spans="1:11" x14ac:dyDescent="0.25">
      <c r="A2053">
        <v>11042</v>
      </c>
      <c r="B2053">
        <v>44</v>
      </c>
      <c r="C2053">
        <v>19.45</v>
      </c>
      <c r="D2053">
        <v>15</v>
      </c>
      <c r="E2053">
        <v>0</v>
      </c>
      <c r="F2053">
        <f t="shared" si="32"/>
        <v>291.75</v>
      </c>
      <c r="G2053">
        <f>YEAR(VLOOKUP(A2053,orders!A:D,4,0))</f>
        <v>2015</v>
      </c>
      <c r="H2053">
        <f>MONTH(INDEX(orders!D:D,MATCH(A2053, orders!A:A,0)))</f>
        <v>4</v>
      </c>
      <c r="I2053" t="str">
        <f>VLOOKUP(VLOOKUP(B2053,products!A:F,6,0),categories!A:B,2,0)</f>
        <v>Condiments</v>
      </c>
      <c r="J2053" t="str">
        <f>VLOOKUP(VLOOKUP(A2053,orders!A:B,2,0),customers!A:F,6,0)</f>
        <v>Brazil</v>
      </c>
      <c r="K2053" t="str">
        <f>VLOOKUP(VLOOKUP(A2053,orders!A:C,3,0),employees!A:B,2,0)</f>
        <v>Andrew Fuller</v>
      </c>
    </row>
    <row r="2054" spans="1:11" x14ac:dyDescent="0.25">
      <c r="A2054">
        <v>11042</v>
      </c>
      <c r="B2054">
        <v>61</v>
      </c>
      <c r="C2054">
        <v>28.5</v>
      </c>
      <c r="D2054">
        <v>4</v>
      </c>
      <c r="E2054">
        <v>0</v>
      </c>
      <c r="F2054">
        <f t="shared" si="32"/>
        <v>114</v>
      </c>
      <c r="G2054">
        <f>YEAR(VLOOKUP(A2054,orders!A:D,4,0))</f>
        <v>2015</v>
      </c>
      <c r="H2054">
        <f>MONTH(INDEX(orders!D:D,MATCH(A2054, orders!A:A,0)))</f>
        <v>4</v>
      </c>
      <c r="I2054" t="str">
        <f>VLOOKUP(VLOOKUP(B2054,products!A:F,6,0),categories!A:B,2,0)</f>
        <v>Condiments</v>
      </c>
      <c r="J2054" t="str">
        <f>VLOOKUP(VLOOKUP(A2054,orders!A:B,2,0),customers!A:F,6,0)</f>
        <v>Brazil</v>
      </c>
      <c r="K2054" t="str">
        <f>VLOOKUP(VLOOKUP(A2054,orders!A:C,3,0),employees!A:B,2,0)</f>
        <v>Andrew Fuller</v>
      </c>
    </row>
    <row r="2055" spans="1:11" x14ac:dyDescent="0.25">
      <c r="A2055">
        <v>11043</v>
      </c>
      <c r="B2055">
        <v>11</v>
      </c>
      <c r="C2055">
        <v>21</v>
      </c>
      <c r="D2055">
        <v>10</v>
      </c>
      <c r="E2055">
        <v>0</v>
      </c>
      <c r="F2055">
        <f t="shared" si="32"/>
        <v>210</v>
      </c>
      <c r="G2055">
        <f>YEAR(VLOOKUP(A2055,orders!A:D,4,0))</f>
        <v>2015</v>
      </c>
      <c r="H2055">
        <f>MONTH(INDEX(orders!D:D,MATCH(A2055, orders!A:A,0)))</f>
        <v>4</v>
      </c>
      <c r="I2055" t="str">
        <f>VLOOKUP(VLOOKUP(B2055,products!A:F,6,0),categories!A:B,2,0)</f>
        <v>Dairy Products</v>
      </c>
      <c r="J2055" t="str">
        <f>VLOOKUP(VLOOKUP(A2055,orders!A:B,2,0),customers!A:F,6,0)</f>
        <v>France</v>
      </c>
      <c r="K2055" t="str">
        <f>VLOOKUP(VLOOKUP(A2055,orders!A:C,3,0),employees!A:B,2,0)</f>
        <v>Steven Buchanan</v>
      </c>
    </row>
    <row r="2056" spans="1:11" x14ac:dyDescent="0.25">
      <c r="A2056">
        <v>11044</v>
      </c>
      <c r="B2056">
        <v>62</v>
      </c>
      <c r="C2056">
        <v>49.3</v>
      </c>
      <c r="D2056">
        <v>12</v>
      </c>
      <c r="E2056">
        <v>0</v>
      </c>
      <c r="F2056">
        <f t="shared" si="32"/>
        <v>591.59999999999991</v>
      </c>
      <c r="G2056">
        <f>YEAR(VLOOKUP(A2056,orders!A:D,4,0))</f>
        <v>2015</v>
      </c>
      <c r="H2056">
        <f>MONTH(INDEX(orders!D:D,MATCH(A2056, orders!A:A,0)))</f>
        <v>4</v>
      </c>
      <c r="I2056" t="str">
        <f>VLOOKUP(VLOOKUP(B2056,products!A:F,6,0),categories!A:B,2,0)</f>
        <v>Confections</v>
      </c>
      <c r="J2056" t="str">
        <f>VLOOKUP(VLOOKUP(A2056,orders!A:B,2,0),customers!A:F,6,0)</f>
        <v>Poland</v>
      </c>
      <c r="K2056" t="str">
        <f>VLOOKUP(VLOOKUP(A2056,orders!A:C,3,0),employees!A:B,2,0)</f>
        <v>Margaret Peacock</v>
      </c>
    </row>
    <row r="2057" spans="1:11" x14ac:dyDescent="0.25">
      <c r="A2057">
        <v>11045</v>
      </c>
      <c r="B2057">
        <v>33</v>
      </c>
      <c r="C2057">
        <v>2.5</v>
      </c>
      <c r="D2057">
        <v>15</v>
      </c>
      <c r="E2057">
        <v>0</v>
      </c>
      <c r="F2057">
        <f t="shared" si="32"/>
        <v>37.5</v>
      </c>
      <c r="G2057">
        <f>YEAR(VLOOKUP(A2057,orders!A:D,4,0))</f>
        <v>2015</v>
      </c>
      <c r="H2057">
        <f>MONTH(INDEX(orders!D:D,MATCH(A2057, orders!A:A,0)))</f>
        <v>4</v>
      </c>
      <c r="I2057" t="str">
        <f>VLOOKUP(VLOOKUP(B2057,products!A:F,6,0),categories!A:B,2,0)</f>
        <v>Dairy Products</v>
      </c>
      <c r="J2057" t="str">
        <f>VLOOKUP(VLOOKUP(A2057,orders!A:B,2,0),customers!A:F,6,0)</f>
        <v>Canada</v>
      </c>
      <c r="K2057" t="str">
        <f>VLOOKUP(VLOOKUP(A2057,orders!A:C,3,0),employees!A:B,2,0)</f>
        <v>Michael Suyama</v>
      </c>
    </row>
    <row r="2058" spans="1:11" x14ac:dyDescent="0.25">
      <c r="A2058">
        <v>11045</v>
      </c>
      <c r="B2058">
        <v>51</v>
      </c>
      <c r="C2058">
        <v>53</v>
      </c>
      <c r="D2058">
        <v>24</v>
      </c>
      <c r="E2058">
        <v>0</v>
      </c>
      <c r="F2058">
        <f t="shared" si="32"/>
        <v>1272</v>
      </c>
      <c r="G2058">
        <f>YEAR(VLOOKUP(A2058,orders!A:D,4,0))</f>
        <v>2015</v>
      </c>
      <c r="H2058">
        <f>MONTH(INDEX(orders!D:D,MATCH(A2058, orders!A:A,0)))</f>
        <v>4</v>
      </c>
      <c r="I2058" t="str">
        <f>VLOOKUP(VLOOKUP(B2058,products!A:F,6,0),categories!A:B,2,0)</f>
        <v>Produce</v>
      </c>
      <c r="J2058" t="str">
        <f>VLOOKUP(VLOOKUP(A2058,orders!A:B,2,0),customers!A:F,6,0)</f>
        <v>Canada</v>
      </c>
      <c r="K2058" t="str">
        <f>VLOOKUP(VLOOKUP(A2058,orders!A:C,3,0),employees!A:B,2,0)</f>
        <v>Michael Suyama</v>
      </c>
    </row>
    <row r="2059" spans="1:11" x14ac:dyDescent="0.25">
      <c r="A2059">
        <v>11046</v>
      </c>
      <c r="B2059">
        <v>12</v>
      </c>
      <c r="C2059">
        <v>38</v>
      </c>
      <c r="D2059">
        <v>20</v>
      </c>
      <c r="E2059">
        <v>0.05</v>
      </c>
      <c r="F2059">
        <f t="shared" si="32"/>
        <v>722</v>
      </c>
      <c r="G2059">
        <f>YEAR(VLOOKUP(A2059,orders!A:D,4,0))</f>
        <v>2015</v>
      </c>
      <c r="H2059">
        <f>MONTH(INDEX(orders!D:D,MATCH(A2059, orders!A:A,0)))</f>
        <v>4</v>
      </c>
      <c r="I2059" t="str">
        <f>VLOOKUP(VLOOKUP(B2059,products!A:F,6,0),categories!A:B,2,0)</f>
        <v>Dairy Products</v>
      </c>
      <c r="J2059" t="str">
        <f>VLOOKUP(VLOOKUP(A2059,orders!A:B,2,0),customers!A:F,6,0)</f>
        <v>Germany</v>
      </c>
      <c r="K2059" t="str">
        <f>VLOOKUP(VLOOKUP(A2059,orders!A:C,3,0),employees!A:B,2,0)</f>
        <v>Laura Callahan</v>
      </c>
    </row>
    <row r="2060" spans="1:11" x14ac:dyDescent="0.25">
      <c r="A2060">
        <v>11046</v>
      </c>
      <c r="B2060">
        <v>32</v>
      </c>
      <c r="C2060">
        <v>32</v>
      </c>
      <c r="D2060">
        <v>15</v>
      </c>
      <c r="E2060">
        <v>0.05</v>
      </c>
      <c r="F2060">
        <f t="shared" si="32"/>
        <v>456</v>
      </c>
      <c r="G2060">
        <f>YEAR(VLOOKUP(A2060,orders!A:D,4,0))</f>
        <v>2015</v>
      </c>
      <c r="H2060">
        <f>MONTH(INDEX(orders!D:D,MATCH(A2060, orders!A:A,0)))</f>
        <v>4</v>
      </c>
      <c r="I2060" t="str">
        <f>VLOOKUP(VLOOKUP(B2060,products!A:F,6,0),categories!A:B,2,0)</f>
        <v>Dairy Products</v>
      </c>
      <c r="J2060" t="str">
        <f>VLOOKUP(VLOOKUP(A2060,orders!A:B,2,0),customers!A:F,6,0)</f>
        <v>Germany</v>
      </c>
      <c r="K2060" t="str">
        <f>VLOOKUP(VLOOKUP(A2060,orders!A:C,3,0),employees!A:B,2,0)</f>
        <v>Laura Callahan</v>
      </c>
    </row>
    <row r="2061" spans="1:11" x14ac:dyDescent="0.25">
      <c r="A2061">
        <v>11046</v>
      </c>
      <c r="B2061">
        <v>35</v>
      </c>
      <c r="C2061">
        <v>18</v>
      </c>
      <c r="D2061">
        <v>18</v>
      </c>
      <c r="E2061">
        <v>0.05</v>
      </c>
      <c r="F2061">
        <f t="shared" si="32"/>
        <v>307.8</v>
      </c>
      <c r="G2061">
        <f>YEAR(VLOOKUP(A2061,orders!A:D,4,0))</f>
        <v>2015</v>
      </c>
      <c r="H2061">
        <f>MONTH(INDEX(orders!D:D,MATCH(A2061, orders!A:A,0)))</f>
        <v>4</v>
      </c>
      <c r="I2061" t="str">
        <f>VLOOKUP(VLOOKUP(B2061,products!A:F,6,0),categories!A:B,2,0)</f>
        <v>Beverages</v>
      </c>
      <c r="J2061" t="str">
        <f>VLOOKUP(VLOOKUP(A2061,orders!A:B,2,0),customers!A:F,6,0)</f>
        <v>Germany</v>
      </c>
      <c r="K2061" t="str">
        <f>VLOOKUP(VLOOKUP(A2061,orders!A:C,3,0),employees!A:B,2,0)</f>
        <v>Laura Callahan</v>
      </c>
    </row>
    <row r="2062" spans="1:11" x14ac:dyDescent="0.25">
      <c r="A2062">
        <v>11047</v>
      </c>
      <c r="B2062">
        <v>1</v>
      </c>
      <c r="C2062">
        <v>18</v>
      </c>
      <c r="D2062">
        <v>25</v>
      </c>
      <c r="E2062">
        <v>0.25</v>
      </c>
      <c r="F2062">
        <f t="shared" si="32"/>
        <v>337.5</v>
      </c>
      <c r="G2062">
        <f>YEAR(VLOOKUP(A2062,orders!A:D,4,0))</f>
        <v>2015</v>
      </c>
      <c r="H2062">
        <f>MONTH(INDEX(orders!D:D,MATCH(A2062, orders!A:A,0)))</f>
        <v>4</v>
      </c>
      <c r="I2062" t="str">
        <f>VLOOKUP(VLOOKUP(B2062,products!A:F,6,0),categories!A:B,2,0)</f>
        <v>Beverages</v>
      </c>
      <c r="J2062" t="str">
        <f>VLOOKUP(VLOOKUP(A2062,orders!A:B,2,0),customers!A:F,6,0)</f>
        <v>UK</v>
      </c>
      <c r="K2062" t="str">
        <f>VLOOKUP(VLOOKUP(A2062,orders!A:C,3,0),employees!A:B,2,0)</f>
        <v>Robert King</v>
      </c>
    </row>
    <row r="2063" spans="1:11" x14ac:dyDescent="0.25">
      <c r="A2063">
        <v>11047</v>
      </c>
      <c r="B2063">
        <v>5</v>
      </c>
      <c r="C2063">
        <v>21.35</v>
      </c>
      <c r="D2063">
        <v>30</v>
      </c>
      <c r="E2063">
        <v>0.25</v>
      </c>
      <c r="F2063">
        <f t="shared" si="32"/>
        <v>480.375</v>
      </c>
      <c r="G2063">
        <f>YEAR(VLOOKUP(A2063,orders!A:D,4,0))</f>
        <v>2015</v>
      </c>
      <c r="H2063">
        <f>MONTH(INDEX(orders!D:D,MATCH(A2063, orders!A:A,0)))</f>
        <v>4</v>
      </c>
      <c r="I2063" t="str">
        <f>VLOOKUP(VLOOKUP(B2063,products!A:F,6,0),categories!A:B,2,0)</f>
        <v>Condiments</v>
      </c>
      <c r="J2063" t="str">
        <f>VLOOKUP(VLOOKUP(A2063,orders!A:B,2,0),customers!A:F,6,0)</f>
        <v>UK</v>
      </c>
      <c r="K2063" t="str">
        <f>VLOOKUP(VLOOKUP(A2063,orders!A:C,3,0),employees!A:B,2,0)</f>
        <v>Robert King</v>
      </c>
    </row>
    <row r="2064" spans="1:11" x14ac:dyDescent="0.25">
      <c r="A2064">
        <v>11048</v>
      </c>
      <c r="B2064">
        <v>68</v>
      </c>
      <c r="C2064">
        <v>12.5</v>
      </c>
      <c r="D2064">
        <v>42</v>
      </c>
      <c r="E2064">
        <v>0</v>
      </c>
      <c r="F2064">
        <f t="shared" si="32"/>
        <v>525</v>
      </c>
      <c r="G2064">
        <f>YEAR(VLOOKUP(A2064,orders!A:D,4,0))</f>
        <v>2015</v>
      </c>
      <c r="H2064">
        <f>MONTH(INDEX(orders!D:D,MATCH(A2064, orders!A:A,0)))</f>
        <v>4</v>
      </c>
      <c r="I2064" t="str">
        <f>VLOOKUP(VLOOKUP(B2064,products!A:F,6,0),categories!A:B,2,0)</f>
        <v>Confections</v>
      </c>
      <c r="J2064" t="str">
        <f>VLOOKUP(VLOOKUP(A2064,orders!A:B,2,0),customers!A:F,6,0)</f>
        <v>Canada</v>
      </c>
      <c r="K2064" t="str">
        <f>VLOOKUP(VLOOKUP(A2064,orders!A:C,3,0),employees!A:B,2,0)</f>
        <v>Robert King</v>
      </c>
    </row>
    <row r="2065" spans="1:11" x14ac:dyDescent="0.25">
      <c r="A2065">
        <v>11049</v>
      </c>
      <c r="B2065">
        <v>2</v>
      </c>
      <c r="C2065">
        <v>19</v>
      </c>
      <c r="D2065">
        <v>10</v>
      </c>
      <c r="E2065">
        <v>0.2</v>
      </c>
      <c r="F2065">
        <f t="shared" si="32"/>
        <v>152</v>
      </c>
      <c r="G2065">
        <f>YEAR(VLOOKUP(A2065,orders!A:D,4,0))</f>
        <v>2015</v>
      </c>
      <c r="H2065">
        <f>MONTH(INDEX(orders!D:D,MATCH(A2065, orders!A:A,0)))</f>
        <v>4</v>
      </c>
      <c r="I2065" t="str">
        <f>VLOOKUP(VLOOKUP(B2065,products!A:F,6,0),categories!A:B,2,0)</f>
        <v>Beverages</v>
      </c>
      <c r="J2065" t="str">
        <f>VLOOKUP(VLOOKUP(A2065,orders!A:B,2,0),customers!A:F,6,0)</f>
        <v>Brazil</v>
      </c>
      <c r="K2065" t="str">
        <f>VLOOKUP(VLOOKUP(A2065,orders!A:C,3,0),employees!A:B,2,0)</f>
        <v>Janet Leverling</v>
      </c>
    </row>
    <row r="2066" spans="1:11" x14ac:dyDescent="0.25">
      <c r="A2066">
        <v>11049</v>
      </c>
      <c r="B2066">
        <v>12</v>
      </c>
      <c r="C2066">
        <v>38</v>
      </c>
      <c r="D2066">
        <v>4</v>
      </c>
      <c r="E2066">
        <v>0.2</v>
      </c>
      <c r="F2066">
        <f t="shared" si="32"/>
        <v>121.60000000000001</v>
      </c>
      <c r="G2066">
        <f>YEAR(VLOOKUP(A2066,orders!A:D,4,0))</f>
        <v>2015</v>
      </c>
      <c r="H2066">
        <f>MONTH(INDEX(orders!D:D,MATCH(A2066, orders!A:A,0)))</f>
        <v>4</v>
      </c>
      <c r="I2066" t="str">
        <f>VLOOKUP(VLOOKUP(B2066,products!A:F,6,0),categories!A:B,2,0)</f>
        <v>Dairy Products</v>
      </c>
      <c r="J2066" t="str">
        <f>VLOOKUP(VLOOKUP(A2066,orders!A:B,2,0),customers!A:F,6,0)</f>
        <v>Brazil</v>
      </c>
      <c r="K2066" t="str">
        <f>VLOOKUP(VLOOKUP(A2066,orders!A:C,3,0),employees!A:B,2,0)</f>
        <v>Janet Leverling</v>
      </c>
    </row>
    <row r="2067" spans="1:11" x14ac:dyDescent="0.25">
      <c r="A2067">
        <v>11050</v>
      </c>
      <c r="B2067">
        <v>76</v>
      </c>
      <c r="C2067">
        <v>18</v>
      </c>
      <c r="D2067">
        <v>50</v>
      </c>
      <c r="E2067">
        <v>0.1</v>
      </c>
      <c r="F2067">
        <f t="shared" si="32"/>
        <v>810</v>
      </c>
      <c r="G2067">
        <f>YEAR(VLOOKUP(A2067,orders!A:D,4,0))</f>
        <v>2015</v>
      </c>
      <c r="H2067">
        <f>MONTH(INDEX(orders!D:D,MATCH(A2067, orders!A:A,0)))</f>
        <v>4</v>
      </c>
      <c r="I2067" t="str">
        <f>VLOOKUP(VLOOKUP(B2067,products!A:F,6,0),categories!A:B,2,0)</f>
        <v>Beverages</v>
      </c>
      <c r="J2067" t="str">
        <f>VLOOKUP(VLOOKUP(A2067,orders!A:B,2,0),customers!A:F,6,0)</f>
        <v>Sweden</v>
      </c>
      <c r="K2067" t="str">
        <f>VLOOKUP(VLOOKUP(A2067,orders!A:C,3,0),employees!A:B,2,0)</f>
        <v>Laura Callahan</v>
      </c>
    </row>
    <row r="2068" spans="1:11" x14ac:dyDescent="0.25">
      <c r="A2068">
        <v>11051</v>
      </c>
      <c r="B2068">
        <v>24</v>
      </c>
      <c r="C2068">
        <v>4.5</v>
      </c>
      <c r="D2068">
        <v>10</v>
      </c>
      <c r="E2068">
        <v>0.2</v>
      </c>
      <c r="F2068">
        <f t="shared" si="32"/>
        <v>36</v>
      </c>
      <c r="G2068">
        <f>YEAR(VLOOKUP(A2068,orders!A:D,4,0))</f>
        <v>2015</v>
      </c>
      <c r="H2068">
        <f>MONTH(INDEX(orders!D:D,MATCH(A2068, orders!A:A,0)))</f>
        <v>4</v>
      </c>
      <c r="I2068" t="str">
        <f>VLOOKUP(VLOOKUP(B2068,products!A:F,6,0),categories!A:B,2,0)</f>
        <v>Beverages</v>
      </c>
      <c r="J2068" t="str">
        <f>VLOOKUP(VLOOKUP(A2068,orders!A:B,2,0),customers!A:F,6,0)</f>
        <v>France</v>
      </c>
      <c r="K2068" t="str">
        <f>VLOOKUP(VLOOKUP(A2068,orders!A:C,3,0),employees!A:B,2,0)</f>
        <v>Robert King</v>
      </c>
    </row>
    <row r="2069" spans="1:11" x14ac:dyDescent="0.25">
      <c r="A2069">
        <v>11052</v>
      </c>
      <c r="B2069">
        <v>43</v>
      </c>
      <c r="C2069">
        <v>46</v>
      </c>
      <c r="D2069">
        <v>30</v>
      </c>
      <c r="E2069">
        <v>0.2</v>
      </c>
      <c r="F2069">
        <f t="shared" si="32"/>
        <v>1104</v>
      </c>
      <c r="G2069">
        <f>YEAR(VLOOKUP(A2069,orders!A:D,4,0))</f>
        <v>2015</v>
      </c>
      <c r="H2069">
        <f>MONTH(INDEX(orders!D:D,MATCH(A2069, orders!A:A,0)))</f>
        <v>4</v>
      </c>
      <c r="I2069" t="str">
        <f>VLOOKUP(VLOOKUP(B2069,products!A:F,6,0),categories!A:B,2,0)</f>
        <v>Beverages</v>
      </c>
      <c r="J2069" t="str">
        <f>VLOOKUP(VLOOKUP(A2069,orders!A:B,2,0),customers!A:F,6,0)</f>
        <v>Brazil</v>
      </c>
      <c r="K2069" t="str">
        <f>VLOOKUP(VLOOKUP(A2069,orders!A:C,3,0),employees!A:B,2,0)</f>
        <v>Janet Leverling</v>
      </c>
    </row>
    <row r="2070" spans="1:11" x14ac:dyDescent="0.25">
      <c r="A2070">
        <v>11052</v>
      </c>
      <c r="B2070">
        <v>61</v>
      </c>
      <c r="C2070">
        <v>28.5</v>
      </c>
      <c r="D2070">
        <v>10</v>
      </c>
      <c r="E2070">
        <v>0.2</v>
      </c>
      <c r="F2070">
        <f t="shared" si="32"/>
        <v>228</v>
      </c>
      <c r="G2070">
        <f>YEAR(VLOOKUP(A2070,orders!A:D,4,0))</f>
        <v>2015</v>
      </c>
      <c r="H2070">
        <f>MONTH(INDEX(orders!D:D,MATCH(A2070, orders!A:A,0)))</f>
        <v>4</v>
      </c>
      <c r="I2070" t="str">
        <f>VLOOKUP(VLOOKUP(B2070,products!A:F,6,0),categories!A:B,2,0)</f>
        <v>Condiments</v>
      </c>
      <c r="J2070" t="str">
        <f>VLOOKUP(VLOOKUP(A2070,orders!A:B,2,0),customers!A:F,6,0)</f>
        <v>Brazil</v>
      </c>
      <c r="K2070" t="str">
        <f>VLOOKUP(VLOOKUP(A2070,orders!A:C,3,0),employees!A:B,2,0)</f>
        <v>Janet Leverling</v>
      </c>
    </row>
    <row r="2071" spans="1:11" x14ac:dyDescent="0.25">
      <c r="A2071">
        <v>11053</v>
      </c>
      <c r="B2071">
        <v>18</v>
      </c>
      <c r="C2071">
        <v>62.5</v>
      </c>
      <c r="D2071">
        <v>35</v>
      </c>
      <c r="E2071">
        <v>0.2</v>
      </c>
      <c r="F2071">
        <f t="shared" si="32"/>
        <v>1750</v>
      </c>
      <c r="G2071">
        <f>YEAR(VLOOKUP(A2071,orders!A:D,4,0))</f>
        <v>2015</v>
      </c>
      <c r="H2071">
        <f>MONTH(INDEX(orders!D:D,MATCH(A2071, orders!A:A,0)))</f>
        <v>4</v>
      </c>
      <c r="I2071" t="str">
        <f>VLOOKUP(VLOOKUP(B2071,products!A:F,6,0),categories!A:B,2,0)</f>
        <v>Seafood</v>
      </c>
      <c r="J2071" t="str">
        <f>VLOOKUP(VLOOKUP(A2071,orders!A:B,2,0),customers!A:F,6,0)</f>
        <v>Austria</v>
      </c>
      <c r="K2071" t="str">
        <f>VLOOKUP(VLOOKUP(A2071,orders!A:C,3,0),employees!A:B,2,0)</f>
        <v>Andrew Fuller</v>
      </c>
    </row>
    <row r="2072" spans="1:11" x14ac:dyDescent="0.25">
      <c r="A2072">
        <v>11053</v>
      </c>
      <c r="B2072">
        <v>32</v>
      </c>
      <c r="C2072">
        <v>32</v>
      </c>
      <c r="D2072">
        <v>20</v>
      </c>
      <c r="E2072">
        <v>0</v>
      </c>
      <c r="F2072">
        <f t="shared" si="32"/>
        <v>640</v>
      </c>
      <c r="G2072">
        <f>YEAR(VLOOKUP(A2072,orders!A:D,4,0))</f>
        <v>2015</v>
      </c>
      <c r="H2072">
        <f>MONTH(INDEX(orders!D:D,MATCH(A2072, orders!A:A,0)))</f>
        <v>4</v>
      </c>
      <c r="I2072" t="str">
        <f>VLOOKUP(VLOOKUP(B2072,products!A:F,6,0),categories!A:B,2,0)</f>
        <v>Dairy Products</v>
      </c>
      <c r="J2072" t="str">
        <f>VLOOKUP(VLOOKUP(A2072,orders!A:B,2,0),customers!A:F,6,0)</f>
        <v>Austria</v>
      </c>
      <c r="K2072" t="str">
        <f>VLOOKUP(VLOOKUP(A2072,orders!A:C,3,0),employees!A:B,2,0)</f>
        <v>Andrew Fuller</v>
      </c>
    </row>
    <row r="2073" spans="1:11" x14ac:dyDescent="0.25">
      <c r="A2073">
        <v>11053</v>
      </c>
      <c r="B2073">
        <v>64</v>
      </c>
      <c r="C2073">
        <v>33.25</v>
      </c>
      <c r="D2073">
        <v>25</v>
      </c>
      <c r="E2073">
        <v>0.2</v>
      </c>
      <c r="F2073">
        <f t="shared" si="32"/>
        <v>665</v>
      </c>
      <c r="G2073">
        <f>YEAR(VLOOKUP(A2073,orders!A:D,4,0))</f>
        <v>2015</v>
      </c>
      <c r="H2073">
        <f>MONTH(INDEX(orders!D:D,MATCH(A2073, orders!A:A,0)))</f>
        <v>4</v>
      </c>
      <c r="I2073" t="str">
        <f>VLOOKUP(VLOOKUP(B2073,products!A:F,6,0),categories!A:B,2,0)</f>
        <v>Grains &amp; Cereals</v>
      </c>
      <c r="J2073" t="str">
        <f>VLOOKUP(VLOOKUP(A2073,orders!A:B,2,0),customers!A:F,6,0)</f>
        <v>Austria</v>
      </c>
      <c r="K2073" t="str">
        <f>VLOOKUP(VLOOKUP(A2073,orders!A:C,3,0),employees!A:B,2,0)</f>
        <v>Andrew Fuller</v>
      </c>
    </row>
    <row r="2074" spans="1:11" x14ac:dyDescent="0.25">
      <c r="A2074">
        <v>11054</v>
      </c>
      <c r="B2074">
        <v>33</v>
      </c>
      <c r="C2074">
        <v>2.5</v>
      </c>
      <c r="D2074">
        <v>10</v>
      </c>
      <c r="E2074">
        <v>0</v>
      </c>
      <c r="F2074">
        <f t="shared" si="32"/>
        <v>25</v>
      </c>
      <c r="G2074">
        <f>YEAR(VLOOKUP(A2074,orders!A:D,4,0))</f>
        <v>2015</v>
      </c>
      <c r="H2074">
        <f>MONTH(INDEX(orders!D:D,MATCH(A2074, orders!A:A,0)))</f>
        <v>4</v>
      </c>
      <c r="I2074" t="str">
        <f>VLOOKUP(VLOOKUP(B2074,products!A:F,6,0),categories!A:B,2,0)</f>
        <v>Dairy Products</v>
      </c>
      <c r="J2074" t="str">
        <f>VLOOKUP(VLOOKUP(A2074,orders!A:B,2,0),customers!A:F,6,0)</f>
        <v>Argentina</v>
      </c>
      <c r="K2074" t="str">
        <f>VLOOKUP(VLOOKUP(A2074,orders!A:C,3,0),employees!A:B,2,0)</f>
        <v>Laura Callahan</v>
      </c>
    </row>
    <row r="2075" spans="1:11" x14ac:dyDescent="0.25">
      <c r="A2075">
        <v>11054</v>
      </c>
      <c r="B2075">
        <v>67</v>
      </c>
      <c r="C2075">
        <v>14</v>
      </c>
      <c r="D2075">
        <v>20</v>
      </c>
      <c r="E2075">
        <v>0</v>
      </c>
      <c r="F2075">
        <f t="shared" si="32"/>
        <v>280</v>
      </c>
      <c r="G2075">
        <f>YEAR(VLOOKUP(A2075,orders!A:D,4,0))</f>
        <v>2015</v>
      </c>
      <c r="H2075">
        <f>MONTH(INDEX(orders!D:D,MATCH(A2075, orders!A:A,0)))</f>
        <v>4</v>
      </c>
      <c r="I2075" t="str">
        <f>VLOOKUP(VLOOKUP(B2075,products!A:F,6,0),categories!A:B,2,0)</f>
        <v>Beverages</v>
      </c>
      <c r="J2075" t="str">
        <f>VLOOKUP(VLOOKUP(A2075,orders!A:B,2,0),customers!A:F,6,0)</f>
        <v>Argentina</v>
      </c>
      <c r="K2075" t="str">
        <f>VLOOKUP(VLOOKUP(A2075,orders!A:C,3,0),employees!A:B,2,0)</f>
        <v>Laura Callahan</v>
      </c>
    </row>
    <row r="2076" spans="1:11" x14ac:dyDescent="0.25">
      <c r="A2076">
        <v>11055</v>
      </c>
      <c r="B2076">
        <v>24</v>
      </c>
      <c r="C2076">
        <v>4.5</v>
      </c>
      <c r="D2076">
        <v>15</v>
      </c>
      <c r="E2076">
        <v>0</v>
      </c>
      <c r="F2076">
        <f t="shared" si="32"/>
        <v>67.5</v>
      </c>
      <c r="G2076">
        <f>YEAR(VLOOKUP(A2076,orders!A:D,4,0))</f>
        <v>2015</v>
      </c>
      <c r="H2076">
        <f>MONTH(INDEX(orders!D:D,MATCH(A2076, orders!A:A,0)))</f>
        <v>4</v>
      </c>
      <c r="I2076" t="str">
        <f>VLOOKUP(VLOOKUP(B2076,products!A:F,6,0),categories!A:B,2,0)</f>
        <v>Beverages</v>
      </c>
      <c r="J2076" t="str">
        <f>VLOOKUP(VLOOKUP(A2076,orders!A:B,2,0),customers!A:F,6,0)</f>
        <v>Venezuela</v>
      </c>
      <c r="K2076" t="str">
        <f>VLOOKUP(VLOOKUP(A2076,orders!A:C,3,0),employees!A:B,2,0)</f>
        <v>Robert King</v>
      </c>
    </row>
    <row r="2077" spans="1:11" x14ac:dyDescent="0.25">
      <c r="A2077">
        <v>11055</v>
      </c>
      <c r="B2077">
        <v>25</v>
      </c>
      <c r="C2077">
        <v>14</v>
      </c>
      <c r="D2077">
        <v>15</v>
      </c>
      <c r="E2077">
        <v>0</v>
      </c>
      <c r="F2077">
        <f t="shared" si="32"/>
        <v>210</v>
      </c>
      <c r="G2077">
        <f>YEAR(VLOOKUP(A2077,orders!A:D,4,0))</f>
        <v>2015</v>
      </c>
      <c r="H2077">
        <f>MONTH(INDEX(orders!D:D,MATCH(A2077, orders!A:A,0)))</f>
        <v>4</v>
      </c>
      <c r="I2077" t="str">
        <f>VLOOKUP(VLOOKUP(B2077,products!A:F,6,0),categories!A:B,2,0)</f>
        <v>Confections</v>
      </c>
      <c r="J2077" t="str">
        <f>VLOOKUP(VLOOKUP(A2077,orders!A:B,2,0),customers!A:F,6,0)</f>
        <v>Venezuela</v>
      </c>
      <c r="K2077" t="str">
        <f>VLOOKUP(VLOOKUP(A2077,orders!A:C,3,0),employees!A:B,2,0)</f>
        <v>Robert King</v>
      </c>
    </row>
    <row r="2078" spans="1:11" x14ac:dyDescent="0.25">
      <c r="A2078">
        <v>11055</v>
      </c>
      <c r="B2078">
        <v>51</v>
      </c>
      <c r="C2078">
        <v>53</v>
      </c>
      <c r="D2078">
        <v>20</v>
      </c>
      <c r="E2078">
        <v>0</v>
      </c>
      <c r="F2078">
        <f t="shared" si="32"/>
        <v>1060</v>
      </c>
      <c r="G2078">
        <f>YEAR(VLOOKUP(A2078,orders!A:D,4,0))</f>
        <v>2015</v>
      </c>
      <c r="H2078">
        <f>MONTH(INDEX(orders!D:D,MATCH(A2078, orders!A:A,0)))</f>
        <v>4</v>
      </c>
      <c r="I2078" t="str">
        <f>VLOOKUP(VLOOKUP(B2078,products!A:F,6,0),categories!A:B,2,0)</f>
        <v>Produce</v>
      </c>
      <c r="J2078" t="str">
        <f>VLOOKUP(VLOOKUP(A2078,orders!A:B,2,0),customers!A:F,6,0)</f>
        <v>Venezuela</v>
      </c>
      <c r="K2078" t="str">
        <f>VLOOKUP(VLOOKUP(A2078,orders!A:C,3,0),employees!A:B,2,0)</f>
        <v>Robert King</v>
      </c>
    </row>
    <row r="2079" spans="1:11" x14ac:dyDescent="0.25">
      <c r="A2079">
        <v>11055</v>
      </c>
      <c r="B2079">
        <v>57</v>
      </c>
      <c r="C2079">
        <v>19.5</v>
      </c>
      <c r="D2079">
        <v>20</v>
      </c>
      <c r="E2079">
        <v>0</v>
      </c>
      <c r="F2079">
        <f t="shared" si="32"/>
        <v>390</v>
      </c>
      <c r="G2079">
        <f>YEAR(VLOOKUP(A2079,orders!A:D,4,0))</f>
        <v>2015</v>
      </c>
      <c r="H2079">
        <f>MONTH(INDEX(orders!D:D,MATCH(A2079, orders!A:A,0)))</f>
        <v>4</v>
      </c>
      <c r="I2079" t="str">
        <f>VLOOKUP(VLOOKUP(B2079,products!A:F,6,0),categories!A:B,2,0)</f>
        <v>Grains &amp; Cereals</v>
      </c>
      <c r="J2079" t="str">
        <f>VLOOKUP(VLOOKUP(A2079,orders!A:B,2,0),customers!A:F,6,0)</f>
        <v>Venezuela</v>
      </c>
      <c r="K2079" t="str">
        <f>VLOOKUP(VLOOKUP(A2079,orders!A:C,3,0),employees!A:B,2,0)</f>
        <v>Robert King</v>
      </c>
    </row>
    <row r="2080" spans="1:11" x14ac:dyDescent="0.25">
      <c r="A2080">
        <v>11056</v>
      </c>
      <c r="B2080">
        <v>7</v>
      </c>
      <c r="C2080">
        <v>30</v>
      </c>
      <c r="D2080">
        <v>40</v>
      </c>
      <c r="E2080">
        <v>0</v>
      </c>
      <c r="F2080">
        <f t="shared" si="32"/>
        <v>1200</v>
      </c>
      <c r="G2080">
        <f>YEAR(VLOOKUP(A2080,orders!A:D,4,0))</f>
        <v>2015</v>
      </c>
      <c r="H2080">
        <f>MONTH(INDEX(orders!D:D,MATCH(A2080, orders!A:A,0)))</f>
        <v>4</v>
      </c>
      <c r="I2080" t="str">
        <f>VLOOKUP(VLOOKUP(B2080,products!A:F,6,0),categories!A:B,2,0)</f>
        <v>Produce</v>
      </c>
      <c r="J2080" t="str">
        <f>VLOOKUP(VLOOKUP(A2080,orders!A:B,2,0),customers!A:F,6,0)</f>
        <v>UK</v>
      </c>
      <c r="K2080" t="str">
        <f>VLOOKUP(VLOOKUP(A2080,orders!A:C,3,0),employees!A:B,2,0)</f>
        <v>Laura Callahan</v>
      </c>
    </row>
    <row r="2081" spans="1:11" x14ac:dyDescent="0.25">
      <c r="A2081">
        <v>11056</v>
      </c>
      <c r="B2081">
        <v>55</v>
      </c>
      <c r="C2081">
        <v>24</v>
      </c>
      <c r="D2081">
        <v>35</v>
      </c>
      <c r="E2081">
        <v>0</v>
      </c>
      <c r="F2081">
        <f t="shared" si="32"/>
        <v>840</v>
      </c>
      <c r="G2081">
        <f>YEAR(VLOOKUP(A2081,orders!A:D,4,0))</f>
        <v>2015</v>
      </c>
      <c r="H2081">
        <f>MONTH(INDEX(orders!D:D,MATCH(A2081, orders!A:A,0)))</f>
        <v>4</v>
      </c>
      <c r="I2081" t="str">
        <f>VLOOKUP(VLOOKUP(B2081,products!A:F,6,0),categories!A:B,2,0)</f>
        <v>Meat &amp; Poultry</v>
      </c>
      <c r="J2081" t="str">
        <f>VLOOKUP(VLOOKUP(A2081,orders!A:B,2,0),customers!A:F,6,0)</f>
        <v>UK</v>
      </c>
      <c r="K2081" t="str">
        <f>VLOOKUP(VLOOKUP(A2081,orders!A:C,3,0),employees!A:B,2,0)</f>
        <v>Laura Callahan</v>
      </c>
    </row>
    <row r="2082" spans="1:11" x14ac:dyDescent="0.25">
      <c r="A2082">
        <v>11056</v>
      </c>
      <c r="B2082">
        <v>60</v>
      </c>
      <c r="C2082">
        <v>34</v>
      </c>
      <c r="D2082">
        <v>50</v>
      </c>
      <c r="E2082">
        <v>0</v>
      </c>
      <c r="F2082">
        <f t="shared" si="32"/>
        <v>1700</v>
      </c>
      <c r="G2082">
        <f>YEAR(VLOOKUP(A2082,orders!A:D,4,0))</f>
        <v>2015</v>
      </c>
      <c r="H2082">
        <f>MONTH(INDEX(orders!D:D,MATCH(A2082, orders!A:A,0)))</f>
        <v>4</v>
      </c>
      <c r="I2082" t="str">
        <f>VLOOKUP(VLOOKUP(B2082,products!A:F,6,0),categories!A:B,2,0)</f>
        <v>Dairy Products</v>
      </c>
      <c r="J2082" t="str">
        <f>VLOOKUP(VLOOKUP(A2082,orders!A:B,2,0),customers!A:F,6,0)</f>
        <v>UK</v>
      </c>
      <c r="K2082" t="str">
        <f>VLOOKUP(VLOOKUP(A2082,orders!A:C,3,0),employees!A:B,2,0)</f>
        <v>Laura Callahan</v>
      </c>
    </row>
    <row r="2083" spans="1:11" x14ac:dyDescent="0.25">
      <c r="A2083">
        <v>11057</v>
      </c>
      <c r="B2083">
        <v>70</v>
      </c>
      <c r="C2083">
        <v>15</v>
      </c>
      <c r="D2083">
        <v>3</v>
      </c>
      <c r="E2083">
        <v>0</v>
      </c>
      <c r="F2083">
        <f t="shared" si="32"/>
        <v>45</v>
      </c>
      <c r="G2083">
        <f>YEAR(VLOOKUP(A2083,orders!A:D,4,0))</f>
        <v>2015</v>
      </c>
      <c r="H2083">
        <f>MONTH(INDEX(orders!D:D,MATCH(A2083, orders!A:A,0)))</f>
        <v>4</v>
      </c>
      <c r="I2083" t="str">
        <f>VLOOKUP(VLOOKUP(B2083,products!A:F,6,0),categories!A:B,2,0)</f>
        <v>Beverages</v>
      </c>
      <c r="J2083" t="str">
        <f>VLOOKUP(VLOOKUP(A2083,orders!A:B,2,0),customers!A:F,6,0)</f>
        <v>UK</v>
      </c>
      <c r="K2083" t="str">
        <f>VLOOKUP(VLOOKUP(A2083,orders!A:C,3,0),employees!A:B,2,0)</f>
        <v>Janet Leverling</v>
      </c>
    </row>
    <row r="2084" spans="1:11" x14ac:dyDescent="0.25">
      <c r="A2084">
        <v>11058</v>
      </c>
      <c r="B2084">
        <v>21</v>
      </c>
      <c r="C2084">
        <v>10</v>
      </c>
      <c r="D2084">
        <v>3</v>
      </c>
      <c r="E2084">
        <v>0</v>
      </c>
      <c r="F2084">
        <f t="shared" si="32"/>
        <v>30</v>
      </c>
      <c r="G2084">
        <f>YEAR(VLOOKUP(A2084,orders!A:D,4,0))</f>
        <v>2015</v>
      </c>
      <c r="H2084">
        <f>MONTH(INDEX(orders!D:D,MATCH(A2084, orders!A:A,0)))</f>
        <v>4</v>
      </c>
      <c r="I2084" t="str">
        <f>VLOOKUP(VLOOKUP(B2084,products!A:F,6,0),categories!A:B,2,0)</f>
        <v>Confections</v>
      </c>
      <c r="J2084" t="str">
        <f>VLOOKUP(VLOOKUP(A2084,orders!A:B,2,0),customers!A:F,6,0)</f>
        <v>Germany</v>
      </c>
      <c r="K2084" t="str">
        <f>VLOOKUP(VLOOKUP(A2084,orders!A:C,3,0),employees!A:B,2,0)</f>
        <v>Anne Dodsworth</v>
      </c>
    </row>
    <row r="2085" spans="1:11" x14ac:dyDescent="0.25">
      <c r="A2085">
        <v>11058</v>
      </c>
      <c r="B2085">
        <v>60</v>
      </c>
      <c r="C2085">
        <v>34</v>
      </c>
      <c r="D2085">
        <v>21</v>
      </c>
      <c r="E2085">
        <v>0</v>
      </c>
      <c r="F2085">
        <f t="shared" si="32"/>
        <v>714</v>
      </c>
      <c r="G2085">
        <f>YEAR(VLOOKUP(A2085,orders!A:D,4,0))</f>
        <v>2015</v>
      </c>
      <c r="H2085">
        <f>MONTH(INDEX(orders!D:D,MATCH(A2085, orders!A:A,0)))</f>
        <v>4</v>
      </c>
      <c r="I2085" t="str">
        <f>VLOOKUP(VLOOKUP(B2085,products!A:F,6,0),categories!A:B,2,0)</f>
        <v>Dairy Products</v>
      </c>
      <c r="J2085" t="str">
        <f>VLOOKUP(VLOOKUP(A2085,orders!A:B,2,0),customers!A:F,6,0)</f>
        <v>Germany</v>
      </c>
      <c r="K2085" t="str">
        <f>VLOOKUP(VLOOKUP(A2085,orders!A:C,3,0),employees!A:B,2,0)</f>
        <v>Anne Dodsworth</v>
      </c>
    </row>
    <row r="2086" spans="1:11" x14ac:dyDescent="0.25">
      <c r="A2086">
        <v>11058</v>
      </c>
      <c r="B2086">
        <v>61</v>
      </c>
      <c r="C2086">
        <v>28.5</v>
      </c>
      <c r="D2086">
        <v>4</v>
      </c>
      <c r="E2086">
        <v>0</v>
      </c>
      <c r="F2086">
        <f t="shared" si="32"/>
        <v>114</v>
      </c>
      <c r="G2086">
        <f>YEAR(VLOOKUP(A2086,orders!A:D,4,0))</f>
        <v>2015</v>
      </c>
      <c r="H2086">
        <f>MONTH(INDEX(orders!D:D,MATCH(A2086, orders!A:A,0)))</f>
        <v>4</v>
      </c>
      <c r="I2086" t="str">
        <f>VLOOKUP(VLOOKUP(B2086,products!A:F,6,0),categories!A:B,2,0)</f>
        <v>Condiments</v>
      </c>
      <c r="J2086" t="str">
        <f>VLOOKUP(VLOOKUP(A2086,orders!A:B,2,0),customers!A:F,6,0)</f>
        <v>Germany</v>
      </c>
      <c r="K2086" t="str">
        <f>VLOOKUP(VLOOKUP(A2086,orders!A:C,3,0),employees!A:B,2,0)</f>
        <v>Anne Dodsworth</v>
      </c>
    </row>
    <row r="2087" spans="1:11" x14ac:dyDescent="0.25">
      <c r="A2087">
        <v>11059</v>
      </c>
      <c r="B2087">
        <v>13</v>
      </c>
      <c r="C2087">
        <v>6</v>
      </c>
      <c r="D2087">
        <v>30</v>
      </c>
      <c r="E2087">
        <v>0</v>
      </c>
      <c r="F2087">
        <f t="shared" si="32"/>
        <v>180</v>
      </c>
      <c r="G2087">
        <f>YEAR(VLOOKUP(A2087,orders!A:D,4,0))</f>
        <v>2015</v>
      </c>
      <c r="H2087">
        <f>MONTH(INDEX(orders!D:D,MATCH(A2087, orders!A:A,0)))</f>
        <v>4</v>
      </c>
      <c r="I2087" t="str">
        <f>VLOOKUP(VLOOKUP(B2087,products!A:F,6,0),categories!A:B,2,0)</f>
        <v>Seafood</v>
      </c>
      <c r="J2087" t="str">
        <f>VLOOKUP(VLOOKUP(A2087,orders!A:B,2,0),customers!A:F,6,0)</f>
        <v>Brazil</v>
      </c>
      <c r="K2087" t="str">
        <f>VLOOKUP(VLOOKUP(A2087,orders!A:C,3,0),employees!A:B,2,0)</f>
        <v>Andrew Fuller</v>
      </c>
    </row>
    <row r="2088" spans="1:11" x14ac:dyDescent="0.25">
      <c r="A2088">
        <v>11059</v>
      </c>
      <c r="B2088">
        <v>17</v>
      </c>
      <c r="C2088">
        <v>39</v>
      </c>
      <c r="D2088">
        <v>12</v>
      </c>
      <c r="E2088">
        <v>0</v>
      </c>
      <c r="F2088">
        <f t="shared" si="32"/>
        <v>468</v>
      </c>
      <c r="G2088">
        <f>YEAR(VLOOKUP(A2088,orders!A:D,4,0))</f>
        <v>2015</v>
      </c>
      <c r="H2088">
        <f>MONTH(INDEX(orders!D:D,MATCH(A2088, orders!A:A,0)))</f>
        <v>4</v>
      </c>
      <c r="I2088" t="str">
        <f>VLOOKUP(VLOOKUP(B2088,products!A:F,6,0),categories!A:B,2,0)</f>
        <v>Meat &amp; Poultry</v>
      </c>
      <c r="J2088" t="str">
        <f>VLOOKUP(VLOOKUP(A2088,orders!A:B,2,0),customers!A:F,6,0)</f>
        <v>Brazil</v>
      </c>
      <c r="K2088" t="str">
        <f>VLOOKUP(VLOOKUP(A2088,orders!A:C,3,0),employees!A:B,2,0)</f>
        <v>Andrew Fuller</v>
      </c>
    </row>
    <row r="2089" spans="1:11" x14ac:dyDescent="0.25">
      <c r="A2089">
        <v>11059</v>
      </c>
      <c r="B2089">
        <v>60</v>
      </c>
      <c r="C2089">
        <v>34</v>
      </c>
      <c r="D2089">
        <v>35</v>
      </c>
      <c r="E2089">
        <v>0</v>
      </c>
      <c r="F2089">
        <f t="shared" si="32"/>
        <v>1190</v>
      </c>
      <c r="G2089">
        <f>YEAR(VLOOKUP(A2089,orders!A:D,4,0))</f>
        <v>2015</v>
      </c>
      <c r="H2089">
        <f>MONTH(INDEX(orders!D:D,MATCH(A2089, orders!A:A,0)))</f>
        <v>4</v>
      </c>
      <c r="I2089" t="str">
        <f>VLOOKUP(VLOOKUP(B2089,products!A:F,6,0),categories!A:B,2,0)</f>
        <v>Dairy Products</v>
      </c>
      <c r="J2089" t="str">
        <f>VLOOKUP(VLOOKUP(A2089,orders!A:B,2,0),customers!A:F,6,0)</f>
        <v>Brazil</v>
      </c>
      <c r="K2089" t="str">
        <f>VLOOKUP(VLOOKUP(A2089,orders!A:C,3,0),employees!A:B,2,0)</f>
        <v>Andrew Fuller</v>
      </c>
    </row>
    <row r="2090" spans="1:11" x14ac:dyDescent="0.25">
      <c r="A2090">
        <v>11060</v>
      </c>
      <c r="B2090">
        <v>60</v>
      </c>
      <c r="C2090">
        <v>34</v>
      </c>
      <c r="D2090">
        <v>4</v>
      </c>
      <c r="E2090">
        <v>0</v>
      </c>
      <c r="F2090">
        <f t="shared" si="32"/>
        <v>136</v>
      </c>
      <c r="G2090">
        <f>YEAR(VLOOKUP(A2090,orders!A:D,4,0))</f>
        <v>2015</v>
      </c>
      <c r="H2090">
        <f>MONTH(INDEX(orders!D:D,MATCH(A2090, orders!A:A,0)))</f>
        <v>4</v>
      </c>
      <c r="I2090" t="str">
        <f>VLOOKUP(VLOOKUP(B2090,products!A:F,6,0),categories!A:B,2,0)</f>
        <v>Dairy Products</v>
      </c>
      <c r="J2090" t="str">
        <f>VLOOKUP(VLOOKUP(A2090,orders!A:B,2,0),customers!A:F,6,0)</f>
        <v>Italy</v>
      </c>
      <c r="K2090" t="str">
        <f>VLOOKUP(VLOOKUP(A2090,orders!A:C,3,0),employees!A:B,2,0)</f>
        <v>Andrew Fuller</v>
      </c>
    </row>
    <row r="2091" spans="1:11" x14ac:dyDescent="0.25">
      <c r="A2091">
        <v>11060</v>
      </c>
      <c r="B2091">
        <v>77</v>
      </c>
      <c r="C2091">
        <v>13</v>
      </c>
      <c r="D2091">
        <v>10</v>
      </c>
      <c r="E2091">
        <v>0</v>
      </c>
      <c r="F2091">
        <f t="shared" si="32"/>
        <v>130</v>
      </c>
      <c r="G2091">
        <f>YEAR(VLOOKUP(A2091,orders!A:D,4,0))</f>
        <v>2015</v>
      </c>
      <c r="H2091">
        <f>MONTH(INDEX(orders!D:D,MATCH(A2091, orders!A:A,0)))</f>
        <v>4</v>
      </c>
      <c r="I2091" t="str">
        <f>VLOOKUP(VLOOKUP(B2091,products!A:F,6,0),categories!A:B,2,0)</f>
        <v>Condiments</v>
      </c>
      <c r="J2091" t="str">
        <f>VLOOKUP(VLOOKUP(A2091,orders!A:B,2,0),customers!A:F,6,0)</f>
        <v>Italy</v>
      </c>
      <c r="K2091" t="str">
        <f>VLOOKUP(VLOOKUP(A2091,orders!A:C,3,0),employees!A:B,2,0)</f>
        <v>Andrew Fuller</v>
      </c>
    </row>
    <row r="2092" spans="1:11" x14ac:dyDescent="0.25">
      <c r="A2092">
        <v>11061</v>
      </c>
      <c r="B2092">
        <v>60</v>
      </c>
      <c r="C2092">
        <v>34</v>
      </c>
      <c r="D2092">
        <v>15</v>
      </c>
      <c r="E2092">
        <v>0</v>
      </c>
      <c r="F2092">
        <f t="shared" si="32"/>
        <v>510</v>
      </c>
      <c r="G2092">
        <f>YEAR(VLOOKUP(A2092,orders!A:D,4,0))</f>
        <v>2015</v>
      </c>
      <c r="H2092">
        <f>MONTH(INDEX(orders!D:D,MATCH(A2092, orders!A:A,0)))</f>
        <v>4</v>
      </c>
      <c r="I2092" t="str">
        <f>VLOOKUP(VLOOKUP(B2092,products!A:F,6,0),categories!A:B,2,0)</f>
        <v>Dairy Products</v>
      </c>
      <c r="J2092" t="str">
        <f>VLOOKUP(VLOOKUP(A2092,orders!A:B,2,0),customers!A:F,6,0)</f>
        <v>USA</v>
      </c>
      <c r="K2092" t="str">
        <f>VLOOKUP(VLOOKUP(A2092,orders!A:C,3,0),employees!A:B,2,0)</f>
        <v>Margaret Peacock</v>
      </c>
    </row>
    <row r="2093" spans="1:11" x14ac:dyDescent="0.25">
      <c r="A2093">
        <v>11062</v>
      </c>
      <c r="B2093">
        <v>53</v>
      </c>
      <c r="C2093">
        <v>32.799999999999997</v>
      </c>
      <c r="D2093">
        <v>10</v>
      </c>
      <c r="E2093">
        <v>0.2</v>
      </c>
      <c r="F2093">
        <f t="shared" si="32"/>
        <v>262.40000000000003</v>
      </c>
      <c r="G2093">
        <f>YEAR(VLOOKUP(A2093,orders!A:D,4,0))</f>
        <v>2015</v>
      </c>
      <c r="H2093">
        <f>MONTH(INDEX(orders!D:D,MATCH(A2093, orders!A:A,0)))</f>
        <v>4</v>
      </c>
      <c r="I2093" t="str">
        <f>VLOOKUP(VLOOKUP(B2093,products!A:F,6,0),categories!A:B,2,0)</f>
        <v>Meat &amp; Poultry</v>
      </c>
      <c r="J2093" t="str">
        <f>VLOOKUP(VLOOKUP(A2093,orders!A:B,2,0),customers!A:F,6,0)</f>
        <v>Italy</v>
      </c>
      <c r="K2093" t="str">
        <f>VLOOKUP(VLOOKUP(A2093,orders!A:C,3,0),employees!A:B,2,0)</f>
        <v>Margaret Peacock</v>
      </c>
    </row>
    <row r="2094" spans="1:11" x14ac:dyDescent="0.25">
      <c r="A2094">
        <v>11062</v>
      </c>
      <c r="B2094">
        <v>70</v>
      </c>
      <c r="C2094">
        <v>15</v>
      </c>
      <c r="D2094">
        <v>12</v>
      </c>
      <c r="E2094">
        <v>0.2</v>
      </c>
      <c r="F2094">
        <f t="shared" si="32"/>
        <v>144</v>
      </c>
      <c r="G2094">
        <f>YEAR(VLOOKUP(A2094,orders!A:D,4,0))</f>
        <v>2015</v>
      </c>
      <c r="H2094">
        <f>MONTH(INDEX(orders!D:D,MATCH(A2094, orders!A:A,0)))</f>
        <v>4</v>
      </c>
      <c r="I2094" t="str">
        <f>VLOOKUP(VLOOKUP(B2094,products!A:F,6,0),categories!A:B,2,0)</f>
        <v>Beverages</v>
      </c>
      <c r="J2094" t="str">
        <f>VLOOKUP(VLOOKUP(A2094,orders!A:B,2,0),customers!A:F,6,0)</f>
        <v>Italy</v>
      </c>
      <c r="K2094" t="str">
        <f>VLOOKUP(VLOOKUP(A2094,orders!A:C,3,0),employees!A:B,2,0)</f>
        <v>Margaret Peacock</v>
      </c>
    </row>
    <row r="2095" spans="1:11" x14ac:dyDescent="0.25">
      <c r="A2095">
        <v>11063</v>
      </c>
      <c r="B2095">
        <v>34</v>
      </c>
      <c r="C2095">
        <v>14</v>
      </c>
      <c r="D2095">
        <v>30</v>
      </c>
      <c r="E2095">
        <v>0</v>
      </c>
      <c r="F2095">
        <f t="shared" si="32"/>
        <v>420</v>
      </c>
      <c r="G2095">
        <f>YEAR(VLOOKUP(A2095,orders!A:D,4,0))</f>
        <v>2015</v>
      </c>
      <c r="H2095">
        <f>MONTH(INDEX(orders!D:D,MATCH(A2095, orders!A:A,0)))</f>
        <v>4</v>
      </c>
      <c r="I2095" t="str">
        <f>VLOOKUP(VLOOKUP(B2095,products!A:F,6,0),categories!A:B,2,0)</f>
        <v>Beverages</v>
      </c>
      <c r="J2095" t="str">
        <f>VLOOKUP(VLOOKUP(A2095,orders!A:B,2,0),customers!A:F,6,0)</f>
        <v>Ireland</v>
      </c>
      <c r="K2095" t="str">
        <f>VLOOKUP(VLOOKUP(A2095,orders!A:C,3,0),employees!A:B,2,0)</f>
        <v>Janet Leverling</v>
      </c>
    </row>
    <row r="2096" spans="1:11" x14ac:dyDescent="0.25">
      <c r="A2096">
        <v>11063</v>
      </c>
      <c r="B2096">
        <v>40</v>
      </c>
      <c r="C2096">
        <v>18.399999999999999</v>
      </c>
      <c r="D2096">
        <v>40</v>
      </c>
      <c r="E2096">
        <v>0.1</v>
      </c>
      <c r="F2096">
        <f t="shared" si="32"/>
        <v>662.4</v>
      </c>
      <c r="G2096">
        <f>YEAR(VLOOKUP(A2096,orders!A:D,4,0))</f>
        <v>2015</v>
      </c>
      <c r="H2096">
        <f>MONTH(INDEX(orders!D:D,MATCH(A2096, orders!A:A,0)))</f>
        <v>4</v>
      </c>
      <c r="I2096" t="str">
        <f>VLOOKUP(VLOOKUP(B2096,products!A:F,6,0),categories!A:B,2,0)</f>
        <v>Seafood</v>
      </c>
      <c r="J2096" t="str">
        <f>VLOOKUP(VLOOKUP(A2096,orders!A:B,2,0),customers!A:F,6,0)</f>
        <v>Ireland</v>
      </c>
      <c r="K2096" t="str">
        <f>VLOOKUP(VLOOKUP(A2096,orders!A:C,3,0),employees!A:B,2,0)</f>
        <v>Janet Leverling</v>
      </c>
    </row>
    <row r="2097" spans="1:11" x14ac:dyDescent="0.25">
      <c r="A2097">
        <v>11063</v>
      </c>
      <c r="B2097">
        <v>41</v>
      </c>
      <c r="C2097">
        <v>9.65</v>
      </c>
      <c r="D2097">
        <v>30</v>
      </c>
      <c r="E2097">
        <v>0.1</v>
      </c>
      <c r="F2097">
        <f t="shared" si="32"/>
        <v>260.55</v>
      </c>
      <c r="G2097">
        <f>YEAR(VLOOKUP(A2097,orders!A:D,4,0))</f>
        <v>2015</v>
      </c>
      <c r="H2097">
        <f>MONTH(INDEX(orders!D:D,MATCH(A2097, orders!A:A,0)))</f>
        <v>4</v>
      </c>
      <c r="I2097" t="str">
        <f>VLOOKUP(VLOOKUP(B2097,products!A:F,6,0),categories!A:B,2,0)</f>
        <v>Seafood</v>
      </c>
      <c r="J2097" t="str">
        <f>VLOOKUP(VLOOKUP(A2097,orders!A:B,2,0),customers!A:F,6,0)</f>
        <v>Ireland</v>
      </c>
      <c r="K2097" t="str">
        <f>VLOOKUP(VLOOKUP(A2097,orders!A:C,3,0),employees!A:B,2,0)</f>
        <v>Janet Leverling</v>
      </c>
    </row>
    <row r="2098" spans="1:11" x14ac:dyDescent="0.25">
      <c r="A2098">
        <v>11064</v>
      </c>
      <c r="B2098">
        <v>17</v>
      </c>
      <c r="C2098">
        <v>39</v>
      </c>
      <c r="D2098">
        <v>77</v>
      </c>
      <c r="E2098">
        <v>0.1</v>
      </c>
      <c r="F2098">
        <f t="shared" si="32"/>
        <v>2702.7000000000003</v>
      </c>
      <c r="G2098">
        <f>YEAR(VLOOKUP(A2098,orders!A:D,4,0))</f>
        <v>2015</v>
      </c>
      <c r="H2098">
        <f>MONTH(INDEX(orders!D:D,MATCH(A2098, orders!A:A,0)))</f>
        <v>5</v>
      </c>
      <c r="I2098" t="str">
        <f>VLOOKUP(VLOOKUP(B2098,products!A:F,6,0),categories!A:B,2,0)</f>
        <v>Meat &amp; Poultry</v>
      </c>
      <c r="J2098" t="str">
        <f>VLOOKUP(VLOOKUP(A2098,orders!A:B,2,0),customers!A:F,6,0)</f>
        <v>USA</v>
      </c>
      <c r="K2098" t="str">
        <f>VLOOKUP(VLOOKUP(A2098,orders!A:C,3,0),employees!A:B,2,0)</f>
        <v>Nancy Davolio</v>
      </c>
    </row>
    <row r="2099" spans="1:11" x14ac:dyDescent="0.25">
      <c r="A2099">
        <v>11064</v>
      </c>
      <c r="B2099">
        <v>41</v>
      </c>
      <c r="C2099">
        <v>9.65</v>
      </c>
      <c r="D2099">
        <v>12</v>
      </c>
      <c r="E2099">
        <v>0</v>
      </c>
      <c r="F2099">
        <f t="shared" si="32"/>
        <v>115.80000000000001</v>
      </c>
      <c r="G2099">
        <f>YEAR(VLOOKUP(A2099,orders!A:D,4,0))</f>
        <v>2015</v>
      </c>
      <c r="H2099">
        <f>MONTH(INDEX(orders!D:D,MATCH(A2099, orders!A:A,0)))</f>
        <v>5</v>
      </c>
      <c r="I2099" t="str">
        <f>VLOOKUP(VLOOKUP(B2099,products!A:F,6,0),categories!A:B,2,0)</f>
        <v>Seafood</v>
      </c>
      <c r="J2099" t="str">
        <f>VLOOKUP(VLOOKUP(A2099,orders!A:B,2,0),customers!A:F,6,0)</f>
        <v>USA</v>
      </c>
      <c r="K2099" t="str">
        <f>VLOOKUP(VLOOKUP(A2099,orders!A:C,3,0),employees!A:B,2,0)</f>
        <v>Nancy Davolio</v>
      </c>
    </row>
    <row r="2100" spans="1:11" x14ac:dyDescent="0.25">
      <c r="A2100">
        <v>11064</v>
      </c>
      <c r="B2100">
        <v>53</v>
      </c>
      <c r="C2100">
        <v>32.799999999999997</v>
      </c>
      <c r="D2100">
        <v>25</v>
      </c>
      <c r="E2100">
        <v>0.1</v>
      </c>
      <c r="F2100">
        <f t="shared" si="32"/>
        <v>737.99999999999989</v>
      </c>
      <c r="G2100">
        <f>YEAR(VLOOKUP(A2100,orders!A:D,4,0))</f>
        <v>2015</v>
      </c>
      <c r="H2100">
        <f>MONTH(INDEX(orders!D:D,MATCH(A2100, orders!A:A,0)))</f>
        <v>5</v>
      </c>
      <c r="I2100" t="str">
        <f>VLOOKUP(VLOOKUP(B2100,products!A:F,6,0),categories!A:B,2,0)</f>
        <v>Meat &amp; Poultry</v>
      </c>
      <c r="J2100" t="str">
        <f>VLOOKUP(VLOOKUP(A2100,orders!A:B,2,0),customers!A:F,6,0)</f>
        <v>USA</v>
      </c>
      <c r="K2100" t="str">
        <f>VLOOKUP(VLOOKUP(A2100,orders!A:C,3,0),employees!A:B,2,0)</f>
        <v>Nancy Davolio</v>
      </c>
    </row>
    <row r="2101" spans="1:11" x14ac:dyDescent="0.25">
      <c r="A2101">
        <v>11064</v>
      </c>
      <c r="B2101">
        <v>55</v>
      </c>
      <c r="C2101">
        <v>24</v>
      </c>
      <c r="D2101">
        <v>4</v>
      </c>
      <c r="E2101">
        <v>0.1</v>
      </c>
      <c r="F2101">
        <f t="shared" si="32"/>
        <v>86.4</v>
      </c>
      <c r="G2101">
        <f>YEAR(VLOOKUP(A2101,orders!A:D,4,0))</f>
        <v>2015</v>
      </c>
      <c r="H2101">
        <f>MONTH(INDEX(orders!D:D,MATCH(A2101, orders!A:A,0)))</f>
        <v>5</v>
      </c>
      <c r="I2101" t="str">
        <f>VLOOKUP(VLOOKUP(B2101,products!A:F,6,0),categories!A:B,2,0)</f>
        <v>Meat &amp; Poultry</v>
      </c>
      <c r="J2101" t="str">
        <f>VLOOKUP(VLOOKUP(A2101,orders!A:B,2,0),customers!A:F,6,0)</f>
        <v>USA</v>
      </c>
      <c r="K2101" t="str">
        <f>VLOOKUP(VLOOKUP(A2101,orders!A:C,3,0),employees!A:B,2,0)</f>
        <v>Nancy Davolio</v>
      </c>
    </row>
    <row r="2102" spans="1:11" x14ac:dyDescent="0.25">
      <c r="A2102">
        <v>11064</v>
      </c>
      <c r="B2102">
        <v>68</v>
      </c>
      <c r="C2102">
        <v>12.5</v>
      </c>
      <c r="D2102">
        <v>55</v>
      </c>
      <c r="E2102">
        <v>0</v>
      </c>
      <c r="F2102">
        <f t="shared" si="32"/>
        <v>687.5</v>
      </c>
      <c r="G2102">
        <f>YEAR(VLOOKUP(A2102,orders!A:D,4,0))</f>
        <v>2015</v>
      </c>
      <c r="H2102">
        <f>MONTH(INDEX(orders!D:D,MATCH(A2102, orders!A:A,0)))</f>
        <v>5</v>
      </c>
      <c r="I2102" t="str">
        <f>VLOOKUP(VLOOKUP(B2102,products!A:F,6,0),categories!A:B,2,0)</f>
        <v>Confections</v>
      </c>
      <c r="J2102" t="str">
        <f>VLOOKUP(VLOOKUP(A2102,orders!A:B,2,0),customers!A:F,6,0)</f>
        <v>USA</v>
      </c>
      <c r="K2102" t="str">
        <f>VLOOKUP(VLOOKUP(A2102,orders!A:C,3,0),employees!A:B,2,0)</f>
        <v>Nancy Davolio</v>
      </c>
    </row>
    <row r="2103" spans="1:11" x14ac:dyDescent="0.25">
      <c r="A2103">
        <v>11065</v>
      </c>
      <c r="B2103">
        <v>30</v>
      </c>
      <c r="C2103">
        <v>25.89</v>
      </c>
      <c r="D2103">
        <v>4</v>
      </c>
      <c r="E2103">
        <v>0.25</v>
      </c>
      <c r="F2103">
        <f t="shared" si="32"/>
        <v>77.67</v>
      </c>
      <c r="G2103">
        <f>YEAR(VLOOKUP(A2103,orders!A:D,4,0))</f>
        <v>2015</v>
      </c>
      <c r="H2103">
        <f>MONTH(INDEX(orders!D:D,MATCH(A2103, orders!A:A,0)))</f>
        <v>5</v>
      </c>
      <c r="I2103" t="str">
        <f>VLOOKUP(VLOOKUP(B2103,products!A:F,6,0),categories!A:B,2,0)</f>
        <v>Seafood</v>
      </c>
      <c r="J2103" t="str">
        <f>VLOOKUP(VLOOKUP(A2103,orders!A:B,2,0),customers!A:F,6,0)</f>
        <v>Venezuela</v>
      </c>
      <c r="K2103" t="str">
        <f>VLOOKUP(VLOOKUP(A2103,orders!A:C,3,0),employees!A:B,2,0)</f>
        <v>Laura Callahan</v>
      </c>
    </row>
    <row r="2104" spans="1:11" x14ac:dyDescent="0.25">
      <c r="A2104">
        <v>11065</v>
      </c>
      <c r="B2104">
        <v>54</v>
      </c>
      <c r="C2104">
        <v>7.45</v>
      </c>
      <c r="D2104">
        <v>20</v>
      </c>
      <c r="E2104">
        <v>0.25</v>
      </c>
      <c r="F2104">
        <f t="shared" si="32"/>
        <v>111.75</v>
      </c>
      <c r="G2104">
        <f>YEAR(VLOOKUP(A2104,orders!A:D,4,0))</f>
        <v>2015</v>
      </c>
      <c r="H2104">
        <f>MONTH(INDEX(orders!D:D,MATCH(A2104, orders!A:A,0)))</f>
        <v>5</v>
      </c>
      <c r="I2104" t="str">
        <f>VLOOKUP(VLOOKUP(B2104,products!A:F,6,0),categories!A:B,2,0)</f>
        <v>Meat &amp; Poultry</v>
      </c>
      <c r="J2104" t="str">
        <f>VLOOKUP(VLOOKUP(A2104,orders!A:B,2,0),customers!A:F,6,0)</f>
        <v>Venezuela</v>
      </c>
      <c r="K2104" t="str">
        <f>VLOOKUP(VLOOKUP(A2104,orders!A:C,3,0),employees!A:B,2,0)</f>
        <v>Laura Callahan</v>
      </c>
    </row>
    <row r="2105" spans="1:11" x14ac:dyDescent="0.25">
      <c r="A2105">
        <v>11066</v>
      </c>
      <c r="B2105">
        <v>16</v>
      </c>
      <c r="C2105">
        <v>17.45</v>
      </c>
      <c r="D2105">
        <v>3</v>
      </c>
      <c r="E2105">
        <v>0</v>
      </c>
      <c r="F2105">
        <f t="shared" si="32"/>
        <v>52.349999999999994</v>
      </c>
      <c r="G2105">
        <f>YEAR(VLOOKUP(A2105,orders!A:D,4,0))</f>
        <v>2015</v>
      </c>
      <c r="H2105">
        <f>MONTH(INDEX(orders!D:D,MATCH(A2105, orders!A:A,0)))</f>
        <v>5</v>
      </c>
      <c r="I2105" t="str">
        <f>VLOOKUP(VLOOKUP(B2105,products!A:F,6,0),categories!A:B,2,0)</f>
        <v>Confections</v>
      </c>
      <c r="J2105" t="str">
        <f>VLOOKUP(VLOOKUP(A2105,orders!A:B,2,0),customers!A:F,6,0)</f>
        <v>USA</v>
      </c>
      <c r="K2105" t="str">
        <f>VLOOKUP(VLOOKUP(A2105,orders!A:C,3,0),employees!A:B,2,0)</f>
        <v>Robert King</v>
      </c>
    </row>
    <row r="2106" spans="1:11" x14ac:dyDescent="0.25">
      <c r="A2106">
        <v>11066</v>
      </c>
      <c r="B2106">
        <v>19</v>
      </c>
      <c r="C2106">
        <v>9.1999999999999993</v>
      </c>
      <c r="D2106">
        <v>42</v>
      </c>
      <c r="E2106">
        <v>0</v>
      </c>
      <c r="F2106">
        <f t="shared" si="32"/>
        <v>386.4</v>
      </c>
      <c r="G2106">
        <f>YEAR(VLOOKUP(A2106,orders!A:D,4,0))</f>
        <v>2015</v>
      </c>
      <c r="H2106">
        <f>MONTH(INDEX(orders!D:D,MATCH(A2106, orders!A:A,0)))</f>
        <v>5</v>
      </c>
      <c r="I2106" t="str">
        <f>VLOOKUP(VLOOKUP(B2106,products!A:F,6,0),categories!A:B,2,0)</f>
        <v>Confections</v>
      </c>
      <c r="J2106" t="str">
        <f>VLOOKUP(VLOOKUP(A2106,orders!A:B,2,0),customers!A:F,6,0)</f>
        <v>USA</v>
      </c>
      <c r="K2106" t="str">
        <f>VLOOKUP(VLOOKUP(A2106,orders!A:C,3,0),employees!A:B,2,0)</f>
        <v>Robert King</v>
      </c>
    </row>
    <row r="2107" spans="1:11" x14ac:dyDescent="0.25">
      <c r="A2107">
        <v>11066</v>
      </c>
      <c r="B2107">
        <v>34</v>
      </c>
      <c r="C2107">
        <v>14</v>
      </c>
      <c r="D2107">
        <v>35</v>
      </c>
      <c r="E2107">
        <v>0</v>
      </c>
      <c r="F2107">
        <f t="shared" si="32"/>
        <v>490</v>
      </c>
      <c r="G2107">
        <f>YEAR(VLOOKUP(A2107,orders!A:D,4,0))</f>
        <v>2015</v>
      </c>
      <c r="H2107">
        <f>MONTH(INDEX(orders!D:D,MATCH(A2107, orders!A:A,0)))</f>
        <v>5</v>
      </c>
      <c r="I2107" t="str">
        <f>VLOOKUP(VLOOKUP(B2107,products!A:F,6,0),categories!A:B,2,0)</f>
        <v>Beverages</v>
      </c>
      <c r="J2107" t="str">
        <f>VLOOKUP(VLOOKUP(A2107,orders!A:B,2,0),customers!A:F,6,0)</f>
        <v>USA</v>
      </c>
      <c r="K2107" t="str">
        <f>VLOOKUP(VLOOKUP(A2107,orders!A:C,3,0),employees!A:B,2,0)</f>
        <v>Robert King</v>
      </c>
    </row>
    <row r="2108" spans="1:11" x14ac:dyDescent="0.25">
      <c r="A2108">
        <v>11067</v>
      </c>
      <c r="B2108">
        <v>41</v>
      </c>
      <c r="C2108">
        <v>9.65</v>
      </c>
      <c r="D2108">
        <v>9</v>
      </c>
      <c r="E2108">
        <v>0</v>
      </c>
      <c r="F2108">
        <f t="shared" si="32"/>
        <v>86.850000000000009</v>
      </c>
      <c r="G2108">
        <f>YEAR(VLOOKUP(A2108,orders!A:D,4,0))</f>
        <v>2015</v>
      </c>
      <c r="H2108">
        <f>MONTH(INDEX(orders!D:D,MATCH(A2108, orders!A:A,0)))</f>
        <v>5</v>
      </c>
      <c r="I2108" t="str">
        <f>VLOOKUP(VLOOKUP(B2108,products!A:F,6,0),categories!A:B,2,0)</f>
        <v>Seafood</v>
      </c>
      <c r="J2108" t="str">
        <f>VLOOKUP(VLOOKUP(A2108,orders!A:B,2,0),customers!A:F,6,0)</f>
        <v>Germany</v>
      </c>
      <c r="K2108" t="str">
        <f>VLOOKUP(VLOOKUP(A2108,orders!A:C,3,0),employees!A:B,2,0)</f>
        <v>Nancy Davolio</v>
      </c>
    </row>
    <row r="2109" spans="1:11" x14ac:dyDescent="0.25">
      <c r="A2109">
        <v>11068</v>
      </c>
      <c r="B2109">
        <v>28</v>
      </c>
      <c r="C2109">
        <v>45.6</v>
      </c>
      <c r="D2109">
        <v>8</v>
      </c>
      <c r="E2109">
        <v>0.15</v>
      </c>
      <c r="F2109">
        <f t="shared" si="32"/>
        <v>310.08</v>
      </c>
      <c r="G2109">
        <f>YEAR(VLOOKUP(A2109,orders!A:D,4,0))</f>
        <v>2015</v>
      </c>
      <c r="H2109">
        <f>MONTH(INDEX(orders!D:D,MATCH(A2109, orders!A:A,0)))</f>
        <v>5</v>
      </c>
      <c r="I2109" t="str">
        <f>VLOOKUP(VLOOKUP(B2109,products!A:F,6,0),categories!A:B,2,0)</f>
        <v>Produce</v>
      </c>
      <c r="J2109" t="str">
        <f>VLOOKUP(VLOOKUP(A2109,orders!A:B,2,0),customers!A:F,6,0)</f>
        <v>Brazil</v>
      </c>
      <c r="K2109" t="str">
        <f>VLOOKUP(VLOOKUP(A2109,orders!A:C,3,0),employees!A:B,2,0)</f>
        <v>Laura Callahan</v>
      </c>
    </row>
    <row r="2110" spans="1:11" x14ac:dyDescent="0.25">
      <c r="A2110">
        <v>11068</v>
      </c>
      <c r="B2110">
        <v>43</v>
      </c>
      <c r="C2110">
        <v>46</v>
      </c>
      <c r="D2110">
        <v>36</v>
      </c>
      <c r="E2110">
        <v>0.15</v>
      </c>
      <c r="F2110">
        <f t="shared" si="32"/>
        <v>1407.6</v>
      </c>
      <c r="G2110">
        <f>YEAR(VLOOKUP(A2110,orders!A:D,4,0))</f>
        <v>2015</v>
      </c>
      <c r="H2110">
        <f>MONTH(INDEX(orders!D:D,MATCH(A2110, orders!A:A,0)))</f>
        <v>5</v>
      </c>
      <c r="I2110" t="str">
        <f>VLOOKUP(VLOOKUP(B2110,products!A:F,6,0),categories!A:B,2,0)</f>
        <v>Beverages</v>
      </c>
      <c r="J2110" t="str">
        <f>VLOOKUP(VLOOKUP(A2110,orders!A:B,2,0),customers!A:F,6,0)</f>
        <v>Brazil</v>
      </c>
      <c r="K2110" t="str">
        <f>VLOOKUP(VLOOKUP(A2110,orders!A:C,3,0),employees!A:B,2,0)</f>
        <v>Laura Callahan</v>
      </c>
    </row>
    <row r="2111" spans="1:11" x14ac:dyDescent="0.25">
      <c r="A2111">
        <v>11068</v>
      </c>
      <c r="B2111">
        <v>77</v>
      </c>
      <c r="C2111">
        <v>13</v>
      </c>
      <c r="D2111">
        <v>28</v>
      </c>
      <c r="E2111">
        <v>0.15</v>
      </c>
      <c r="F2111">
        <f t="shared" si="32"/>
        <v>309.39999999999998</v>
      </c>
      <c r="G2111">
        <f>YEAR(VLOOKUP(A2111,orders!A:D,4,0))</f>
        <v>2015</v>
      </c>
      <c r="H2111">
        <f>MONTH(INDEX(orders!D:D,MATCH(A2111, orders!A:A,0)))</f>
        <v>5</v>
      </c>
      <c r="I2111" t="str">
        <f>VLOOKUP(VLOOKUP(B2111,products!A:F,6,0),categories!A:B,2,0)</f>
        <v>Condiments</v>
      </c>
      <c r="J2111" t="str">
        <f>VLOOKUP(VLOOKUP(A2111,orders!A:B,2,0),customers!A:F,6,0)</f>
        <v>Brazil</v>
      </c>
      <c r="K2111" t="str">
        <f>VLOOKUP(VLOOKUP(A2111,orders!A:C,3,0),employees!A:B,2,0)</f>
        <v>Laura Callahan</v>
      </c>
    </row>
    <row r="2112" spans="1:11" x14ac:dyDescent="0.25">
      <c r="A2112">
        <v>11069</v>
      </c>
      <c r="B2112">
        <v>39</v>
      </c>
      <c r="C2112">
        <v>18</v>
      </c>
      <c r="D2112">
        <v>20</v>
      </c>
      <c r="E2112">
        <v>0</v>
      </c>
      <c r="F2112">
        <f t="shared" si="32"/>
        <v>360</v>
      </c>
      <c r="G2112">
        <f>YEAR(VLOOKUP(A2112,orders!A:D,4,0))</f>
        <v>2015</v>
      </c>
      <c r="H2112">
        <f>MONTH(INDEX(orders!D:D,MATCH(A2112, orders!A:A,0)))</f>
        <v>5</v>
      </c>
      <c r="I2112" t="str">
        <f>VLOOKUP(VLOOKUP(B2112,products!A:F,6,0),categories!A:B,2,0)</f>
        <v>Beverages</v>
      </c>
      <c r="J2112" t="str">
        <f>VLOOKUP(VLOOKUP(A2112,orders!A:B,2,0),customers!A:F,6,0)</f>
        <v>Mexico</v>
      </c>
      <c r="K2112" t="str">
        <f>VLOOKUP(VLOOKUP(A2112,orders!A:C,3,0),employees!A:B,2,0)</f>
        <v>Nancy Davolio</v>
      </c>
    </row>
    <row r="2113" spans="1:11" x14ac:dyDescent="0.25">
      <c r="A2113">
        <v>11070</v>
      </c>
      <c r="B2113">
        <v>1</v>
      </c>
      <c r="C2113">
        <v>18</v>
      </c>
      <c r="D2113">
        <v>40</v>
      </c>
      <c r="E2113">
        <v>0.15</v>
      </c>
      <c r="F2113">
        <f t="shared" si="32"/>
        <v>612</v>
      </c>
      <c r="G2113">
        <f>YEAR(VLOOKUP(A2113,orders!A:D,4,0))</f>
        <v>2015</v>
      </c>
      <c r="H2113">
        <f>MONTH(INDEX(orders!D:D,MATCH(A2113, orders!A:A,0)))</f>
        <v>5</v>
      </c>
      <c r="I2113" t="str">
        <f>VLOOKUP(VLOOKUP(B2113,products!A:F,6,0),categories!A:B,2,0)</f>
        <v>Beverages</v>
      </c>
      <c r="J2113" t="str">
        <f>VLOOKUP(VLOOKUP(A2113,orders!A:B,2,0),customers!A:F,6,0)</f>
        <v>Germany</v>
      </c>
      <c r="K2113" t="str">
        <f>VLOOKUP(VLOOKUP(A2113,orders!A:C,3,0),employees!A:B,2,0)</f>
        <v>Andrew Fuller</v>
      </c>
    </row>
    <row r="2114" spans="1:11" x14ac:dyDescent="0.25">
      <c r="A2114">
        <v>11070</v>
      </c>
      <c r="B2114">
        <v>2</v>
      </c>
      <c r="C2114">
        <v>19</v>
      </c>
      <c r="D2114">
        <v>20</v>
      </c>
      <c r="E2114">
        <v>0.15</v>
      </c>
      <c r="F2114">
        <f t="shared" si="32"/>
        <v>323</v>
      </c>
      <c r="G2114">
        <f>YEAR(VLOOKUP(A2114,orders!A:D,4,0))</f>
        <v>2015</v>
      </c>
      <c r="H2114">
        <f>MONTH(INDEX(orders!D:D,MATCH(A2114, orders!A:A,0)))</f>
        <v>5</v>
      </c>
      <c r="I2114" t="str">
        <f>VLOOKUP(VLOOKUP(B2114,products!A:F,6,0),categories!A:B,2,0)</f>
        <v>Beverages</v>
      </c>
      <c r="J2114" t="str">
        <f>VLOOKUP(VLOOKUP(A2114,orders!A:B,2,0),customers!A:F,6,0)</f>
        <v>Germany</v>
      </c>
      <c r="K2114" t="str">
        <f>VLOOKUP(VLOOKUP(A2114,orders!A:C,3,0),employees!A:B,2,0)</f>
        <v>Andrew Fuller</v>
      </c>
    </row>
    <row r="2115" spans="1:11" x14ac:dyDescent="0.25">
      <c r="A2115">
        <v>11070</v>
      </c>
      <c r="B2115">
        <v>16</v>
      </c>
      <c r="C2115">
        <v>17.45</v>
      </c>
      <c r="D2115">
        <v>30</v>
      </c>
      <c r="E2115">
        <v>0.15</v>
      </c>
      <c r="F2115">
        <f t="shared" ref="F2115:F2156" si="33">C2115*D2115*(1-E2115)</f>
        <v>444.97499999999997</v>
      </c>
      <c r="G2115">
        <f>YEAR(VLOOKUP(A2115,orders!A:D,4,0))</f>
        <v>2015</v>
      </c>
      <c r="H2115">
        <f>MONTH(INDEX(orders!D:D,MATCH(A2115, orders!A:A,0)))</f>
        <v>5</v>
      </c>
      <c r="I2115" t="str">
        <f>VLOOKUP(VLOOKUP(B2115,products!A:F,6,0),categories!A:B,2,0)</f>
        <v>Confections</v>
      </c>
      <c r="J2115" t="str">
        <f>VLOOKUP(VLOOKUP(A2115,orders!A:B,2,0),customers!A:F,6,0)</f>
        <v>Germany</v>
      </c>
      <c r="K2115" t="str">
        <f>VLOOKUP(VLOOKUP(A2115,orders!A:C,3,0),employees!A:B,2,0)</f>
        <v>Andrew Fuller</v>
      </c>
    </row>
    <row r="2116" spans="1:11" x14ac:dyDescent="0.25">
      <c r="A2116">
        <v>11070</v>
      </c>
      <c r="B2116">
        <v>31</v>
      </c>
      <c r="C2116">
        <v>12.5</v>
      </c>
      <c r="D2116">
        <v>20</v>
      </c>
      <c r="E2116">
        <v>0</v>
      </c>
      <c r="F2116">
        <f t="shared" si="33"/>
        <v>250</v>
      </c>
      <c r="G2116">
        <f>YEAR(VLOOKUP(A2116,orders!A:D,4,0))</f>
        <v>2015</v>
      </c>
      <c r="H2116">
        <f>MONTH(INDEX(orders!D:D,MATCH(A2116, orders!A:A,0)))</f>
        <v>5</v>
      </c>
      <c r="I2116" t="str">
        <f>VLOOKUP(VLOOKUP(B2116,products!A:F,6,0),categories!A:B,2,0)</f>
        <v>Dairy Products</v>
      </c>
      <c r="J2116" t="str">
        <f>VLOOKUP(VLOOKUP(A2116,orders!A:B,2,0),customers!A:F,6,0)</f>
        <v>Germany</v>
      </c>
      <c r="K2116" t="str">
        <f>VLOOKUP(VLOOKUP(A2116,orders!A:C,3,0),employees!A:B,2,0)</f>
        <v>Andrew Fuller</v>
      </c>
    </row>
    <row r="2117" spans="1:11" x14ac:dyDescent="0.25">
      <c r="A2117">
        <v>11071</v>
      </c>
      <c r="B2117">
        <v>7</v>
      </c>
      <c r="C2117">
        <v>30</v>
      </c>
      <c r="D2117">
        <v>15</v>
      </c>
      <c r="E2117">
        <v>0.05</v>
      </c>
      <c r="F2117">
        <f t="shared" si="33"/>
        <v>427.5</v>
      </c>
      <c r="G2117">
        <f>YEAR(VLOOKUP(A2117,orders!A:D,4,0))</f>
        <v>2015</v>
      </c>
      <c r="H2117">
        <f>MONTH(INDEX(orders!D:D,MATCH(A2117, orders!A:A,0)))</f>
        <v>5</v>
      </c>
      <c r="I2117" t="str">
        <f>VLOOKUP(VLOOKUP(B2117,products!A:F,6,0),categories!A:B,2,0)</f>
        <v>Produce</v>
      </c>
      <c r="J2117" t="str">
        <f>VLOOKUP(VLOOKUP(A2117,orders!A:B,2,0),customers!A:F,6,0)</f>
        <v>Venezuela</v>
      </c>
      <c r="K2117" t="str">
        <f>VLOOKUP(VLOOKUP(A2117,orders!A:C,3,0),employees!A:B,2,0)</f>
        <v>Nancy Davolio</v>
      </c>
    </row>
    <row r="2118" spans="1:11" x14ac:dyDescent="0.25">
      <c r="A2118">
        <v>11071</v>
      </c>
      <c r="B2118">
        <v>13</v>
      </c>
      <c r="C2118">
        <v>6</v>
      </c>
      <c r="D2118">
        <v>10</v>
      </c>
      <c r="E2118">
        <v>0.05</v>
      </c>
      <c r="F2118">
        <f t="shared" si="33"/>
        <v>57</v>
      </c>
      <c r="G2118">
        <f>YEAR(VLOOKUP(A2118,orders!A:D,4,0))</f>
        <v>2015</v>
      </c>
      <c r="H2118">
        <f>MONTH(INDEX(orders!D:D,MATCH(A2118, orders!A:A,0)))</f>
        <v>5</v>
      </c>
      <c r="I2118" t="str">
        <f>VLOOKUP(VLOOKUP(B2118,products!A:F,6,0),categories!A:B,2,0)</f>
        <v>Seafood</v>
      </c>
      <c r="J2118" t="str">
        <f>VLOOKUP(VLOOKUP(A2118,orders!A:B,2,0),customers!A:F,6,0)</f>
        <v>Venezuela</v>
      </c>
      <c r="K2118" t="str">
        <f>VLOOKUP(VLOOKUP(A2118,orders!A:C,3,0),employees!A:B,2,0)</f>
        <v>Nancy Davolio</v>
      </c>
    </row>
    <row r="2119" spans="1:11" x14ac:dyDescent="0.25">
      <c r="A2119">
        <v>11072</v>
      </c>
      <c r="B2119">
        <v>2</v>
      </c>
      <c r="C2119">
        <v>19</v>
      </c>
      <c r="D2119">
        <v>8</v>
      </c>
      <c r="E2119">
        <v>0</v>
      </c>
      <c r="F2119">
        <f t="shared" si="33"/>
        <v>152</v>
      </c>
      <c r="G2119">
        <f>YEAR(VLOOKUP(A2119,orders!A:D,4,0))</f>
        <v>2015</v>
      </c>
      <c r="H2119">
        <f>MONTH(INDEX(orders!D:D,MATCH(A2119, orders!A:A,0)))</f>
        <v>5</v>
      </c>
      <c r="I2119" t="str">
        <f>VLOOKUP(VLOOKUP(B2119,products!A:F,6,0),categories!A:B,2,0)</f>
        <v>Beverages</v>
      </c>
      <c r="J2119" t="str">
        <f>VLOOKUP(VLOOKUP(A2119,orders!A:B,2,0),customers!A:F,6,0)</f>
        <v>Austria</v>
      </c>
      <c r="K2119" t="str">
        <f>VLOOKUP(VLOOKUP(A2119,orders!A:C,3,0),employees!A:B,2,0)</f>
        <v>Margaret Peacock</v>
      </c>
    </row>
    <row r="2120" spans="1:11" x14ac:dyDescent="0.25">
      <c r="A2120">
        <v>11072</v>
      </c>
      <c r="B2120">
        <v>41</v>
      </c>
      <c r="C2120">
        <v>9.65</v>
      </c>
      <c r="D2120">
        <v>40</v>
      </c>
      <c r="E2120">
        <v>0</v>
      </c>
      <c r="F2120">
        <f t="shared" si="33"/>
        <v>386</v>
      </c>
      <c r="G2120">
        <f>YEAR(VLOOKUP(A2120,orders!A:D,4,0))</f>
        <v>2015</v>
      </c>
      <c r="H2120">
        <f>MONTH(INDEX(orders!D:D,MATCH(A2120, orders!A:A,0)))</f>
        <v>5</v>
      </c>
      <c r="I2120" t="str">
        <f>VLOOKUP(VLOOKUP(B2120,products!A:F,6,0),categories!A:B,2,0)</f>
        <v>Seafood</v>
      </c>
      <c r="J2120" t="str">
        <f>VLOOKUP(VLOOKUP(A2120,orders!A:B,2,0),customers!A:F,6,0)</f>
        <v>Austria</v>
      </c>
      <c r="K2120" t="str">
        <f>VLOOKUP(VLOOKUP(A2120,orders!A:C,3,0),employees!A:B,2,0)</f>
        <v>Margaret Peacock</v>
      </c>
    </row>
    <row r="2121" spans="1:11" x14ac:dyDescent="0.25">
      <c r="A2121">
        <v>11072</v>
      </c>
      <c r="B2121">
        <v>50</v>
      </c>
      <c r="C2121">
        <v>16.25</v>
      </c>
      <c r="D2121">
        <v>22</v>
      </c>
      <c r="E2121">
        <v>0</v>
      </c>
      <c r="F2121">
        <f t="shared" si="33"/>
        <v>357.5</v>
      </c>
      <c r="G2121">
        <f>YEAR(VLOOKUP(A2121,orders!A:D,4,0))</f>
        <v>2015</v>
      </c>
      <c r="H2121">
        <f>MONTH(INDEX(orders!D:D,MATCH(A2121, orders!A:A,0)))</f>
        <v>5</v>
      </c>
      <c r="I2121" t="str">
        <f>VLOOKUP(VLOOKUP(B2121,products!A:F,6,0),categories!A:B,2,0)</f>
        <v>Confections</v>
      </c>
      <c r="J2121" t="str">
        <f>VLOOKUP(VLOOKUP(A2121,orders!A:B,2,0),customers!A:F,6,0)</f>
        <v>Austria</v>
      </c>
      <c r="K2121" t="str">
        <f>VLOOKUP(VLOOKUP(A2121,orders!A:C,3,0),employees!A:B,2,0)</f>
        <v>Margaret Peacock</v>
      </c>
    </row>
    <row r="2122" spans="1:11" x14ac:dyDescent="0.25">
      <c r="A2122">
        <v>11072</v>
      </c>
      <c r="B2122">
        <v>64</v>
      </c>
      <c r="C2122">
        <v>33.25</v>
      </c>
      <c r="D2122">
        <v>130</v>
      </c>
      <c r="E2122">
        <v>0</v>
      </c>
      <c r="F2122">
        <f t="shared" si="33"/>
        <v>4322.5</v>
      </c>
      <c r="G2122">
        <f>YEAR(VLOOKUP(A2122,orders!A:D,4,0))</f>
        <v>2015</v>
      </c>
      <c r="H2122">
        <f>MONTH(INDEX(orders!D:D,MATCH(A2122, orders!A:A,0)))</f>
        <v>5</v>
      </c>
      <c r="I2122" t="str">
        <f>VLOOKUP(VLOOKUP(B2122,products!A:F,6,0),categories!A:B,2,0)</f>
        <v>Grains &amp; Cereals</v>
      </c>
      <c r="J2122" t="str">
        <f>VLOOKUP(VLOOKUP(A2122,orders!A:B,2,0),customers!A:F,6,0)</f>
        <v>Austria</v>
      </c>
      <c r="K2122" t="str">
        <f>VLOOKUP(VLOOKUP(A2122,orders!A:C,3,0),employees!A:B,2,0)</f>
        <v>Margaret Peacock</v>
      </c>
    </row>
    <row r="2123" spans="1:11" x14ac:dyDescent="0.25">
      <c r="A2123">
        <v>11073</v>
      </c>
      <c r="B2123">
        <v>11</v>
      </c>
      <c r="C2123">
        <v>21</v>
      </c>
      <c r="D2123">
        <v>10</v>
      </c>
      <c r="E2123">
        <v>0</v>
      </c>
      <c r="F2123">
        <f t="shared" si="33"/>
        <v>210</v>
      </c>
      <c r="G2123">
        <f>YEAR(VLOOKUP(A2123,orders!A:D,4,0))</f>
        <v>2015</v>
      </c>
      <c r="H2123">
        <f>MONTH(INDEX(orders!D:D,MATCH(A2123, orders!A:A,0)))</f>
        <v>5</v>
      </c>
      <c r="I2123" t="str">
        <f>VLOOKUP(VLOOKUP(B2123,products!A:F,6,0),categories!A:B,2,0)</f>
        <v>Dairy Products</v>
      </c>
      <c r="J2123" t="str">
        <f>VLOOKUP(VLOOKUP(A2123,orders!A:B,2,0),customers!A:F,6,0)</f>
        <v>Mexico</v>
      </c>
      <c r="K2123" t="str">
        <f>VLOOKUP(VLOOKUP(A2123,orders!A:C,3,0),employees!A:B,2,0)</f>
        <v>Andrew Fuller</v>
      </c>
    </row>
    <row r="2124" spans="1:11" x14ac:dyDescent="0.25">
      <c r="A2124">
        <v>11073</v>
      </c>
      <c r="B2124">
        <v>24</v>
      </c>
      <c r="C2124">
        <v>4.5</v>
      </c>
      <c r="D2124">
        <v>20</v>
      </c>
      <c r="E2124">
        <v>0</v>
      </c>
      <c r="F2124">
        <f t="shared" si="33"/>
        <v>90</v>
      </c>
      <c r="G2124">
        <f>YEAR(VLOOKUP(A2124,orders!A:D,4,0))</f>
        <v>2015</v>
      </c>
      <c r="H2124">
        <f>MONTH(INDEX(orders!D:D,MATCH(A2124, orders!A:A,0)))</f>
        <v>5</v>
      </c>
      <c r="I2124" t="str">
        <f>VLOOKUP(VLOOKUP(B2124,products!A:F,6,0),categories!A:B,2,0)</f>
        <v>Beverages</v>
      </c>
      <c r="J2124" t="str">
        <f>VLOOKUP(VLOOKUP(A2124,orders!A:B,2,0),customers!A:F,6,0)</f>
        <v>Mexico</v>
      </c>
      <c r="K2124" t="str">
        <f>VLOOKUP(VLOOKUP(A2124,orders!A:C,3,0),employees!A:B,2,0)</f>
        <v>Andrew Fuller</v>
      </c>
    </row>
    <row r="2125" spans="1:11" x14ac:dyDescent="0.25">
      <c r="A2125">
        <v>11074</v>
      </c>
      <c r="B2125">
        <v>16</v>
      </c>
      <c r="C2125">
        <v>17.45</v>
      </c>
      <c r="D2125">
        <v>14</v>
      </c>
      <c r="E2125">
        <v>0.05</v>
      </c>
      <c r="F2125">
        <f t="shared" si="33"/>
        <v>232.08499999999998</v>
      </c>
      <c r="G2125">
        <f>YEAR(VLOOKUP(A2125,orders!A:D,4,0))</f>
        <v>2015</v>
      </c>
      <c r="H2125">
        <f>MONTH(INDEX(orders!D:D,MATCH(A2125, orders!A:A,0)))</f>
        <v>5</v>
      </c>
      <c r="I2125" t="str">
        <f>VLOOKUP(VLOOKUP(B2125,products!A:F,6,0),categories!A:B,2,0)</f>
        <v>Confections</v>
      </c>
      <c r="J2125" t="str">
        <f>VLOOKUP(VLOOKUP(A2125,orders!A:B,2,0),customers!A:F,6,0)</f>
        <v>Denmark</v>
      </c>
      <c r="K2125" t="str">
        <f>VLOOKUP(VLOOKUP(A2125,orders!A:C,3,0),employees!A:B,2,0)</f>
        <v>Robert King</v>
      </c>
    </row>
    <row r="2126" spans="1:11" x14ac:dyDescent="0.25">
      <c r="A2126">
        <v>11075</v>
      </c>
      <c r="B2126">
        <v>2</v>
      </c>
      <c r="C2126">
        <v>19</v>
      </c>
      <c r="D2126">
        <v>10</v>
      </c>
      <c r="E2126">
        <v>0.15</v>
      </c>
      <c r="F2126">
        <f t="shared" si="33"/>
        <v>161.5</v>
      </c>
      <c r="G2126">
        <f>YEAR(VLOOKUP(A2126,orders!A:D,4,0))</f>
        <v>2015</v>
      </c>
      <c r="H2126">
        <f>MONTH(INDEX(orders!D:D,MATCH(A2126, orders!A:A,0)))</f>
        <v>5</v>
      </c>
      <c r="I2126" t="str">
        <f>VLOOKUP(VLOOKUP(B2126,products!A:F,6,0),categories!A:B,2,0)</f>
        <v>Beverages</v>
      </c>
      <c r="J2126" t="str">
        <f>VLOOKUP(VLOOKUP(A2126,orders!A:B,2,0),customers!A:F,6,0)</f>
        <v>Switzerland</v>
      </c>
      <c r="K2126" t="str">
        <f>VLOOKUP(VLOOKUP(A2126,orders!A:C,3,0),employees!A:B,2,0)</f>
        <v>Laura Callahan</v>
      </c>
    </row>
    <row r="2127" spans="1:11" x14ac:dyDescent="0.25">
      <c r="A2127">
        <v>11075</v>
      </c>
      <c r="B2127">
        <v>46</v>
      </c>
      <c r="C2127">
        <v>12</v>
      </c>
      <c r="D2127">
        <v>30</v>
      </c>
      <c r="E2127">
        <v>0.15</v>
      </c>
      <c r="F2127">
        <f t="shared" si="33"/>
        <v>306</v>
      </c>
      <c r="G2127">
        <f>YEAR(VLOOKUP(A2127,orders!A:D,4,0))</f>
        <v>2015</v>
      </c>
      <c r="H2127">
        <f>MONTH(INDEX(orders!D:D,MATCH(A2127, orders!A:A,0)))</f>
        <v>5</v>
      </c>
      <c r="I2127" t="str">
        <f>VLOOKUP(VLOOKUP(B2127,products!A:F,6,0),categories!A:B,2,0)</f>
        <v>Seafood</v>
      </c>
      <c r="J2127" t="str">
        <f>VLOOKUP(VLOOKUP(A2127,orders!A:B,2,0),customers!A:F,6,0)</f>
        <v>Switzerland</v>
      </c>
      <c r="K2127" t="str">
        <f>VLOOKUP(VLOOKUP(A2127,orders!A:C,3,0),employees!A:B,2,0)</f>
        <v>Laura Callahan</v>
      </c>
    </row>
    <row r="2128" spans="1:11" x14ac:dyDescent="0.25">
      <c r="A2128">
        <v>11075</v>
      </c>
      <c r="B2128">
        <v>76</v>
      </c>
      <c r="C2128">
        <v>18</v>
      </c>
      <c r="D2128">
        <v>2</v>
      </c>
      <c r="E2128">
        <v>0.15</v>
      </c>
      <c r="F2128">
        <f t="shared" si="33"/>
        <v>30.599999999999998</v>
      </c>
      <c r="G2128">
        <f>YEAR(VLOOKUP(A2128,orders!A:D,4,0))</f>
        <v>2015</v>
      </c>
      <c r="H2128">
        <f>MONTH(INDEX(orders!D:D,MATCH(A2128, orders!A:A,0)))</f>
        <v>5</v>
      </c>
      <c r="I2128" t="str">
        <f>VLOOKUP(VLOOKUP(B2128,products!A:F,6,0),categories!A:B,2,0)</f>
        <v>Beverages</v>
      </c>
      <c r="J2128" t="str">
        <f>VLOOKUP(VLOOKUP(A2128,orders!A:B,2,0),customers!A:F,6,0)</f>
        <v>Switzerland</v>
      </c>
      <c r="K2128" t="str">
        <f>VLOOKUP(VLOOKUP(A2128,orders!A:C,3,0),employees!A:B,2,0)</f>
        <v>Laura Callahan</v>
      </c>
    </row>
    <row r="2129" spans="1:11" x14ac:dyDescent="0.25">
      <c r="A2129">
        <v>11076</v>
      </c>
      <c r="B2129">
        <v>6</v>
      </c>
      <c r="C2129">
        <v>25</v>
      </c>
      <c r="D2129">
        <v>20</v>
      </c>
      <c r="E2129">
        <v>0.25</v>
      </c>
      <c r="F2129">
        <f t="shared" si="33"/>
        <v>375</v>
      </c>
      <c r="G2129">
        <f>YEAR(VLOOKUP(A2129,orders!A:D,4,0))</f>
        <v>2015</v>
      </c>
      <c r="H2129">
        <f>MONTH(INDEX(orders!D:D,MATCH(A2129, orders!A:A,0)))</f>
        <v>5</v>
      </c>
      <c r="I2129" t="str">
        <f>VLOOKUP(VLOOKUP(B2129,products!A:F,6,0),categories!A:B,2,0)</f>
        <v>Condiments</v>
      </c>
      <c r="J2129" t="str">
        <f>VLOOKUP(VLOOKUP(A2129,orders!A:B,2,0),customers!A:F,6,0)</f>
        <v>France</v>
      </c>
      <c r="K2129" t="str">
        <f>VLOOKUP(VLOOKUP(A2129,orders!A:C,3,0),employees!A:B,2,0)</f>
        <v>Margaret Peacock</v>
      </c>
    </row>
    <row r="2130" spans="1:11" x14ac:dyDescent="0.25">
      <c r="A2130">
        <v>11076</v>
      </c>
      <c r="B2130">
        <v>14</v>
      </c>
      <c r="C2130">
        <v>23.25</v>
      </c>
      <c r="D2130">
        <v>20</v>
      </c>
      <c r="E2130">
        <v>0.25</v>
      </c>
      <c r="F2130">
        <f t="shared" si="33"/>
        <v>348.75</v>
      </c>
      <c r="G2130">
        <f>YEAR(VLOOKUP(A2130,orders!A:D,4,0))</f>
        <v>2015</v>
      </c>
      <c r="H2130">
        <f>MONTH(INDEX(orders!D:D,MATCH(A2130, orders!A:A,0)))</f>
        <v>5</v>
      </c>
      <c r="I2130" t="str">
        <f>VLOOKUP(VLOOKUP(B2130,products!A:F,6,0),categories!A:B,2,0)</f>
        <v>Produce</v>
      </c>
      <c r="J2130" t="str">
        <f>VLOOKUP(VLOOKUP(A2130,orders!A:B,2,0),customers!A:F,6,0)</f>
        <v>France</v>
      </c>
      <c r="K2130" t="str">
        <f>VLOOKUP(VLOOKUP(A2130,orders!A:C,3,0),employees!A:B,2,0)</f>
        <v>Margaret Peacock</v>
      </c>
    </row>
    <row r="2131" spans="1:11" x14ac:dyDescent="0.25">
      <c r="A2131">
        <v>11076</v>
      </c>
      <c r="B2131">
        <v>19</v>
      </c>
      <c r="C2131">
        <v>9.1999999999999993</v>
      </c>
      <c r="D2131">
        <v>10</v>
      </c>
      <c r="E2131">
        <v>0.25</v>
      </c>
      <c r="F2131">
        <f t="shared" si="33"/>
        <v>69</v>
      </c>
      <c r="G2131">
        <f>YEAR(VLOOKUP(A2131,orders!A:D,4,0))</f>
        <v>2015</v>
      </c>
      <c r="H2131">
        <f>MONTH(INDEX(orders!D:D,MATCH(A2131, orders!A:A,0)))</f>
        <v>5</v>
      </c>
      <c r="I2131" t="str">
        <f>VLOOKUP(VLOOKUP(B2131,products!A:F,6,0),categories!A:B,2,0)</f>
        <v>Confections</v>
      </c>
      <c r="J2131" t="str">
        <f>VLOOKUP(VLOOKUP(A2131,orders!A:B,2,0),customers!A:F,6,0)</f>
        <v>France</v>
      </c>
      <c r="K2131" t="str">
        <f>VLOOKUP(VLOOKUP(A2131,orders!A:C,3,0),employees!A:B,2,0)</f>
        <v>Margaret Peacock</v>
      </c>
    </row>
    <row r="2132" spans="1:11" x14ac:dyDescent="0.25">
      <c r="A2132">
        <v>11077</v>
      </c>
      <c r="B2132">
        <v>2</v>
      </c>
      <c r="C2132">
        <v>19</v>
      </c>
      <c r="D2132">
        <v>24</v>
      </c>
      <c r="E2132">
        <v>0.2</v>
      </c>
      <c r="F2132">
        <f t="shared" si="33"/>
        <v>364.8</v>
      </c>
      <c r="G2132">
        <f>YEAR(VLOOKUP(A2132,orders!A:D,4,0))</f>
        <v>2015</v>
      </c>
      <c r="H2132">
        <f>MONTH(INDEX(orders!D:D,MATCH(A2132, orders!A:A,0)))</f>
        <v>5</v>
      </c>
      <c r="I2132" t="str">
        <f>VLOOKUP(VLOOKUP(B2132,products!A:F,6,0),categories!A:B,2,0)</f>
        <v>Beverages</v>
      </c>
      <c r="J2132" t="str">
        <f>VLOOKUP(VLOOKUP(A2132,orders!A:B,2,0),customers!A:F,6,0)</f>
        <v>USA</v>
      </c>
      <c r="K2132" t="str">
        <f>VLOOKUP(VLOOKUP(A2132,orders!A:C,3,0),employees!A:B,2,0)</f>
        <v>Nancy Davolio</v>
      </c>
    </row>
    <row r="2133" spans="1:11" x14ac:dyDescent="0.25">
      <c r="A2133">
        <v>11077</v>
      </c>
      <c r="B2133">
        <v>3</v>
      </c>
      <c r="C2133">
        <v>10</v>
      </c>
      <c r="D2133">
        <v>4</v>
      </c>
      <c r="E2133">
        <v>0</v>
      </c>
      <c r="F2133">
        <f t="shared" si="33"/>
        <v>40</v>
      </c>
      <c r="G2133">
        <f>YEAR(VLOOKUP(A2133,orders!A:D,4,0))</f>
        <v>2015</v>
      </c>
      <c r="H2133">
        <f>MONTH(INDEX(orders!D:D,MATCH(A2133, orders!A:A,0)))</f>
        <v>5</v>
      </c>
      <c r="I2133" t="str">
        <f>VLOOKUP(VLOOKUP(B2133,products!A:F,6,0),categories!A:B,2,0)</f>
        <v>Condiments</v>
      </c>
      <c r="J2133" t="str">
        <f>VLOOKUP(VLOOKUP(A2133,orders!A:B,2,0),customers!A:F,6,0)</f>
        <v>USA</v>
      </c>
      <c r="K2133" t="str">
        <f>VLOOKUP(VLOOKUP(A2133,orders!A:C,3,0),employees!A:B,2,0)</f>
        <v>Nancy Davolio</v>
      </c>
    </row>
    <row r="2134" spans="1:11" x14ac:dyDescent="0.25">
      <c r="A2134">
        <v>11077</v>
      </c>
      <c r="B2134">
        <v>4</v>
      </c>
      <c r="C2134">
        <v>22</v>
      </c>
      <c r="D2134">
        <v>1</v>
      </c>
      <c r="E2134">
        <v>0</v>
      </c>
      <c r="F2134">
        <f t="shared" si="33"/>
        <v>22</v>
      </c>
      <c r="G2134">
        <f>YEAR(VLOOKUP(A2134,orders!A:D,4,0))</f>
        <v>2015</v>
      </c>
      <c r="H2134">
        <f>MONTH(INDEX(orders!D:D,MATCH(A2134, orders!A:A,0)))</f>
        <v>5</v>
      </c>
      <c r="I2134" t="str">
        <f>VLOOKUP(VLOOKUP(B2134,products!A:F,6,0),categories!A:B,2,0)</f>
        <v>Condiments</v>
      </c>
      <c r="J2134" t="str">
        <f>VLOOKUP(VLOOKUP(A2134,orders!A:B,2,0),customers!A:F,6,0)</f>
        <v>USA</v>
      </c>
      <c r="K2134" t="str">
        <f>VLOOKUP(VLOOKUP(A2134,orders!A:C,3,0),employees!A:B,2,0)</f>
        <v>Nancy Davolio</v>
      </c>
    </row>
    <row r="2135" spans="1:11" x14ac:dyDescent="0.25">
      <c r="A2135">
        <v>11077</v>
      </c>
      <c r="B2135">
        <v>6</v>
      </c>
      <c r="C2135">
        <v>25</v>
      </c>
      <c r="D2135">
        <v>1</v>
      </c>
      <c r="E2135">
        <v>0.02</v>
      </c>
      <c r="F2135">
        <f t="shared" si="33"/>
        <v>24.5</v>
      </c>
      <c r="G2135">
        <f>YEAR(VLOOKUP(A2135,orders!A:D,4,0))</f>
        <v>2015</v>
      </c>
      <c r="H2135">
        <f>MONTH(INDEX(orders!D:D,MATCH(A2135, orders!A:A,0)))</f>
        <v>5</v>
      </c>
      <c r="I2135" t="str">
        <f>VLOOKUP(VLOOKUP(B2135,products!A:F,6,0),categories!A:B,2,0)</f>
        <v>Condiments</v>
      </c>
      <c r="J2135" t="str">
        <f>VLOOKUP(VLOOKUP(A2135,orders!A:B,2,0),customers!A:F,6,0)</f>
        <v>USA</v>
      </c>
      <c r="K2135" t="str">
        <f>VLOOKUP(VLOOKUP(A2135,orders!A:C,3,0),employees!A:B,2,0)</f>
        <v>Nancy Davolio</v>
      </c>
    </row>
    <row r="2136" spans="1:11" x14ac:dyDescent="0.25">
      <c r="A2136">
        <v>11077</v>
      </c>
      <c r="B2136">
        <v>7</v>
      </c>
      <c r="C2136">
        <v>30</v>
      </c>
      <c r="D2136">
        <v>1</v>
      </c>
      <c r="E2136">
        <v>0.05</v>
      </c>
      <c r="F2136">
        <f t="shared" si="33"/>
        <v>28.5</v>
      </c>
      <c r="G2136">
        <f>YEAR(VLOOKUP(A2136,orders!A:D,4,0))</f>
        <v>2015</v>
      </c>
      <c r="H2136">
        <f>MONTH(INDEX(orders!D:D,MATCH(A2136, orders!A:A,0)))</f>
        <v>5</v>
      </c>
      <c r="I2136" t="str">
        <f>VLOOKUP(VLOOKUP(B2136,products!A:F,6,0),categories!A:B,2,0)</f>
        <v>Produce</v>
      </c>
      <c r="J2136" t="str">
        <f>VLOOKUP(VLOOKUP(A2136,orders!A:B,2,0),customers!A:F,6,0)</f>
        <v>USA</v>
      </c>
      <c r="K2136" t="str">
        <f>VLOOKUP(VLOOKUP(A2136,orders!A:C,3,0),employees!A:B,2,0)</f>
        <v>Nancy Davolio</v>
      </c>
    </row>
    <row r="2137" spans="1:11" x14ac:dyDescent="0.25">
      <c r="A2137">
        <v>11077</v>
      </c>
      <c r="B2137">
        <v>8</v>
      </c>
      <c r="C2137">
        <v>40</v>
      </c>
      <c r="D2137">
        <v>2</v>
      </c>
      <c r="E2137">
        <v>0.1</v>
      </c>
      <c r="F2137">
        <f t="shared" si="33"/>
        <v>72</v>
      </c>
      <c r="G2137">
        <f>YEAR(VLOOKUP(A2137,orders!A:D,4,0))</f>
        <v>2015</v>
      </c>
      <c r="H2137">
        <f>MONTH(INDEX(orders!D:D,MATCH(A2137, orders!A:A,0)))</f>
        <v>5</v>
      </c>
      <c r="I2137" t="str">
        <f>VLOOKUP(VLOOKUP(B2137,products!A:F,6,0),categories!A:B,2,0)</f>
        <v>Condiments</v>
      </c>
      <c r="J2137" t="str">
        <f>VLOOKUP(VLOOKUP(A2137,orders!A:B,2,0),customers!A:F,6,0)</f>
        <v>USA</v>
      </c>
      <c r="K2137" t="str">
        <f>VLOOKUP(VLOOKUP(A2137,orders!A:C,3,0),employees!A:B,2,0)</f>
        <v>Nancy Davolio</v>
      </c>
    </row>
    <row r="2138" spans="1:11" x14ac:dyDescent="0.25">
      <c r="A2138">
        <v>11077</v>
      </c>
      <c r="B2138">
        <v>10</v>
      </c>
      <c r="C2138">
        <v>31</v>
      </c>
      <c r="D2138">
        <v>1</v>
      </c>
      <c r="E2138">
        <v>0</v>
      </c>
      <c r="F2138">
        <f t="shared" si="33"/>
        <v>31</v>
      </c>
      <c r="G2138">
        <f>YEAR(VLOOKUP(A2138,orders!A:D,4,0))</f>
        <v>2015</v>
      </c>
      <c r="H2138">
        <f>MONTH(INDEX(orders!D:D,MATCH(A2138, orders!A:A,0)))</f>
        <v>5</v>
      </c>
      <c r="I2138" t="str">
        <f>VLOOKUP(VLOOKUP(B2138,products!A:F,6,0),categories!A:B,2,0)</f>
        <v>Seafood</v>
      </c>
      <c r="J2138" t="str">
        <f>VLOOKUP(VLOOKUP(A2138,orders!A:B,2,0),customers!A:F,6,0)</f>
        <v>USA</v>
      </c>
      <c r="K2138" t="str">
        <f>VLOOKUP(VLOOKUP(A2138,orders!A:C,3,0),employees!A:B,2,0)</f>
        <v>Nancy Davolio</v>
      </c>
    </row>
    <row r="2139" spans="1:11" x14ac:dyDescent="0.25">
      <c r="A2139">
        <v>11077</v>
      </c>
      <c r="B2139">
        <v>12</v>
      </c>
      <c r="C2139">
        <v>38</v>
      </c>
      <c r="D2139">
        <v>2</v>
      </c>
      <c r="E2139">
        <v>0.05</v>
      </c>
      <c r="F2139">
        <f t="shared" si="33"/>
        <v>72.2</v>
      </c>
      <c r="G2139">
        <f>YEAR(VLOOKUP(A2139,orders!A:D,4,0))</f>
        <v>2015</v>
      </c>
      <c r="H2139">
        <f>MONTH(INDEX(orders!D:D,MATCH(A2139, orders!A:A,0)))</f>
        <v>5</v>
      </c>
      <c r="I2139" t="str">
        <f>VLOOKUP(VLOOKUP(B2139,products!A:F,6,0),categories!A:B,2,0)</f>
        <v>Dairy Products</v>
      </c>
      <c r="J2139" t="str">
        <f>VLOOKUP(VLOOKUP(A2139,orders!A:B,2,0),customers!A:F,6,0)</f>
        <v>USA</v>
      </c>
      <c r="K2139" t="str">
        <f>VLOOKUP(VLOOKUP(A2139,orders!A:C,3,0),employees!A:B,2,0)</f>
        <v>Nancy Davolio</v>
      </c>
    </row>
    <row r="2140" spans="1:11" x14ac:dyDescent="0.25">
      <c r="A2140">
        <v>11077</v>
      </c>
      <c r="B2140">
        <v>13</v>
      </c>
      <c r="C2140">
        <v>6</v>
      </c>
      <c r="D2140">
        <v>4</v>
      </c>
      <c r="E2140">
        <v>0</v>
      </c>
      <c r="F2140">
        <f t="shared" si="33"/>
        <v>24</v>
      </c>
      <c r="G2140">
        <f>YEAR(VLOOKUP(A2140,orders!A:D,4,0))</f>
        <v>2015</v>
      </c>
      <c r="H2140">
        <f>MONTH(INDEX(orders!D:D,MATCH(A2140, orders!A:A,0)))</f>
        <v>5</v>
      </c>
      <c r="I2140" t="str">
        <f>VLOOKUP(VLOOKUP(B2140,products!A:F,6,0),categories!A:B,2,0)</f>
        <v>Seafood</v>
      </c>
      <c r="J2140" t="str">
        <f>VLOOKUP(VLOOKUP(A2140,orders!A:B,2,0),customers!A:F,6,0)</f>
        <v>USA</v>
      </c>
      <c r="K2140" t="str">
        <f>VLOOKUP(VLOOKUP(A2140,orders!A:C,3,0),employees!A:B,2,0)</f>
        <v>Nancy Davolio</v>
      </c>
    </row>
    <row r="2141" spans="1:11" x14ac:dyDescent="0.25">
      <c r="A2141">
        <v>11077</v>
      </c>
      <c r="B2141">
        <v>14</v>
      </c>
      <c r="C2141">
        <v>23.25</v>
      </c>
      <c r="D2141">
        <v>1</v>
      </c>
      <c r="E2141">
        <v>0.03</v>
      </c>
      <c r="F2141">
        <f t="shared" si="33"/>
        <v>22.552499999999998</v>
      </c>
      <c r="G2141">
        <f>YEAR(VLOOKUP(A2141,orders!A:D,4,0))</f>
        <v>2015</v>
      </c>
      <c r="H2141">
        <f>MONTH(INDEX(orders!D:D,MATCH(A2141, orders!A:A,0)))</f>
        <v>5</v>
      </c>
      <c r="I2141" t="str">
        <f>VLOOKUP(VLOOKUP(B2141,products!A:F,6,0),categories!A:B,2,0)</f>
        <v>Produce</v>
      </c>
      <c r="J2141" t="str">
        <f>VLOOKUP(VLOOKUP(A2141,orders!A:B,2,0),customers!A:F,6,0)</f>
        <v>USA</v>
      </c>
      <c r="K2141" t="str">
        <f>VLOOKUP(VLOOKUP(A2141,orders!A:C,3,0),employees!A:B,2,0)</f>
        <v>Nancy Davolio</v>
      </c>
    </row>
    <row r="2142" spans="1:11" x14ac:dyDescent="0.25">
      <c r="A2142">
        <v>11077</v>
      </c>
      <c r="B2142">
        <v>16</v>
      </c>
      <c r="C2142">
        <v>17.45</v>
      </c>
      <c r="D2142">
        <v>2</v>
      </c>
      <c r="E2142">
        <v>0.03</v>
      </c>
      <c r="F2142">
        <f t="shared" si="33"/>
        <v>33.852999999999994</v>
      </c>
      <c r="G2142">
        <f>YEAR(VLOOKUP(A2142,orders!A:D,4,0))</f>
        <v>2015</v>
      </c>
      <c r="H2142">
        <f>MONTH(INDEX(orders!D:D,MATCH(A2142, orders!A:A,0)))</f>
        <v>5</v>
      </c>
      <c r="I2142" t="str">
        <f>VLOOKUP(VLOOKUP(B2142,products!A:F,6,0),categories!A:B,2,0)</f>
        <v>Confections</v>
      </c>
      <c r="J2142" t="str">
        <f>VLOOKUP(VLOOKUP(A2142,orders!A:B,2,0),customers!A:F,6,0)</f>
        <v>USA</v>
      </c>
      <c r="K2142" t="str">
        <f>VLOOKUP(VLOOKUP(A2142,orders!A:C,3,0),employees!A:B,2,0)</f>
        <v>Nancy Davolio</v>
      </c>
    </row>
    <row r="2143" spans="1:11" x14ac:dyDescent="0.25">
      <c r="A2143">
        <v>11077</v>
      </c>
      <c r="B2143">
        <v>20</v>
      </c>
      <c r="C2143">
        <v>81</v>
      </c>
      <c r="D2143">
        <v>1</v>
      </c>
      <c r="E2143">
        <v>0.04</v>
      </c>
      <c r="F2143">
        <f t="shared" si="33"/>
        <v>77.759999999999991</v>
      </c>
      <c r="G2143">
        <f>YEAR(VLOOKUP(A2143,orders!A:D,4,0))</f>
        <v>2015</v>
      </c>
      <c r="H2143">
        <f>MONTH(INDEX(orders!D:D,MATCH(A2143, orders!A:A,0)))</f>
        <v>5</v>
      </c>
      <c r="I2143" t="str">
        <f>VLOOKUP(VLOOKUP(B2143,products!A:F,6,0),categories!A:B,2,0)</f>
        <v>Confections</v>
      </c>
      <c r="J2143" t="str">
        <f>VLOOKUP(VLOOKUP(A2143,orders!A:B,2,0),customers!A:F,6,0)</f>
        <v>USA</v>
      </c>
      <c r="K2143" t="str">
        <f>VLOOKUP(VLOOKUP(A2143,orders!A:C,3,0),employees!A:B,2,0)</f>
        <v>Nancy Davolio</v>
      </c>
    </row>
    <row r="2144" spans="1:11" x14ac:dyDescent="0.25">
      <c r="A2144">
        <v>11077</v>
      </c>
      <c r="B2144">
        <v>23</v>
      </c>
      <c r="C2144">
        <v>9</v>
      </c>
      <c r="D2144">
        <v>2</v>
      </c>
      <c r="E2144">
        <v>0</v>
      </c>
      <c r="F2144">
        <f t="shared" si="33"/>
        <v>18</v>
      </c>
      <c r="G2144">
        <f>YEAR(VLOOKUP(A2144,orders!A:D,4,0))</f>
        <v>2015</v>
      </c>
      <c r="H2144">
        <f>MONTH(INDEX(orders!D:D,MATCH(A2144, orders!A:A,0)))</f>
        <v>5</v>
      </c>
      <c r="I2144" t="str">
        <f>VLOOKUP(VLOOKUP(B2144,products!A:F,6,0),categories!A:B,2,0)</f>
        <v>Grains &amp; Cereals</v>
      </c>
      <c r="J2144" t="str">
        <f>VLOOKUP(VLOOKUP(A2144,orders!A:B,2,0),customers!A:F,6,0)</f>
        <v>USA</v>
      </c>
      <c r="K2144" t="str">
        <f>VLOOKUP(VLOOKUP(A2144,orders!A:C,3,0),employees!A:B,2,0)</f>
        <v>Nancy Davolio</v>
      </c>
    </row>
    <row r="2145" spans="1:11" x14ac:dyDescent="0.25">
      <c r="A2145">
        <v>11077</v>
      </c>
      <c r="B2145">
        <v>32</v>
      </c>
      <c r="C2145">
        <v>32</v>
      </c>
      <c r="D2145">
        <v>1</v>
      </c>
      <c r="E2145">
        <v>0</v>
      </c>
      <c r="F2145">
        <f t="shared" si="33"/>
        <v>32</v>
      </c>
      <c r="G2145">
        <f>YEAR(VLOOKUP(A2145,orders!A:D,4,0))</f>
        <v>2015</v>
      </c>
      <c r="H2145">
        <f>MONTH(INDEX(orders!D:D,MATCH(A2145, orders!A:A,0)))</f>
        <v>5</v>
      </c>
      <c r="I2145" t="str">
        <f>VLOOKUP(VLOOKUP(B2145,products!A:F,6,0),categories!A:B,2,0)</f>
        <v>Dairy Products</v>
      </c>
      <c r="J2145" t="str">
        <f>VLOOKUP(VLOOKUP(A2145,orders!A:B,2,0),customers!A:F,6,0)</f>
        <v>USA</v>
      </c>
      <c r="K2145" t="str">
        <f>VLOOKUP(VLOOKUP(A2145,orders!A:C,3,0),employees!A:B,2,0)</f>
        <v>Nancy Davolio</v>
      </c>
    </row>
    <row r="2146" spans="1:11" x14ac:dyDescent="0.25">
      <c r="A2146">
        <v>11077</v>
      </c>
      <c r="B2146">
        <v>39</v>
      </c>
      <c r="C2146">
        <v>18</v>
      </c>
      <c r="D2146">
        <v>2</v>
      </c>
      <c r="E2146">
        <v>0.05</v>
      </c>
      <c r="F2146">
        <f t="shared" si="33"/>
        <v>34.199999999999996</v>
      </c>
      <c r="G2146">
        <f>YEAR(VLOOKUP(A2146,orders!A:D,4,0))</f>
        <v>2015</v>
      </c>
      <c r="H2146">
        <f>MONTH(INDEX(orders!D:D,MATCH(A2146, orders!A:A,0)))</f>
        <v>5</v>
      </c>
      <c r="I2146" t="str">
        <f>VLOOKUP(VLOOKUP(B2146,products!A:F,6,0),categories!A:B,2,0)</f>
        <v>Beverages</v>
      </c>
      <c r="J2146" t="str">
        <f>VLOOKUP(VLOOKUP(A2146,orders!A:B,2,0),customers!A:F,6,0)</f>
        <v>USA</v>
      </c>
      <c r="K2146" t="str">
        <f>VLOOKUP(VLOOKUP(A2146,orders!A:C,3,0),employees!A:B,2,0)</f>
        <v>Nancy Davolio</v>
      </c>
    </row>
    <row r="2147" spans="1:11" x14ac:dyDescent="0.25">
      <c r="A2147">
        <v>11077</v>
      </c>
      <c r="B2147">
        <v>41</v>
      </c>
      <c r="C2147">
        <v>9.65</v>
      </c>
      <c r="D2147">
        <v>3</v>
      </c>
      <c r="E2147">
        <v>0</v>
      </c>
      <c r="F2147">
        <f t="shared" si="33"/>
        <v>28.950000000000003</v>
      </c>
      <c r="G2147">
        <f>YEAR(VLOOKUP(A2147,orders!A:D,4,0))</f>
        <v>2015</v>
      </c>
      <c r="H2147">
        <f>MONTH(INDEX(orders!D:D,MATCH(A2147, orders!A:A,0)))</f>
        <v>5</v>
      </c>
      <c r="I2147" t="str">
        <f>VLOOKUP(VLOOKUP(B2147,products!A:F,6,0),categories!A:B,2,0)</f>
        <v>Seafood</v>
      </c>
      <c r="J2147" t="str">
        <f>VLOOKUP(VLOOKUP(A2147,orders!A:B,2,0),customers!A:F,6,0)</f>
        <v>USA</v>
      </c>
      <c r="K2147" t="str">
        <f>VLOOKUP(VLOOKUP(A2147,orders!A:C,3,0),employees!A:B,2,0)</f>
        <v>Nancy Davolio</v>
      </c>
    </row>
    <row r="2148" spans="1:11" x14ac:dyDescent="0.25">
      <c r="A2148">
        <v>11077</v>
      </c>
      <c r="B2148">
        <v>46</v>
      </c>
      <c r="C2148">
        <v>12</v>
      </c>
      <c r="D2148">
        <v>3</v>
      </c>
      <c r="E2148">
        <v>0.02</v>
      </c>
      <c r="F2148">
        <f t="shared" si="33"/>
        <v>35.28</v>
      </c>
      <c r="G2148">
        <f>YEAR(VLOOKUP(A2148,orders!A:D,4,0))</f>
        <v>2015</v>
      </c>
      <c r="H2148">
        <f>MONTH(INDEX(orders!D:D,MATCH(A2148, orders!A:A,0)))</f>
        <v>5</v>
      </c>
      <c r="I2148" t="str">
        <f>VLOOKUP(VLOOKUP(B2148,products!A:F,6,0),categories!A:B,2,0)</f>
        <v>Seafood</v>
      </c>
      <c r="J2148" t="str">
        <f>VLOOKUP(VLOOKUP(A2148,orders!A:B,2,0),customers!A:F,6,0)</f>
        <v>USA</v>
      </c>
      <c r="K2148" t="str">
        <f>VLOOKUP(VLOOKUP(A2148,orders!A:C,3,0),employees!A:B,2,0)</f>
        <v>Nancy Davolio</v>
      </c>
    </row>
    <row r="2149" spans="1:11" x14ac:dyDescent="0.25">
      <c r="A2149">
        <v>11077</v>
      </c>
      <c r="B2149">
        <v>52</v>
      </c>
      <c r="C2149">
        <v>7</v>
      </c>
      <c r="D2149">
        <v>2</v>
      </c>
      <c r="E2149">
        <v>0</v>
      </c>
      <c r="F2149">
        <f t="shared" si="33"/>
        <v>14</v>
      </c>
      <c r="G2149">
        <f>YEAR(VLOOKUP(A2149,orders!A:D,4,0))</f>
        <v>2015</v>
      </c>
      <c r="H2149">
        <f>MONTH(INDEX(orders!D:D,MATCH(A2149, orders!A:A,0)))</f>
        <v>5</v>
      </c>
      <c r="I2149" t="str">
        <f>VLOOKUP(VLOOKUP(B2149,products!A:F,6,0),categories!A:B,2,0)</f>
        <v>Grains &amp; Cereals</v>
      </c>
      <c r="J2149" t="str">
        <f>VLOOKUP(VLOOKUP(A2149,orders!A:B,2,0),customers!A:F,6,0)</f>
        <v>USA</v>
      </c>
      <c r="K2149" t="str">
        <f>VLOOKUP(VLOOKUP(A2149,orders!A:C,3,0),employees!A:B,2,0)</f>
        <v>Nancy Davolio</v>
      </c>
    </row>
    <row r="2150" spans="1:11" x14ac:dyDescent="0.25">
      <c r="A2150">
        <v>11077</v>
      </c>
      <c r="B2150">
        <v>55</v>
      </c>
      <c r="C2150">
        <v>24</v>
      </c>
      <c r="D2150">
        <v>2</v>
      </c>
      <c r="E2150">
        <v>0</v>
      </c>
      <c r="F2150">
        <f t="shared" si="33"/>
        <v>48</v>
      </c>
      <c r="G2150">
        <f>YEAR(VLOOKUP(A2150,orders!A:D,4,0))</f>
        <v>2015</v>
      </c>
      <c r="H2150">
        <f>MONTH(INDEX(orders!D:D,MATCH(A2150, orders!A:A,0)))</f>
        <v>5</v>
      </c>
      <c r="I2150" t="str">
        <f>VLOOKUP(VLOOKUP(B2150,products!A:F,6,0),categories!A:B,2,0)</f>
        <v>Meat &amp; Poultry</v>
      </c>
      <c r="J2150" t="str">
        <f>VLOOKUP(VLOOKUP(A2150,orders!A:B,2,0),customers!A:F,6,0)</f>
        <v>USA</v>
      </c>
      <c r="K2150" t="str">
        <f>VLOOKUP(VLOOKUP(A2150,orders!A:C,3,0),employees!A:B,2,0)</f>
        <v>Nancy Davolio</v>
      </c>
    </row>
    <row r="2151" spans="1:11" x14ac:dyDescent="0.25">
      <c r="A2151">
        <v>11077</v>
      </c>
      <c r="B2151">
        <v>60</v>
      </c>
      <c r="C2151">
        <v>34</v>
      </c>
      <c r="D2151">
        <v>2</v>
      </c>
      <c r="E2151">
        <v>0.06</v>
      </c>
      <c r="F2151">
        <f t="shared" si="33"/>
        <v>63.919999999999995</v>
      </c>
      <c r="G2151">
        <f>YEAR(VLOOKUP(A2151,orders!A:D,4,0))</f>
        <v>2015</v>
      </c>
      <c r="H2151">
        <f>MONTH(INDEX(orders!D:D,MATCH(A2151, orders!A:A,0)))</f>
        <v>5</v>
      </c>
      <c r="I2151" t="str">
        <f>VLOOKUP(VLOOKUP(B2151,products!A:F,6,0),categories!A:B,2,0)</f>
        <v>Dairy Products</v>
      </c>
      <c r="J2151" t="str">
        <f>VLOOKUP(VLOOKUP(A2151,orders!A:B,2,0),customers!A:F,6,0)</f>
        <v>USA</v>
      </c>
      <c r="K2151" t="str">
        <f>VLOOKUP(VLOOKUP(A2151,orders!A:C,3,0),employees!A:B,2,0)</f>
        <v>Nancy Davolio</v>
      </c>
    </row>
    <row r="2152" spans="1:11" x14ac:dyDescent="0.25">
      <c r="A2152">
        <v>11077</v>
      </c>
      <c r="B2152">
        <v>64</v>
      </c>
      <c r="C2152">
        <v>33.25</v>
      </c>
      <c r="D2152">
        <v>2</v>
      </c>
      <c r="E2152">
        <v>0.03</v>
      </c>
      <c r="F2152">
        <f t="shared" si="33"/>
        <v>64.504999999999995</v>
      </c>
      <c r="G2152">
        <f>YEAR(VLOOKUP(A2152,orders!A:D,4,0))</f>
        <v>2015</v>
      </c>
      <c r="H2152">
        <f>MONTH(INDEX(orders!D:D,MATCH(A2152, orders!A:A,0)))</f>
        <v>5</v>
      </c>
      <c r="I2152" t="str">
        <f>VLOOKUP(VLOOKUP(B2152,products!A:F,6,0),categories!A:B,2,0)</f>
        <v>Grains &amp; Cereals</v>
      </c>
      <c r="J2152" t="str">
        <f>VLOOKUP(VLOOKUP(A2152,orders!A:B,2,0),customers!A:F,6,0)</f>
        <v>USA</v>
      </c>
      <c r="K2152" t="str">
        <f>VLOOKUP(VLOOKUP(A2152,orders!A:C,3,0),employees!A:B,2,0)</f>
        <v>Nancy Davolio</v>
      </c>
    </row>
    <row r="2153" spans="1:11" x14ac:dyDescent="0.25">
      <c r="A2153">
        <v>11077</v>
      </c>
      <c r="B2153">
        <v>66</v>
      </c>
      <c r="C2153">
        <v>17</v>
      </c>
      <c r="D2153">
        <v>1</v>
      </c>
      <c r="E2153">
        <v>0</v>
      </c>
      <c r="F2153">
        <f t="shared" si="33"/>
        <v>17</v>
      </c>
      <c r="G2153">
        <f>YEAR(VLOOKUP(A2153,orders!A:D,4,0))</f>
        <v>2015</v>
      </c>
      <c r="H2153">
        <f>MONTH(INDEX(orders!D:D,MATCH(A2153, orders!A:A,0)))</f>
        <v>5</v>
      </c>
      <c r="I2153" t="str">
        <f>VLOOKUP(VLOOKUP(B2153,products!A:F,6,0),categories!A:B,2,0)</f>
        <v>Condiments</v>
      </c>
      <c r="J2153" t="str">
        <f>VLOOKUP(VLOOKUP(A2153,orders!A:B,2,0),customers!A:F,6,0)</f>
        <v>USA</v>
      </c>
      <c r="K2153" t="str">
        <f>VLOOKUP(VLOOKUP(A2153,orders!A:C,3,0),employees!A:B,2,0)</f>
        <v>Nancy Davolio</v>
      </c>
    </row>
    <row r="2154" spans="1:11" x14ac:dyDescent="0.25">
      <c r="A2154">
        <v>11077</v>
      </c>
      <c r="B2154">
        <v>73</v>
      </c>
      <c r="C2154">
        <v>15</v>
      </c>
      <c r="D2154">
        <v>2</v>
      </c>
      <c r="E2154">
        <v>0.01</v>
      </c>
      <c r="F2154">
        <f t="shared" si="33"/>
        <v>29.7</v>
      </c>
      <c r="G2154">
        <f>YEAR(VLOOKUP(A2154,orders!A:D,4,0))</f>
        <v>2015</v>
      </c>
      <c r="H2154">
        <f>MONTH(INDEX(orders!D:D,MATCH(A2154, orders!A:A,0)))</f>
        <v>5</v>
      </c>
      <c r="I2154" t="str">
        <f>VLOOKUP(VLOOKUP(B2154,products!A:F,6,0),categories!A:B,2,0)</f>
        <v>Seafood</v>
      </c>
      <c r="J2154" t="str">
        <f>VLOOKUP(VLOOKUP(A2154,orders!A:B,2,0),customers!A:F,6,0)</f>
        <v>USA</v>
      </c>
      <c r="K2154" t="str">
        <f>VLOOKUP(VLOOKUP(A2154,orders!A:C,3,0),employees!A:B,2,0)</f>
        <v>Nancy Davolio</v>
      </c>
    </row>
    <row r="2155" spans="1:11" x14ac:dyDescent="0.25">
      <c r="A2155">
        <v>11077</v>
      </c>
      <c r="B2155">
        <v>75</v>
      </c>
      <c r="C2155">
        <v>7.75</v>
      </c>
      <c r="D2155">
        <v>4</v>
      </c>
      <c r="E2155">
        <v>0</v>
      </c>
      <c r="F2155">
        <f t="shared" si="33"/>
        <v>31</v>
      </c>
      <c r="G2155">
        <f>YEAR(VLOOKUP(A2155,orders!A:D,4,0))</f>
        <v>2015</v>
      </c>
      <c r="H2155">
        <f>MONTH(INDEX(orders!D:D,MATCH(A2155, orders!A:A,0)))</f>
        <v>5</v>
      </c>
      <c r="I2155" t="str">
        <f>VLOOKUP(VLOOKUP(B2155,products!A:F,6,0),categories!A:B,2,0)</f>
        <v>Beverages</v>
      </c>
      <c r="J2155" t="str">
        <f>VLOOKUP(VLOOKUP(A2155,orders!A:B,2,0),customers!A:F,6,0)</f>
        <v>USA</v>
      </c>
      <c r="K2155" t="str">
        <f>VLOOKUP(VLOOKUP(A2155,orders!A:C,3,0),employees!A:B,2,0)</f>
        <v>Nancy Davolio</v>
      </c>
    </row>
    <row r="2156" spans="1:11" x14ac:dyDescent="0.25">
      <c r="A2156">
        <v>11077</v>
      </c>
      <c r="B2156">
        <v>77</v>
      </c>
      <c r="C2156">
        <v>13</v>
      </c>
      <c r="D2156">
        <v>2</v>
      </c>
      <c r="E2156">
        <v>0</v>
      </c>
      <c r="F2156">
        <f t="shared" si="33"/>
        <v>26</v>
      </c>
      <c r="G2156">
        <f>YEAR(VLOOKUP(A2156,orders!A:D,4,0))</f>
        <v>2015</v>
      </c>
      <c r="H2156">
        <f>MONTH(INDEX(orders!D:D,MATCH(A2156, orders!A:A,0)))</f>
        <v>5</v>
      </c>
      <c r="I2156" t="str">
        <f>VLOOKUP(VLOOKUP(B2156,products!A:F,6,0),categories!A:B,2,0)</f>
        <v>Condiments</v>
      </c>
      <c r="J2156" t="str">
        <f>VLOOKUP(VLOOKUP(A2156,orders!A:B,2,0),customers!A:F,6,0)</f>
        <v>USA</v>
      </c>
      <c r="K2156" t="str">
        <f>VLOOKUP(VLOOKUP(A2156,orders!A:C,3,0),employees!A:B,2,0)</f>
        <v>Nancy Davolio</v>
      </c>
    </row>
    <row r="2157" spans="1:11" x14ac:dyDescent="0.25">
      <c r="F2157">
        <f>SUM(F2:F2156)</f>
        <v>1265793.0395000004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2"/>
  <sheetViews>
    <sheetView workbookViewId="0"/>
  </sheetViews>
  <sheetFormatPr defaultRowHeight="15" x14ac:dyDescent="0.25"/>
  <cols>
    <col min="1" max="1" width="11.140625" bestFit="1" customWidth="1"/>
    <col min="2" max="2" width="33.140625" bestFit="1" customWidth="1"/>
    <col min="3" max="3" width="22.7109375" bestFit="1" customWidth="1"/>
    <col min="4" max="4" width="28.5703125" bestFit="1" customWidth="1"/>
    <col min="5" max="5" width="13.85546875" bestFit="1" customWidth="1"/>
    <col min="6" max="6" width="11.42578125" bestFit="1" customWidth="1"/>
  </cols>
  <sheetData>
    <row r="1" spans="1:6" x14ac:dyDescent="0.25">
      <c r="A1" t="s">
        <v>1</v>
      </c>
      <c r="B1" t="s">
        <v>101</v>
      </c>
      <c r="C1" t="s">
        <v>102</v>
      </c>
      <c r="D1" t="s">
        <v>103</v>
      </c>
      <c r="E1" t="s">
        <v>104</v>
      </c>
      <c r="F1" t="s">
        <v>105</v>
      </c>
    </row>
    <row r="2" spans="1:6" x14ac:dyDescent="0.25">
      <c r="A2" t="s">
        <v>93</v>
      </c>
      <c r="B2" t="s">
        <v>106</v>
      </c>
      <c r="C2" t="s">
        <v>107</v>
      </c>
      <c r="D2" t="s">
        <v>108</v>
      </c>
      <c r="E2" t="s">
        <v>109</v>
      </c>
      <c r="F2" t="s">
        <v>110</v>
      </c>
    </row>
    <row r="3" spans="1:6" x14ac:dyDescent="0.25">
      <c r="A3" t="s">
        <v>47</v>
      </c>
      <c r="B3" t="s">
        <v>111</v>
      </c>
      <c r="C3" t="s">
        <v>112</v>
      </c>
      <c r="D3" t="s">
        <v>113</v>
      </c>
      <c r="E3" t="s">
        <v>114</v>
      </c>
      <c r="F3" t="s">
        <v>115</v>
      </c>
    </row>
    <row r="4" spans="1:6" x14ac:dyDescent="0.25">
      <c r="A4" t="s">
        <v>67</v>
      </c>
      <c r="B4" t="s">
        <v>116</v>
      </c>
      <c r="C4" t="s">
        <v>117</v>
      </c>
      <c r="D4" t="s">
        <v>113</v>
      </c>
      <c r="E4" t="s">
        <v>114</v>
      </c>
      <c r="F4" t="s">
        <v>115</v>
      </c>
    </row>
    <row r="5" spans="1:6" x14ac:dyDescent="0.25">
      <c r="A5" t="s">
        <v>63</v>
      </c>
      <c r="B5" t="s">
        <v>118</v>
      </c>
      <c r="C5" t="s">
        <v>119</v>
      </c>
      <c r="D5" t="s">
        <v>108</v>
      </c>
      <c r="E5" t="s">
        <v>120</v>
      </c>
      <c r="F5" t="s">
        <v>121</v>
      </c>
    </row>
    <row r="6" spans="1:6" x14ac:dyDescent="0.25">
      <c r="A6" t="s">
        <v>33</v>
      </c>
      <c r="B6" t="s">
        <v>122</v>
      </c>
      <c r="C6" t="s">
        <v>123</v>
      </c>
      <c r="D6" t="s">
        <v>124</v>
      </c>
      <c r="E6" t="s">
        <v>125</v>
      </c>
      <c r="F6" t="s">
        <v>126</v>
      </c>
    </row>
    <row r="7" spans="1:6" x14ac:dyDescent="0.25">
      <c r="A7" t="s">
        <v>84</v>
      </c>
      <c r="B7" t="s">
        <v>127</v>
      </c>
      <c r="C7" t="s">
        <v>128</v>
      </c>
      <c r="D7" t="s">
        <v>108</v>
      </c>
      <c r="E7" t="s">
        <v>129</v>
      </c>
      <c r="F7" t="s">
        <v>110</v>
      </c>
    </row>
    <row r="8" spans="1:6" x14ac:dyDescent="0.25">
      <c r="A8" t="s">
        <v>23</v>
      </c>
      <c r="B8" t="s">
        <v>130</v>
      </c>
      <c r="C8" t="s">
        <v>131</v>
      </c>
      <c r="D8" t="s">
        <v>132</v>
      </c>
      <c r="E8" t="s">
        <v>133</v>
      </c>
      <c r="F8" t="s">
        <v>134</v>
      </c>
    </row>
    <row r="9" spans="1:6" x14ac:dyDescent="0.25">
      <c r="A9" t="s">
        <v>54</v>
      </c>
      <c r="B9" t="s">
        <v>135</v>
      </c>
      <c r="C9" t="s">
        <v>136</v>
      </c>
      <c r="D9" t="s">
        <v>113</v>
      </c>
      <c r="E9" t="s">
        <v>137</v>
      </c>
      <c r="F9" t="s">
        <v>138</v>
      </c>
    </row>
    <row r="10" spans="1:6" x14ac:dyDescent="0.25">
      <c r="A10" t="s">
        <v>56</v>
      </c>
      <c r="B10" t="s">
        <v>139</v>
      </c>
      <c r="C10" t="s">
        <v>140</v>
      </c>
      <c r="D10" t="s">
        <v>113</v>
      </c>
      <c r="E10" t="s">
        <v>141</v>
      </c>
      <c r="F10" t="s">
        <v>134</v>
      </c>
    </row>
    <row r="11" spans="1:6" x14ac:dyDescent="0.25">
      <c r="A11" t="s">
        <v>74</v>
      </c>
      <c r="B11" t="s">
        <v>142</v>
      </c>
      <c r="C11" t="s">
        <v>143</v>
      </c>
      <c r="D11" t="s">
        <v>144</v>
      </c>
      <c r="E11" t="s">
        <v>145</v>
      </c>
      <c r="F11" t="s">
        <v>146</v>
      </c>
    </row>
    <row r="12" spans="1:6" x14ac:dyDescent="0.25">
      <c r="A12" t="s">
        <v>39</v>
      </c>
      <c r="B12" t="s">
        <v>147</v>
      </c>
      <c r="C12" t="s">
        <v>148</v>
      </c>
      <c r="D12" t="s">
        <v>108</v>
      </c>
      <c r="E12" t="s">
        <v>120</v>
      </c>
      <c r="F12" t="s">
        <v>121</v>
      </c>
    </row>
    <row r="13" spans="1:6" x14ac:dyDescent="0.25">
      <c r="A13" t="s">
        <v>86</v>
      </c>
      <c r="B13" t="s">
        <v>149</v>
      </c>
      <c r="C13" t="s">
        <v>150</v>
      </c>
      <c r="D13" t="s">
        <v>151</v>
      </c>
      <c r="E13" t="s">
        <v>152</v>
      </c>
      <c r="F13" t="s">
        <v>153</v>
      </c>
    </row>
    <row r="14" spans="1:6" x14ac:dyDescent="0.25">
      <c r="A14" t="s">
        <v>18</v>
      </c>
      <c r="B14" t="s">
        <v>154</v>
      </c>
      <c r="C14" t="s">
        <v>155</v>
      </c>
      <c r="D14" t="s">
        <v>132</v>
      </c>
      <c r="E14" t="s">
        <v>114</v>
      </c>
      <c r="F14" t="s">
        <v>115</v>
      </c>
    </row>
    <row r="15" spans="1:6" x14ac:dyDescent="0.25">
      <c r="A15" t="s">
        <v>13</v>
      </c>
      <c r="B15" t="s">
        <v>156</v>
      </c>
      <c r="C15" t="s">
        <v>157</v>
      </c>
      <c r="D15" t="s">
        <v>113</v>
      </c>
      <c r="E15" t="s">
        <v>158</v>
      </c>
      <c r="F15" t="s">
        <v>159</v>
      </c>
    </row>
    <row r="16" spans="1:6" x14ac:dyDescent="0.25">
      <c r="A16" t="s">
        <v>40</v>
      </c>
      <c r="B16" t="s">
        <v>160</v>
      </c>
      <c r="C16" t="s">
        <v>161</v>
      </c>
      <c r="D16" t="s">
        <v>162</v>
      </c>
      <c r="E16" t="s">
        <v>163</v>
      </c>
      <c r="F16" t="s">
        <v>164</v>
      </c>
    </row>
    <row r="17" spans="1:6" x14ac:dyDescent="0.25">
      <c r="A17" t="s">
        <v>80</v>
      </c>
      <c r="B17" t="s">
        <v>165</v>
      </c>
      <c r="C17" t="s">
        <v>166</v>
      </c>
      <c r="D17" t="s">
        <v>108</v>
      </c>
      <c r="E17" t="s">
        <v>120</v>
      </c>
      <c r="F17" t="s">
        <v>121</v>
      </c>
    </row>
    <row r="18" spans="1:6" x14ac:dyDescent="0.25">
      <c r="A18" t="s">
        <v>65</v>
      </c>
      <c r="B18" t="s">
        <v>167</v>
      </c>
      <c r="C18" t="s">
        <v>168</v>
      </c>
      <c r="D18" t="s">
        <v>124</v>
      </c>
      <c r="E18" t="s">
        <v>169</v>
      </c>
      <c r="F18" t="s">
        <v>110</v>
      </c>
    </row>
    <row r="19" spans="1:6" x14ac:dyDescent="0.25">
      <c r="A19" t="s">
        <v>49</v>
      </c>
      <c r="B19" t="s">
        <v>170</v>
      </c>
      <c r="C19" t="s">
        <v>171</v>
      </c>
      <c r="D19" t="s">
        <v>113</v>
      </c>
      <c r="E19" t="s">
        <v>172</v>
      </c>
      <c r="F19" t="s">
        <v>134</v>
      </c>
    </row>
    <row r="20" spans="1:6" x14ac:dyDescent="0.25">
      <c r="A20" t="s">
        <v>66</v>
      </c>
      <c r="B20" t="s">
        <v>173</v>
      </c>
      <c r="C20" t="s">
        <v>174</v>
      </c>
      <c r="D20" t="s">
        <v>151</v>
      </c>
      <c r="E20" t="s">
        <v>120</v>
      </c>
      <c r="F20" t="s">
        <v>121</v>
      </c>
    </row>
    <row r="21" spans="1:6" x14ac:dyDescent="0.25">
      <c r="A21" t="s">
        <v>17</v>
      </c>
      <c r="B21" t="s">
        <v>175</v>
      </c>
      <c r="C21" t="s">
        <v>176</v>
      </c>
      <c r="D21" t="s">
        <v>177</v>
      </c>
      <c r="E21" t="s">
        <v>178</v>
      </c>
      <c r="F21" t="s">
        <v>179</v>
      </c>
    </row>
    <row r="22" spans="1:6" x14ac:dyDescent="0.25">
      <c r="A22" t="s">
        <v>60</v>
      </c>
      <c r="B22" t="s">
        <v>180</v>
      </c>
      <c r="C22" t="s">
        <v>181</v>
      </c>
      <c r="D22" t="s">
        <v>182</v>
      </c>
      <c r="E22" t="s">
        <v>163</v>
      </c>
      <c r="F22" t="s">
        <v>164</v>
      </c>
    </row>
    <row r="23" spans="1:6" x14ac:dyDescent="0.25">
      <c r="A23" t="s">
        <v>183</v>
      </c>
      <c r="B23" t="s">
        <v>184</v>
      </c>
      <c r="C23" t="s">
        <v>185</v>
      </c>
      <c r="D23" t="s">
        <v>144</v>
      </c>
      <c r="E23" t="s">
        <v>137</v>
      </c>
      <c r="F23" t="s">
        <v>138</v>
      </c>
    </row>
    <row r="24" spans="1:6" x14ac:dyDescent="0.25">
      <c r="A24" t="s">
        <v>76</v>
      </c>
      <c r="B24" t="s">
        <v>186</v>
      </c>
      <c r="C24" t="s">
        <v>187</v>
      </c>
      <c r="D24" t="s">
        <v>188</v>
      </c>
      <c r="E24" t="s">
        <v>189</v>
      </c>
      <c r="F24" t="s">
        <v>134</v>
      </c>
    </row>
    <row r="25" spans="1:6" x14ac:dyDescent="0.25">
      <c r="A25" t="s">
        <v>22</v>
      </c>
      <c r="B25" t="s">
        <v>190</v>
      </c>
      <c r="C25" t="s">
        <v>191</v>
      </c>
      <c r="D25" t="s">
        <v>113</v>
      </c>
      <c r="E25" t="s">
        <v>192</v>
      </c>
      <c r="F25" t="s">
        <v>126</v>
      </c>
    </row>
    <row r="26" spans="1:6" x14ac:dyDescent="0.25">
      <c r="A26" t="s">
        <v>25</v>
      </c>
      <c r="B26" t="s">
        <v>193</v>
      </c>
      <c r="C26" t="s">
        <v>194</v>
      </c>
      <c r="D26" t="s">
        <v>132</v>
      </c>
      <c r="E26" t="s">
        <v>195</v>
      </c>
      <c r="F26" t="s">
        <v>110</v>
      </c>
    </row>
    <row r="27" spans="1:6" x14ac:dyDescent="0.25">
      <c r="A27" t="s">
        <v>94</v>
      </c>
      <c r="B27" t="s">
        <v>196</v>
      </c>
      <c r="C27" t="s">
        <v>197</v>
      </c>
      <c r="D27" t="s">
        <v>132</v>
      </c>
      <c r="E27" t="s">
        <v>172</v>
      </c>
      <c r="F27" t="s">
        <v>134</v>
      </c>
    </row>
    <row r="28" spans="1:6" x14ac:dyDescent="0.25">
      <c r="A28" t="s">
        <v>78</v>
      </c>
      <c r="B28" t="s">
        <v>198</v>
      </c>
      <c r="C28" t="s">
        <v>199</v>
      </c>
      <c r="D28" t="s">
        <v>108</v>
      </c>
      <c r="E28" t="s">
        <v>200</v>
      </c>
      <c r="F28" t="s">
        <v>201</v>
      </c>
    </row>
    <row r="29" spans="1:6" x14ac:dyDescent="0.25">
      <c r="A29" t="s">
        <v>55</v>
      </c>
      <c r="B29" t="s">
        <v>202</v>
      </c>
      <c r="C29" t="s">
        <v>203</v>
      </c>
      <c r="D29" t="s">
        <v>177</v>
      </c>
      <c r="E29" t="s">
        <v>204</v>
      </c>
      <c r="F29" t="s">
        <v>205</v>
      </c>
    </row>
    <row r="30" spans="1:6" x14ac:dyDescent="0.25">
      <c r="A30" t="s">
        <v>68</v>
      </c>
      <c r="B30" t="s">
        <v>206</v>
      </c>
      <c r="C30" t="s">
        <v>207</v>
      </c>
      <c r="D30" t="s">
        <v>132</v>
      </c>
      <c r="E30" t="s">
        <v>208</v>
      </c>
      <c r="F30" t="s">
        <v>138</v>
      </c>
    </row>
    <row r="31" spans="1:6" x14ac:dyDescent="0.25">
      <c r="A31" t="s">
        <v>44</v>
      </c>
      <c r="B31" t="s">
        <v>209</v>
      </c>
      <c r="C31" t="s">
        <v>210</v>
      </c>
      <c r="D31" t="s">
        <v>177</v>
      </c>
      <c r="E31" t="s">
        <v>211</v>
      </c>
      <c r="F31" t="s">
        <v>138</v>
      </c>
    </row>
    <row r="32" spans="1:6" x14ac:dyDescent="0.25">
      <c r="A32" t="s">
        <v>79</v>
      </c>
      <c r="B32" t="s">
        <v>212</v>
      </c>
      <c r="C32" t="s">
        <v>213</v>
      </c>
      <c r="D32" t="s">
        <v>162</v>
      </c>
      <c r="E32" t="s">
        <v>214</v>
      </c>
      <c r="F32" t="s">
        <v>164</v>
      </c>
    </row>
    <row r="33" spans="1:6" x14ac:dyDescent="0.25">
      <c r="A33" t="s">
        <v>87</v>
      </c>
      <c r="B33" t="s">
        <v>215</v>
      </c>
      <c r="C33" t="s">
        <v>216</v>
      </c>
      <c r="D33" t="s">
        <v>132</v>
      </c>
      <c r="E33" t="s">
        <v>217</v>
      </c>
      <c r="F33" t="s">
        <v>218</v>
      </c>
    </row>
    <row r="34" spans="1:6" x14ac:dyDescent="0.25">
      <c r="A34" t="s">
        <v>26</v>
      </c>
      <c r="B34" t="s">
        <v>219</v>
      </c>
      <c r="C34" t="s">
        <v>220</v>
      </c>
      <c r="D34" t="s">
        <v>113</v>
      </c>
      <c r="E34" t="s">
        <v>221</v>
      </c>
      <c r="F34" t="s">
        <v>222</v>
      </c>
    </row>
    <row r="35" spans="1:6" x14ac:dyDescent="0.25">
      <c r="A35" t="s">
        <v>10</v>
      </c>
      <c r="B35" t="s">
        <v>223</v>
      </c>
      <c r="C35" t="s">
        <v>224</v>
      </c>
      <c r="D35" t="s">
        <v>144</v>
      </c>
      <c r="E35" t="s">
        <v>225</v>
      </c>
      <c r="F35" t="s">
        <v>164</v>
      </c>
    </row>
    <row r="36" spans="1:6" x14ac:dyDescent="0.25">
      <c r="A36" t="s">
        <v>16</v>
      </c>
      <c r="B36" t="s">
        <v>226</v>
      </c>
      <c r="C36" t="s">
        <v>227</v>
      </c>
      <c r="D36" t="s">
        <v>108</v>
      </c>
      <c r="E36" t="s">
        <v>228</v>
      </c>
      <c r="F36" t="s">
        <v>222</v>
      </c>
    </row>
    <row r="37" spans="1:6" x14ac:dyDescent="0.25">
      <c r="A37" t="s">
        <v>72</v>
      </c>
      <c r="B37" t="s">
        <v>229</v>
      </c>
      <c r="C37" t="s">
        <v>230</v>
      </c>
      <c r="D37" t="s">
        <v>108</v>
      </c>
      <c r="E37" t="s">
        <v>231</v>
      </c>
      <c r="F37" t="s">
        <v>218</v>
      </c>
    </row>
    <row r="38" spans="1:6" x14ac:dyDescent="0.25">
      <c r="A38" t="s">
        <v>42</v>
      </c>
      <c r="B38" t="s">
        <v>232</v>
      </c>
      <c r="C38" t="s">
        <v>233</v>
      </c>
      <c r="D38" t="s">
        <v>162</v>
      </c>
      <c r="E38" t="s">
        <v>234</v>
      </c>
      <c r="F38" t="s">
        <v>235</v>
      </c>
    </row>
    <row r="39" spans="1:6" x14ac:dyDescent="0.25">
      <c r="A39" t="s">
        <v>50</v>
      </c>
      <c r="B39" t="s">
        <v>236</v>
      </c>
      <c r="C39" t="s">
        <v>237</v>
      </c>
      <c r="D39" t="s">
        <v>132</v>
      </c>
      <c r="E39" t="s">
        <v>238</v>
      </c>
      <c r="F39" t="s">
        <v>121</v>
      </c>
    </row>
    <row r="40" spans="1:6" x14ac:dyDescent="0.25">
      <c r="A40" t="s">
        <v>52</v>
      </c>
      <c r="B40" t="s">
        <v>239</v>
      </c>
      <c r="C40" t="s">
        <v>240</v>
      </c>
      <c r="D40" t="s">
        <v>162</v>
      </c>
      <c r="E40" t="s">
        <v>241</v>
      </c>
      <c r="F40" t="s">
        <v>110</v>
      </c>
    </row>
    <row r="41" spans="1:6" x14ac:dyDescent="0.25">
      <c r="A41" t="s">
        <v>96</v>
      </c>
      <c r="B41" t="s">
        <v>242</v>
      </c>
      <c r="C41" t="s">
        <v>243</v>
      </c>
      <c r="D41" t="s">
        <v>108</v>
      </c>
      <c r="E41" t="s">
        <v>244</v>
      </c>
      <c r="F41" t="s">
        <v>134</v>
      </c>
    </row>
    <row r="42" spans="1:6" x14ac:dyDescent="0.25">
      <c r="A42" t="s">
        <v>61</v>
      </c>
      <c r="B42" t="s">
        <v>245</v>
      </c>
      <c r="C42" t="s">
        <v>246</v>
      </c>
      <c r="D42" t="s">
        <v>177</v>
      </c>
      <c r="E42" t="s">
        <v>247</v>
      </c>
      <c r="F42" t="s">
        <v>134</v>
      </c>
    </row>
    <row r="43" spans="1:6" x14ac:dyDescent="0.25">
      <c r="A43" t="s">
        <v>83</v>
      </c>
      <c r="B43" t="s">
        <v>248</v>
      </c>
      <c r="C43" t="s">
        <v>249</v>
      </c>
      <c r="D43" t="s">
        <v>182</v>
      </c>
      <c r="E43" t="s">
        <v>250</v>
      </c>
      <c r="F43" t="s">
        <v>146</v>
      </c>
    </row>
    <row r="44" spans="1:6" x14ac:dyDescent="0.25">
      <c r="A44" t="s">
        <v>82</v>
      </c>
      <c r="B44" t="s">
        <v>251</v>
      </c>
      <c r="C44" t="s">
        <v>252</v>
      </c>
      <c r="D44" t="s">
        <v>132</v>
      </c>
      <c r="E44" t="s">
        <v>253</v>
      </c>
      <c r="F44" t="s">
        <v>218</v>
      </c>
    </row>
    <row r="45" spans="1:6" x14ac:dyDescent="0.25">
      <c r="A45" t="s">
        <v>34</v>
      </c>
      <c r="B45" t="s">
        <v>254</v>
      </c>
      <c r="C45" t="s">
        <v>255</v>
      </c>
      <c r="D45" t="s">
        <v>108</v>
      </c>
      <c r="E45" t="s">
        <v>256</v>
      </c>
      <c r="F45" t="s">
        <v>110</v>
      </c>
    </row>
    <row r="46" spans="1:6" x14ac:dyDescent="0.25">
      <c r="A46" t="s">
        <v>90</v>
      </c>
      <c r="B46" t="s">
        <v>257</v>
      </c>
      <c r="C46" t="s">
        <v>258</v>
      </c>
      <c r="D46" t="s">
        <v>113</v>
      </c>
      <c r="E46" t="s">
        <v>259</v>
      </c>
      <c r="F46" t="s">
        <v>218</v>
      </c>
    </row>
    <row r="47" spans="1:6" x14ac:dyDescent="0.25">
      <c r="A47" t="s">
        <v>36</v>
      </c>
      <c r="B47" t="s">
        <v>260</v>
      </c>
      <c r="C47" t="s">
        <v>261</v>
      </c>
      <c r="D47" t="s">
        <v>144</v>
      </c>
      <c r="E47" t="s">
        <v>262</v>
      </c>
      <c r="F47" t="s">
        <v>222</v>
      </c>
    </row>
    <row r="48" spans="1:6" x14ac:dyDescent="0.25">
      <c r="A48" t="s">
        <v>75</v>
      </c>
      <c r="B48" t="s">
        <v>263</v>
      </c>
      <c r="C48" t="s">
        <v>264</v>
      </c>
      <c r="D48" t="s">
        <v>113</v>
      </c>
      <c r="E48" t="s">
        <v>265</v>
      </c>
      <c r="F48" t="s">
        <v>222</v>
      </c>
    </row>
    <row r="49" spans="1:6" x14ac:dyDescent="0.25">
      <c r="A49" t="s">
        <v>46</v>
      </c>
      <c r="B49" t="s">
        <v>266</v>
      </c>
      <c r="C49" t="s">
        <v>267</v>
      </c>
      <c r="D49" t="s">
        <v>177</v>
      </c>
      <c r="E49" t="s">
        <v>268</v>
      </c>
      <c r="F49" t="s">
        <v>218</v>
      </c>
    </row>
    <row r="50" spans="1:6" x14ac:dyDescent="0.25">
      <c r="A50" t="s">
        <v>30</v>
      </c>
      <c r="B50" t="s">
        <v>269</v>
      </c>
      <c r="C50" t="s">
        <v>270</v>
      </c>
      <c r="D50" t="s">
        <v>132</v>
      </c>
      <c r="E50" t="s">
        <v>271</v>
      </c>
      <c r="F50" t="s">
        <v>201</v>
      </c>
    </row>
    <row r="51" spans="1:6" x14ac:dyDescent="0.25">
      <c r="A51" t="s">
        <v>88</v>
      </c>
      <c r="B51" t="s">
        <v>272</v>
      </c>
      <c r="C51" t="s">
        <v>273</v>
      </c>
      <c r="D51" t="s">
        <v>151</v>
      </c>
      <c r="E51" t="s">
        <v>274</v>
      </c>
      <c r="F51" t="s">
        <v>275</v>
      </c>
    </row>
    <row r="52" spans="1:6" x14ac:dyDescent="0.25">
      <c r="A52" t="s">
        <v>57</v>
      </c>
      <c r="B52" t="s">
        <v>276</v>
      </c>
      <c r="C52" t="s">
        <v>277</v>
      </c>
      <c r="D52" t="s">
        <v>182</v>
      </c>
      <c r="E52" t="s">
        <v>278</v>
      </c>
      <c r="F52" t="s">
        <v>146</v>
      </c>
    </row>
    <row r="53" spans="1:6" x14ac:dyDescent="0.25">
      <c r="A53" t="s">
        <v>32</v>
      </c>
      <c r="B53" t="s">
        <v>279</v>
      </c>
      <c r="C53" t="s">
        <v>280</v>
      </c>
      <c r="D53" t="s">
        <v>182</v>
      </c>
      <c r="E53" t="s">
        <v>281</v>
      </c>
      <c r="F53" t="s">
        <v>110</v>
      </c>
    </row>
    <row r="54" spans="1:6" x14ac:dyDescent="0.25">
      <c r="A54" t="s">
        <v>85</v>
      </c>
      <c r="B54" t="s">
        <v>282</v>
      </c>
      <c r="C54" t="s">
        <v>283</v>
      </c>
      <c r="D54" t="s">
        <v>162</v>
      </c>
      <c r="E54" t="s">
        <v>120</v>
      </c>
      <c r="F54" t="s">
        <v>121</v>
      </c>
    </row>
    <row r="55" spans="1:6" x14ac:dyDescent="0.25">
      <c r="A55" t="s">
        <v>77</v>
      </c>
      <c r="B55" t="s">
        <v>284</v>
      </c>
      <c r="C55" t="s">
        <v>285</v>
      </c>
      <c r="D55" t="s">
        <v>151</v>
      </c>
      <c r="E55" t="s">
        <v>152</v>
      </c>
      <c r="F55" t="s">
        <v>153</v>
      </c>
    </row>
    <row r="56" spans="1:6" x14ac:dyDescent="0.25">
      <c r="A56" t="s">
        <v>45</v>
      </c>
      <c r="B56" t="s">
        <v>286</v>
      </c>
      <c r="C56" t="s">
        <v>287</v>
      </c>
      <c r="D56" t="s">
        <v>108</v>
      </c>
      <c r="E56" t="s">
        <v>288</v>
      </c>
      <c r="F56" t="s">
        <v>218</v>
      </c>
    </row>
    <row r="57" spans="1:6" x14ac:dyDescent="0.25">
      <c r="A57" t="s">
        <v>19</v>
      </c>
      <c r="B57" t="s">
        <v>289</v>
      </c>
      <c r="C57" t="s">
        <v>290</v>
      </c>
      <c r="D57" t="s">
        <v>113</v>
      </c>
      <c r="E57" t="s">
        <v>291</v>
      </c>
      <c r="F57" t="s">
        <v>110</v>
      </c>
    </row>
    <row r="58" spans="1:6" x14ac:dyDescent="0.25">
      <c r="A58" t="s">
        <v>292</v>
      </c>
      <c r="B58" t="s">
        <v>293</v>
      </c>
      <c r="C58" t="s">
        <v>294</v>
      </c>
      <c r="D58" t="s">
        <v>113</v>
      </c>
      <c r="E58" t="s">
        <v>295</v>
      </c>
      <c r="F58" t="s">
        <v>134</v>
      </c>
    </row>
    <row r="59" spans="1:6" x14ac:dyDescent="0.25">
      <c r="A59" t="s">
        <v>51</v>
      </c>
      <c r="B59" t="s">
        <v>296</v>
      </c>
      <c r="C59" t="s">
        <v>297</v>
      </c>
      <c r="D59" t="s">
        <v>108</v>
      </c>
      <c r="E59" t="s">
        <v>114</v>
      </c>
      <c r="F59" t="s">
        <v>115</v>
      </c>
    </row>
    <row r="60" spans="1:6" x14ac:dyDescent="0.25">
      <c r="A60" t="s">
        <v>62</v>
      </c>
      <c r="B60" t="s">
        <v>298</v>
      </c>
      <c r="C60" t="s">
        <v>299</v>
      </c>
      <c r="D60" t="s">
        <v>177</v>
      </c>
      <c r="E60" t="s">
        <v>300</v>
      </c>
      <c r="F60" t="s">
        <v>179</v>
      </c>
    </row>
    <row r="61" spans="1:6" x14ac:dyDescent="0.25">
      <c r="A61" t="s">
        <v>58</v>
      </c>
      <c r="B61" t="s">
        <v>301</v>
      </c>
      <c r="C61" t="s">
        <v>302</v>
      </c>
      <c r="D61" t="s">
        <v>108</v>
      </c>
      <c r="E61" t="s">
        <v>204</v>
      </c>
      <c r="F61" t="s">
        <v>205</v>
      </c>
    </row>
    <row r="62" spans="1:6" x14ac:dyDescent="0.25">
      <c r="A62" t="s">
        <v>20</v>
      </c>
      <c r="B62" t="s">
        <v>303</v>
      </c>
      <c r="C62" t="s">
        <v>304</v>
      </c>
      <c r="D62" t="s">
        <v>144</v>
      </c>
      <c r="E62" t="s">
        <v>225</v>
      </c>
      <c r="F62" t="s">
        <v>164</v>
      </c>
    </row>
    <row r="63" spans="1:6" x14ac:dyDescent="0.25">
      <c r="A63" t="s">
        <v>70</v>
      </c>
      <c r="B63" t="s">
        <v>305</v>
      </c>
      <c r="C63" t="s">
        <v>306</v>
      </c>
      <c r="D63" t="s">
        <v>182</v>
      </c>
      <c r="E63" t="s">
        <v>163</v>
      </c>
      <c r="F63" t="s">
        <v>164</v>
      </c>
    </row>
    <row r="64" spans="1:6" x14ac:dyDescent="0.25">
      <c r="A64" t="s">
        <v>29</v>
      </c>
      <c r="B64" t="s">
        <v>307</v>
      </c>
      <c r="C64" t="s">
        <v>308</v>
      </c>
      <c r="D64" t="s">
        <v>144</v>
      </c>
      <c r="E64" t="s">
        <v>309</v>
      </c>
      <c r="F64" t="s">
        <v>110</v>
      </c>
    </row>
    <row r="65" spans="1:6" x14ac:dyDescent="0.25">
      <c r="A65" t="s">
        <v>81</v>
      </c>
      <c r="B65" t="s">
        <v>310</v>
      </c>
      <c r="C65" t="s">
        <v>311</v>
      </c>
      <c r="D65" t="s">
        <v>108</v>
      </c>
      <c r="E65" t="s">
        <v>152</v>
      </c>
      <c r="F65" t="s">
        <v>153</v>
      </c>
    </row>
    <row r="66" spans="1:6" x14ac:dyDescent="0.25">
      <c r="A66" t="s">
        <v>21</v>
      </c>
      <c r="B66" t="s">
        <v>312</v>
      </c>
      <c r="C66" t="s">
        <v>313</v>
      </c>
      <c r="D66" t="s">
        <v>314</v>
      </c>
      <c r="E66" t="s">
        <v>315</v>
      </c>
      <c r="F66" t="s">
        <v>218</v>
      </c>
    </row>
    <row r="67" spans="1:6" x14ac:dyDescent="0.25">
      <c r="A67" t="s">
        <v>38</v>
      </c>
      <c r="B67" t="s">
        <v>316</v>
      </c>
      <c r="C67" t="s">
        <v>317</v>
      </c>
      <c r="D67" t="s">
        <v>162</v>
      </c>
      <c r="E67" t="s">
        <v>318</v>
      </c>
      <c r="F67" t="s">
        <v>201</v>
      </c>
    </row>
    <row r="68" spans="1:6" x14ac:dyDescent="0.25">
      <c r="A68" t="s">
        <v>37</v>
      </c>
      <c r="B68" t="s">
        <v>319</v>
      </c>
      <c r="C68" t="s">
        <v>320</v>
      </c>
      <c r="D68" t="s">
        <v>188</v>
      </c>
      <c r="E68" t="s">
        <v>225</v>
      </c>
      <c r="F68" t="s">
        <v>164</v>
      </c>
    </row>
    <row r="69" spans="1:6" x14ac:dyDescent="0.25">
      <c r="A69" t="s">
        <v>14</v>
      </c>
      <c r="B69" t="s">
        <v>321</v>
      </c>
      <c r="C69" t="s">
        <v>322</v>
      </c>
      <c r="D69" t="s">
        <v>177</v>
      </c>
      <c r="E69" t="s">
        <v>323</v>
      </c>
      <c r="F69" t="s">
        <v>159</v>
      </c>
    </row>
    <row r="70" spans="1:6" x14ac:dyDescent="0.25">
      <c r="A70" t="s">
        <v>35</v>
      </c>
      <c r="B70" t="s">
        <v>324</v>
      </c>
      <c r="C70" t="s">
        <v>325</v>
      </c>
      <c r="D70" t="s">
        <v>144</v>
      </c>
      <c r="E70" t="s">
        <v>137</v>
      </c>
      <c r="F70" t="s">
        <v>138</v>
      </c>
    </row>
    <row r="71" spans="1:6" x14ac:dyDescent="0.25">
      <c r="A71" t="s">
        <v>73</v>
      </c>
      <c r="B71" t="s">
        <v>326</v>
      </c>
      <c r="C71" t="s">
        <v>327</v>
      </c>
      <c r="D71" t="s">
        <v>113</v>
      </c>
      <c r="E71" t="s">
        <v>328</v>
      </c>
      <c r="F71" t="s">
        <v>329</v>
      </c>
    </row>
    <row r="72" spans="1:6" x14ac:dyDescent="0.25">
      <c r="A72" t="s">
        <v>53</v>
      </c>
      <c r="B72" t="s">
        <v>330</v>
      </c>
      <c r="C72" t="s">
        <v>331</v>
      </c>
      <c r="D72" t="s">
        <v>108</v>
      </c>
      <c r="E72" t="s">
        <v>332</v>
      </c>
      <c r="F72" t="s">
        <v>218</v>
      </c>
    </row>
    <row r="73" spans="1:6" x14ac:dyDescent="0.25">
      <c r="A73" t="s">
        <v>64</v>
      </c>
      <c r="B73" t="s">
        <v>333</v>
      </c>
      <c r="C73" t="s">
        <v>334</v>
      </c>
      <c r="D73" t="s">
        <v>177</v>
      </c>
      <c r="E73" t="s">
        <v>120</v>
      </c>
      <c r="F73" t="s">
        <v>121</v>
      </c>
    </row>
    <row r="74" spans="1:6" x14ac:dyDescent="0.25">
      <c r="A74" t="s">
        <v>59</v>
      </c>
      <c r="B74" t="s">
        <v>335</v>
      </c>
      <c r="C74" t="s">
        <v>336</v>
      </c>
      <c r="D74" t="s">
        <v>113</v>
      </c>
      <c r="E74" t="s">
        <v>337</v>
      </c>
      <c r="F74" t="s">
        <v>338</v>
      </c>
    </row>
    <row r="75" spans="1:6" x14ac:dyDescent="0.25">
      <c r="A75" t="s">
        <v>95</v>
      </c>
      <c r="B75" t="s">
        <v>339</v>
      </c>
      <c r="C75" t="s">
        <v>340</v>
      </c>
      <c r="D75" t="s">
        <v>132</v>
      </c>
      <c r="E75" t="s">
        <v>295</v>
      </c>
      <c r="F75" t="s">
        <v>134</v>
      </c>
    </row>
    <row r="76" spans="1:6" x14ac:dyDescent="0.25">
      <c r="A76" t="s">
        <v>28</v>
      </c>
      <c r="B76" t="s">
        <v>341</v>
      </c>
      <c r="C76" t="s">
        <v>342</v>
      </c>
      <c r="D76" t="s">
        <v>177</v>
      </c>
      <c r="E76" t="s">
        <v>343</v>
      </c>
      <c r="F76" t="s">
        <v>218</v>
      </c>
    </row>
    <row r="77" spans="1:6" x14ac:dyDescent="0.25">
      <c r="A77" t="s">
        <v>12</v>
      </c>
      <c r="B77" t="s">
        <v>344</v>
      </c>
      <c r="C77" t="s">
        <v>345</v>
      </c>
      <c r="D77" t="s">
        <v>144</v>
      </c>
      <c r="E77" t="s">
        <v>346</v>
      </c>
      <c r="F77" t="s">
        <v>275</v>
      </c>
    </row>
    <row r="78" spans="1:6" x14ac:dyDescent="0.25">
      <c r="A78" t="s">
        <v>48</v>
      </c>
      <c r="B78" t="s">
        <v>347</v>
      </c>
      <c r="C78" t="s">
        <v>348</v>
      </c>
      <c r="D78" t="s">
        <v>132</v>
      </c>
      <c r="E78" t="s">
        <v>268</v>
      </c>
      <c r="F78" t="s">
        <v>218</v>
      </c>
    </row>
    <row r="79" spans="1:6" x14ac:dyDescent="0.25">
      <c r="A79" t="s">
        <v>92</v>
      </c>
      <c r="B79" t="s">
        <v>349</v>
      </c>
      <c r="C79" t="s">
        <v>350</v>
      </c>
      <c r="D79" t="s">
        <v>182</v>
      </c>
      <c r="E79" t="s">
        <v>351</v>
      </c>
      <c r="F79" t="s">
        <v>218</v>
      </c>
    </row>
    <row r="80" spans="1:6" x14ac:dyDescent="0.25">
      <c r="A80" t="s">
        <v>9</v>
      </c>
      <c r="B80" t="s">
        <v>352</v>
      </c>
      <c r="C80" t="s">
        <v>353</v>
      </c>
      <c r="D80" t="s">
        <v>132</v>
      </c>
      <c r="E80" t="s">
        <v>354</v>
      </c>
      <c r="F80" t="s">
        <v>110</v>
      </c>
    </row>
    <row r="81" spans="1:6" x14ac:dyDescent="0.25">
      <c r="A81" t="s">
        <v>31</v>
      </c>
      <c r="B81" t="s">
        <v>355</v>
      </c>
      <c r="C81" t="s">
        <v>356</v>
      </c>
      <c r="D81" t="s">
        <v>113</v>
      </c>
      <c r="E81" t="s">
        <v>114</v>
      </c>
      <c r="F81" t="s">
        <v>115</v>
      </c>
    </row>
    <row r="82" spans="1:6" x14ac:dyDescent="0.25">
      <c r="A82" t="s">
        <v>41</v>
      </c>
      <c r="B82" t="s">
        <v>357</v>
      </c>
      <c r="C82" t="s">
        <v>358</v>
      </c>
      <c r="D82" t="s">
        <v>108</v>
      </c>
      <c r="E82" t="s">
        <v>163</v>
      </c>
      <c r="F82" t="s">
        <v>164</v>
      </c>
    </row>
    <row r="83" spans="1:6" x14ac:dyDescent="0.25">
      <c r="A83" t="s">
        <v>89</v>
      </c>
      <c r="B83" t="s">
        <v>359</v>
      </c>
      <c r="C83" t="s">
        <v>360</v>
      </c>
      <c r="D83" t="s">
        <v>162</v>
      </c>
      <c r="E83" t="s">
        <v>361</v>
      </c>
      <c r="F83" t="s">
        <v>218</v>
      </c>
    </row>
    <row r="84" spans="1:6" x14ac:dyDescent="0.25">
      <c r="A84" t="s">
        <v>69</v>
      </c>
      <c r="B84" t="s">
        <v>362</v>
      </c>
      <c r="C84" t="s">
        <v>363</v>
      </c>
      <c r="D84" t="s">
        <v>177</v>
      </c>
      <c r="E84" t="s">
        <v>364</v>
      </c>
      <c r="F84" t="s">
        <v>338</v>
      </c>
    </row>
    <row r="85" spans="1:6" x14ac:dyDescent="0.25">
      <c r="A85" t="s">
        <v>11</v>
      </c>
      <c r="B85" t="s">
        <v>365</v>
      </c>
      <c r="C85" t="s">
        <v>366</v>
      </c>
      <c r="D85" t="s">
        <v>151</v>
      </c>
      <c r="E85" t="s">
        <v>367</v>
      </c>
      <c r="F85" t="s">
        <v>134</v>
      </c>
    </row>
    <row r="86" spans="1:6" x14ac:dyDescent="0.25">
      <c r="A86" t="s">
        <v>8</v>
      </c>
      <c r="B86" t="s">
        <v>368</v>
      </c>
      <c r="C86" t="s">
        <v>369</v>
      </c>
      <c r="D86" t="s">
        <v>144</v>
      </c>
      <c r="E86" t="s">
        <v>370</v>
      </c>
      <c r="F86" t="s">
        <v>134</v>
      </c>
    </row>
    <row r="87" spans="1:6" x14ac:dyDescent="0.25">
      <c r="A87" t="s">
        <v>43</v>
      </c>
      <c r="B87" t="s">
        <v>371</v>
      </c>
      <c r="C87" t="s">
        <v>372</v>
      </c>
      <c r="D87" t="s">
        <v>108</v>
      </c>
      <c r="E87" t="s">
        <v>373</v>
      </c>
      <c r="F87" t="s">
        <v>110</v>
      </c>
    </row>
    <row r="88" spans="1:6" x14ac:dyDescent="0.25">
      <c r="A88" t="s">
        <v>24</v>
      </c>
      <c r="B88" t="s">
        <v>374</v>
      </c>
      <c r="C88" t="s">
        <v>375</v>
      </c>
      <c r="D88" t="s">
        <v>144</v>
      </c>
      <c r="E88" t="s">
        <v>376</v>
      </c>
      <c r="F88" t="s">
        <v>377</v>
      </c>
    </row>
    <row r="89" spans="1:6" x14ac:dyDescent="0.25">
      <c r="A89" t="s">
        <v>15</v>
      </c>
      <c r="B89" t="s">
        <v>378</v>
      </c>
      <c r="C89" t="s">
        <v>379</v>
      </c>
      <c r="D89" t="s">
        <v>177</v>
      </c>
      <c r="E89" t="s">
        <v>380</v>
      </c>
      <c r="F89" t="s">
        <v>164</v>
      </c>
    </row>
    <row r="90" spans="1:6" x14ac:dyDescent="0.25">
      <c r="A90" t="s">
        <v>27</v>
      </c>
      <c r="B90" t="s">
        <v>381</v>
      </c>
      <c r="C90" t="s">
        <v>382</v>
      </c>
      <c r="D90" t="s">
        <v>113</v>
      </c>
      <c r="E90" t="s">
        <v>383</v>
      </c>
      <c r="F90" t="s">
        <v>218</v>
      </c>
    </row>
    <row r="91" spans="1:6" x14ac:dyDescent="0.25">
      <c r="A91" t="s">
        <v>91</v>
      </c>
      <c r="B91" t="s">
        <v>384</v>
      </c>
      <c r="C91" t="s">
        <v>385</v>
      </c>
      <c r="D91" t="s">
        <v>386</v>
      </c>
      <c r="E91" t="s">
        <v>387</v>
      </c>
      <c r="F91" t="s">
        <v>377</v>
      </c>
    </row>
    <row r="92" spans="1:6" x14ac:dyDescent="0.25">
      <c r="A92" t="s">
        <v>71</v>
      </c>
      <c r="B92" t="s">
        <v>388</v>
      </c>
      <c r="C92" t="s">
        <v>389</v>
      </c>
      <c r="D92" t="s">
        <v>113</v>
      </c>
      <c r="E92" t="s">
        <v>390</v>
      </c>
      <c r="F92" t="s">
        <v>391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
  <sheetViews>
    <sheetView workbookViewId="0">
      <selection activeCell="B2" sqref="B2:B11"/>
    </sheetView>
  </sheetViews>
  <sheetFormatPr defaultRowHeight="15" x14ac:dyDescent="0.25"/>
  <cols>
    <col min="1" max="1" width="9.7109375" bestFit="1" customWidth="1"/>
    <col min="2" max="2" width="31.85546875" bestFit="1" customWidth="1"/>
    <col min="3" max="3" width="19" bestFit="1" customWidth="1"/>
    <col min="4" max="4" width="9" bestFit="1" customWidth="1"/>
    <col min="5" max="5" width="12.5703125" bestFit="1" customWidth="1"/>
    <col min="6" max="6" width="10.42578125" bestFit="1" customWidth="1"/>
  </cols>
  <sheetData>
    <row r="1" spans="1:6" x14ac:dyDescent="0.25">
      <c r="A1" t="s">
        <v>97</v>
      </c>
      <c r="B1" t="s">
        <v>392</v>
      </c>
      <c r="C1" t="s">
        <v>393</v>
      </c>
      <c r="D1" t="s">
        <v>98</v>
      </c>
      <c r="E1" t="s">
        <v>394</v>
      </c>
      <c r="F1" t="s">
        <v>395</v>
      </c>
    </row>
    <row r="2" spans="1:6" x14ac:dyDescent="0.25">
      <c r="A2">
        <v>1</v>
      </c>
      <c r="B2" t="s">
        <v>396</v>
      </c>
      <c r="C2" t="s">
        <v>397</v>
      </c>
      <c r="D2">
        <v>18</v>
      </c>
      <c r="E2">
        <v>0</v>
      </c>
      <c r="F2">
        <v>1</v>
      </c>
    </row>
    <row r="3" spans="1:6" x14ac:dyDescent="0.25">
      <c r="A3">
        <v>2</v>
      </c>
      <c r="B3" t="s">
        <v>398</v>
      </c>
      <c r="C3" t="s">
        <v>399</v>
      </c>
      <c r="D3">
        <v>19</v>
      </c>
      <c r="E3">
        <v>0</v>
      </c>
      <c r="F3">
        <v>1</v>
      </c>
    </row>
    <row r="4" spans="1:6" x14ac:dyDescent="0.25">
      <c r="A4">
        <v>3</v>
      </c>
      <c r="B4" t="s">
        <v>400</v>
      </c>
      <c r="C4" t="s">
        <v>401</v>
      </c>
      <c r="D4">
        <v>10</v>
      </c>
      <c r="E4">
        <v>0</v>
      </c>
      <c r="F4">
        <v>2</v>
      </c>
    </row>
    <row r="5" spans="1:6" x14ac:dyDescent="0.25">
      <c r="A5">
        <v>4</v>
      </c>
      <c r="B5" t="s">
        <v>402</v>
      </c>
      <c r="C5" t="s">
        <v>403</v>
      </c>
      <c r="D5">
        <v>22</v>
      </c>
      <c r="E5">
        <v>0</v>
      </c>
      <c r="F5">
        <v>2</v>
      </c>
    </row>
    <row r="6" spans="1:6" x14ac:dyDescent="0.25">
      <c r="A6">
        <v>5</v>
      </c>
      <c r="B6" t="s">
        <v>404</v>
      </c>
      <c r="C6" t="s">
        <v>405</v>
      </c>
      <c r="D6">
        <v>21.35</v>
      </c>
      <c r="E6">
        <v>1</v>
      </c>
      <c r="F6">
        <v>2</v>
      </c>
    </row>
    <row r="7" spans="1:6" x14ac:dyDescent="0.25">
      <c r="A7">
        <v>6</v>
      </c>
      <c r="B7" t="s">
        <v>406</v>
      </c>
      <c r="C7" t="s">
        <v>407</v>
      </c>
      <c r="D7">
        <v>25</v>
      </c>
      <c r="E7">
        <v>0</v>
      </c>
      <c r="F7">
        <v>2</v>
      </c>
    </row>
    <row r="8" spans="1:6" x14ac:dyDescent="0.25">
      <c r="A8">
        <v>7</v>
      </c>
      <c r="B8" t="s">
        <v>408</v>
      </c>
      <c r="C8" t="s">
        <v>409</v>
      </c>
      <c r="D8">
        <v>30</v>
      </c>
      <c r="E8">
        <v>0</v>
      </c>
      <c r="F8">
        <v>7</v>
      </c>
    </row>
    <row r="9" spans="1:6" x14ac:dyDescent="0.25">
      <c r="A9">
        <v>8</v>
      </c>
      <c r="B9" t="s">
        <v>410</v>
      </c>
      <c r="C9" t="s">
        <v>411</v>
      </c>
      <c r="D9">
        <v>40</v>
      </c>
      <c r="E9">
        <v>0</v>
      </c>
      <c r="F9">
        <v>2</v>
      </c>
    </row>
    <row r="10" spans="1:6" x14ac:dyDescent="0.25">
      <c r="A10">
        <v>9</v>
      </c>
      <c r="B10" t="s">
        <v>412</v>
      </c>
      <c r="C10" t="s">
        <v>413</v>
      </c>
      <c r="D10">
        <v>97</v>
      </c>
      <c r="E10">
        <v>1</v>
      </c>
      <c r="F10">
        <v>6</v>
      </c>
    </row>
    <row r="11" spans="1:6" x14ac:dyDescent="0.25">
      <c r="A11">
        <v>10</v>
      </c>
      <c r="B11" t="s">
        <v>414</v>
      </c>
      <c r="C11" t="s">
        <v>415</v>
      </c>
      <c r="D11">
        <v>31</v>
      </c>
      <c r="E11">
        <v>0</v>
      </c>
      <c r="F11">
        <v>8</v>
      </c>
    </row>
    <row r="12" spans="1:6" x14ac:dyDescent="0.25">
      <c r="A12">
        <v>11</v>
      </c>
      <c r="B12" t="s">
        <v>416</v>
      </c>
      <c r="C12" t="s">
        <v>417</v>
      </c>
      <c r="D12">
        <v>21</v>
      </c>
      <c r="E12">
        <v>0</v>
      </c>
      <c r="F12">
        <v>4</v>
      </c>
    </row>
    <row r="13" spans="1:6" x14ac:dyDescent="0.25">
      <c r="A13">
        <v>12</v>
      </c>
      <c r="B13" t="s">
        <v>418</v>
      </c>
      <c r="C13" t="s">
        <v>419</v>
      </c>
      <c r="D13">
        <v>38</v>
      </c>
      <c r="E13">
        <v>0</v>
      </c>
      <c r="F13">
        <v>4</v>
      </c>
    </row>
    <row r="14" spans="1:6" x14ac:dyDescent="0.25">
      <c r="A14">
        <v>13</v>
      </c>
      <c r="B14" t="s">
        <v>420</v>
      </c>
      <c r="C14" t="s">
        <v>421</v>
      </c>
      <c r="D14">
        <v>6</v>
      </c>
      <c r="E14">
        <v>0</v>
      </c>
      <c r="F14">
        <v>8</v>
      </c>
    </row>
    <row r="15" spans="1:6" x14ac:dyDescent="0.25">
      <c r="A15">
        <v>14</v>
      </c>
      <c r="B15" t="s">
        <v>422</v>
      </c>
      <c r="C15" t="s">
        <v>423</v>
      </c>
      <c r="D15">
        <v>23.25</v>
      </c>
      <c r="E15">
        <v>0</v>
      </c>
      <c r="F15">
        <v>7</v>
      </c>
    </row>
    <row r="16" spans="1:6" x14ac:dyDescent="0.25">
      <c r="A16">
        <v>15</v>
      </c>
      <c r="B16" t="s">
        <v>424</v>
      </c>
      <c r="C16" t="s">
        <v>425</v>
      </c>
      <c r="D16">
        <v>15.5</v>
      </c>
      <c r="E16">
        <v>0</v>
      </c>
      <c r="F16">
        <v>2</v>
      </c>
    </row>
    <row r="17" spans="1:6" x14ac:dyDescent="0.25">
      <c r="A17">
        <v>16</v>
      </c>
      <c r="B17" t="s">
        <v>426</v>
      </c>
      <c r="C17" t="s">
        <v>427</v>
      </c>
      <c r="D17">
        <v>17.45</v>
      </c>
      <c r="E17">
        <v>0</v>
      </c>
      <c r="F17">
        <v>3</v>
      </c>
    </row>
    <row r="18" spans="1:6" x14ac:dyDescent="0.25">
      <c r="A18">
        <v>17</v>
      </c>
      <c r="B18" t="s">
        <v>428</v>
      </c>
      <c r="C18" t="s">
        <v>429</v>
      </c>
      <c r="D18">
        <v>39</v>
      </c>
      <c r="E18">
        <v>1</v>
      </c>
      <c r="F18">
        <v>6</v>
      </c>
    </row>
    <row r="19" spans="1:6" x14ac:dyDescent="0.25">
      <c r="A19">
        <v>18</v>
      </c>
      <c r="B19" t="s">
        <v>430</v>
      </c>
      <c r="C19" t="s">
        <v>431</v>
      </c>
      <c r="D19">
        <v>62.5</v>
      </c>
      <c r="E19">
        <v>0</v>
      </c>
      <c r="F19">
        <v>8</v>
      </c>
    </row>
    <row r="20" spans="1:6" x14ac:dyDescent="0.25">
      <c r="A20">
        <v>19</v>
      </c>
      <c r="B20" t="s">
        <v>432</v>
      </c>
      <c r="C20" t="s">
        <v>433</v>
      </c>
      <c r="D20">
        <v>9.1999999999999993</v>
      </c>
      <c r="E20">
        <v>0</v>
      </c>
      <c r="F20">
        <v>3</v>
      </c>
    </row>
    <row r="21" spans="1:6" x14ac:dyDescent="0.25">
      <c r="A21">
        <v>20</v>
      </c>
      <c r="B21" t="s">
        <v>434</v>
      </c>
      <c r="C21" t="s">
        <v>435</v>
      </c>
      <c r="D21">
        <v>81</v>
      </c>
      <c r="E21">
        <v>0</v>
      </c>
      <c r="F21">
        <v>3</v>
      </c>
    </row>
    <row r="22" spans="1:6" x14ac:dyDescent="0.25">
      <c r="A22">
        <v>21</v>
      </c>
      <c r="B22" t="s">
        <v>436</v>
      </c>
      <c r="C22" t="s">
        <v>437</v>
      </c>
      <c r="D22">
        <v>10</v>
      </c>
      <c r="E22">
        <v>0</v>
      </c>
      <c r="F22">
        <v>3</v>
      </c>
    </row>
    <row r="23" spans="1:6" x14ac:dyDescent="0.25">
      <c r="A23">
        <v>22</v>
      </c>
      <c r="B23" t="s">
        <v>438</v>
      </c>
      <c r="C23" t="s">
        <v>439</v>
      </c>
      <c r="D23">
        <v>21</v>
      </c>
      <c r="E23">
        <v>0</v>
      </c>
      <c r="F23">
        <v>5</v>
      </c>
    </row>
    <row r="24" spans="1:6" x14ac:dyDescent="0.25">
      <c r="A24">
        <v>23</v>
      </c>
      <c r="B24" t="s">
        <v>440</v>
      </c>
      <c r="C24" t="s">
        <v>441</v>
      </c>
      <c r="D24">
        <v>9</v>
      </c>
      <c r="E24">
        <v>0</v>
      </c>
      <c r="F24">
        <v>5</v>
      </c>
    </row>
    <row r="25" spans="1:6" x14ac:dyDescent="0.25">
      <c r="A25">
        <v>24</v>
      </c>
      <c r="B25" t="s">
        <v>442</v>
      </c>
      <c r="C25" t="s">
        <v>443</v>
      </c>
      <c r="D25">
        <v>4.5</v>
      </c>
      <c r="E25">
        <v>1</v>
      </c>
      <c r="F25">
        <v>1</v>
      </c>
    </row>
    <row r="26" spans="1:6" x14ac:dyDescent="0.25">
      <c r="A26">
        <v>25</v>
      </c>
      <c r="B26" t="s">
        <v>444</v>
      </c>
      <c r="C26" t="s">
        <v>445</v>
      </c>
      <c r="D26">
        <v>14</v>
      </c>
      <c r="E26">
        <v>0</v>
      </c>
      <c r="F26">
        <v>3</v>
      </c>
    </row>
    <row r="27" spans="1:6" x14ac:dyDescent="0.25">
      <c r="A27">
        <v>26</v>
      </c>
      <c r="B27" t="s">
        <v>446</v>
      </c>
      <c r="C27" t="s">
        <v>447</v>
      </c>
      <c r="D27">
        <v>31.23</v>
      </c>
      <c r="E27">
        <v>0</v>
      </c>
      <c r="F27">
        <v>3</v>
      </c>
    </row>
    <row r="28" spans="1:6" x14ac:dyDescent="0.25">
      <c r="A28">
        <v>27</v>
      </c>
      <c r="B28" t="s">
        <v>448</v>
      </c>
      <c r="C28" t="s">
        <v>449</v>
      </c>
      <c r="D28">
        <v>43.9</v>
      </c>
      <c r="E28">
        <v>0</v>
      </c>
      <c r="F28">
        <v>3</v>
      </c>
    </row>
    <row r="29" spans="1:6" x14ac:dyDescent="0.25">
      <c r="A29">
        <v>28</v>
      </c>
      <c r="B29" t="s">
        <v>450</v>
      </c>
      <c r="C29" t="s">
        <v>451</v>
      </c>
      <c r="D29">
        <v>45.6</v>
      </c>
      <c r="E29">
        <v>1</v>
      </c>
      <c r="F29">
        <v>7</v>
      </c>
    </row>
    <row r="30" spans="1:6" x14ac:dyDescent="0.25">
      <c r="A30">
        <v>29</v>
      </c>
      <c r="B30" t="s">
        <v>452</v>
      </c>
      <c r="C30" t="s">
        <v>453</v>
      </c>
      <c r="D30">
        <v>123.79</v>
      </c>
      <c r="E30">
        <v>1</v>
      </c>
      <c r="F30">
        <v>6</v>
      </c>
    </row>
    <row r="31" spans="1:6" x14ac:dyDescent="0.25">
      <c r="A31">
        <v>30</v>
      </c>
      <c r="B31" t="s">
        <v>454</v>
      </c>
      <c r="C31" t="s">
        <v>455</v>
      </c>
      <c r="D31">
        <v>25.89</v>
      </c>
      <c r="E31">
        <v>0</v>
      </c>
      <c r="F31">
        <v>8</v>
      </c>
    </row>
    <row r="32" spans="1:6" x14ac:dyDescent="0.25">
      <c r="A32">
        <v>31</v>
      </c>
      <c r="B32" t="s">
        <v>456</v>
      </c>
      <c r="C32" t="s">
        <v>457</v>
      </c>
      <c r="D32">
        <v>12.5</v>
      </c>
      <c r="E32">
        <v>0</v>
      </c>
      <c r="F32">
        <v>4</v>
      </c>
    </row>
    <row r="33" spans="1:6" x14ac:dyDescent="0.25">
      <c r="A33">
        <v>32</v>
      </c>
      <c r="B33" t="s">
        <v>458</v>
      </c>
      <c r="C33" t="s">
        <v>459</v>
      </c>
      <c r="D33">
        <v>32</v>
      </c>
      <c r="E33">
        <v>0</v>
      </c>
      <c r="F33">
        <v>4</v>
      </c>
    </row>
    <row r="34" spans="1:6" x14ac:dyDescent="0.25">
      <c r="A34">
        <v>33</v>
      </c>
      <c r="B34" t="s">
        <v>460</v>
      </c>
      <c r="C34" t="s">
        <v>461</v>
      </c>
      <c r="D34">
        <v>2.5</v>
      </c>
      <c r="E34">
        <v>0</v>
      </c>
      <c r="F34">
        <v>4</v>
      </c>
    </row>
    <row r="35" spans="1:6" x14ac:dyDescent="0.25">
      <c r="A35">
        <v>34</v>
      </c>
      <c r="B35" t="s">
        <v>462</v>
      </c>
      <c r="C35" t="s">
        <v>399</v>
      </c>
      <c r="D35">
        <v>14</v>
      </c>
      <c r="E35">
        <v>0</v>
      </c>
      <c r="F35">
        <v>1</v>
      </c>
    </row>
    <row r="36" spans="1:6" x14ac:dyDescent="0.25">
      <c r="A36">
        <v>35</v>
      </c>
      <c r="B36" t="s">
        <v>463</v>
      </c>
      <c r="C36" t="s">
        <v>399</v>
      </c>
      <c r="D36">
        <v>18</v>
      </c>
      <c r="E36">
        <v>0</v>
      </c>
      <c r="F36">
        <v>1</v>
      </c>
    </row>
    <row r="37" spans="1:6" x14ac:dyDescent="0.25">
      <c r="A37">
        <v>36</v>
      </c>
      <c r="B37" t="s">
        <v>464</v>
      </c>
      <c r="C37" t="s">
        <v>465</v>
      </c>
      <c r="D37">
        <v>19</v>
      </c>
      <c r="E37">
        <v>0</v>
      </c>
      <c r="F37">
        <v>8</v>
      </c>
    </row>
    <row r="38" spans="1:6" x14ac:dyDescent="0.25">
      <c r="A38">
        <v>37</v>
      </c>
      <c r="B38" t="s">
        <v>466</v>
      </c>
      <c r="C38" t="s">
        <v>467</v>
      </c>
      <c r="D38">
        <v>26</v>
      </c>
      <c r="E38">
        <v>0</v>
      </c>
      <c r="F38">
        <v>8</v>
      </c>
    </row>
    <row r="39" spans="1:6" x14ac:dyDescent="0.25">
      <c r="A39">
        <v>38</v>
      </c>
      <c r="B39" t="s">
        <v>468</v>
      </c>
      <c r="C39" t="s">
        <v>469</v>
      </c>
      <c r="D39">
        <v>263.5</v>
      </c>
      <c r="E39">
        <v>0</v>
      </c>
      <c r="F39">
        <v>1</v>
      </c>
    </row>
    <row r="40" spans="1:6" x14ac:dyDescent="0.25">
      <c r="A40">
        <v>39</v>
      </c>
      <c r="B40" t="s">
        <v>470</v>
      </c>
      <c r="C40" t="s">
        <v>471</v>
      </c>
      <c r="D40">
        <v>18</v>
      </c>
      <c r="E40">
        <v>0</v>
      </c>
      <c r="F40">
        <v>1</v>
      </c>
    </row>
    <row r="41" spans="1:6" x14ac:dyDescent="0.25">
      <c r="A41">
        <v>40</v>
      </c>
      <c r="B41" t="s">
        <v>472</v>
      </c>
      <c r="C41" t="s">
        <v>473</v>
      </c>
      <c r="D41">
        <v>18.399999999999999</v>
      </c>
      <c r="E41">
        <v>0</v>
      </c>
      <c r="F41">
        <v>8</v>
      </c>
    </row>
    <row r="42" spans="1:6" x14ac:dyDescent="0.25">
      <c r="A42">
        <v>41</v>
      </c>
      <c r="B42" t="s">
        <v>474</v>
      </c>
      <c r="C42" t="s">
        <v>475</v>
      </c>
      <c r="D42">
        <v>9.65</v>
      </c>
      <c r="E42">
        <v>0</v>
      </c>
      <c r="F42">
        <v>8</v>
      </c>
    </row>
    <row r="43" spans="1:6" x14ac:dyDescent="0.25">
      <c r="A43">
        <v>42</v>
      </c>
      <c r="B43" t="s">
        <v>476</v>
      </c>
      <c r="C43" t="s">
        <v>477</v>
      </c>
      <c r="D43">
        <v>14</v>
      </c>
      <c r="E43">
        <v>1</v>
      </c>
      <c r="F43">
        <v>5</v>
      </c>
    </row>
    <row r="44" spans="1:6" x14ac:dyDescent="0.25">
      <c r="A44">
        <v>43</v>
      </c>
      <c r="B44" t="s">
        <v>478</v>
      </c>
      <c r="C44" t="s">
        <v>479</v>
      </c>
      <c r="D44">
        <v>46</v>
      </c>
      <c r="E44">
        <v>0</v>
      </c>
      <c r="F44">
        <v>1</v>
      </c>
    </row>
    <row r="45" spans="1:6" x14ac:dyDescent="0.25">
      <c r="A45">
        <v>44</v>
      </c>
      <c r="B45" t="s">
        <v>480</v>
      </c>
      <c r="C45" t="s">
        <v>481</v>
      </c>
      <c r="D45">
        <v>19.45</v>
      </c>
      <c r="E45">
        <v>0</v>
      </c>
      <c r="F45">
        <v>2</v>
      </c>
    </row>
    <row r="46" spans="1:6" x14ac:dyDescent="0.25">
      <c r="A46">
        <v>45</v>
      </c>
      <c r="B46" t="s">
        <v>482</v>
      </c>
      <c r="C46" t="s">
        <v>483</v>
      </c>
      <c r="D46">
        <v>9.5</v>
      </c>
      <c r="E46">
        <v>0</v>
      </c>
      <c r="F46">
        <v>8</v>
      </c>
    </row>
    <row r="47" spans="1:6" x14ac:dyDescent="0.25">
      <c r="A47">
        <v>46</v>
      </c>
      <c r="B47" t="s">
        <v>484</v>
      </c>
      <c r="C47" t="s">
        <v>485</v>
      </c>
      <c r="D47">
        <v>12</v>
      </c>
      <c r="E47">
        <v>0</v>
      </c>
      <c r="F47">
        <v>8</v>
      </c>
    </row>
    <row r="48" spans="1:6" x14ac:dyDescent="0.25">
      <c r="A48">
        <v>47</v>
      </c>
      <c r="B48" t="s">
        <v>486</v>
      </c>
      <c r="C48" t="s">
        <v>487</v>
      </c>
      <c r="D48">
        <v>9.5</v>
      </c>
      <c r="E48">
        <v>0</v>
      </c>
      <c r="F48">
        <v>3</v>
      </c>
    </row>
    <row r="49" spans="1:6" x14ac:dyDescent="0.25">
      <c r="A49">
        <v>48</v>
      </c>
      <c r="B49" t="s">
        <v>488</v>
      </c>
      <c r="C49" t="s">
        <v>489</v>
      </c>
      <c r="D49">
        <v>12.75</v>
      </c>
      <c r="E49">
        <v>0</v>
      </c>
      <c r="F49">
        <v>3</v>
      </c>
    </row>
    <row r="50" spans="1:6" x14ac:dyDescent="0.25">
      <c r="A50">
        <v>49</v>
      </c>
      <c r="B50" t="s">
        <v>490</v>
      </c>
      <c r="C50" t="s">
        <v>491</v>
      </c>
      <c r="D50">
        <v>20</v>
      </c>
      <c r="E50">
        <v>0</v>
      </c>
      <c r="F50">
        <v>3</v>
      </c>
    </row>
    <row r="51" spans="1:6" x14ac:dyDescent="0.25">
      <c r="A51">
        <v>50</v>
      </c>
      <c r="B51" t="s">
        <v>492</v>
      </c>
      <c r="C51" t="s">
        <v>493</v>
      </c>
      <c r="D51">
        <v>16.25</v>
      </c>
      <c r="E51">
        <v>0</v>
      </c>
      <c r="F51">
        <v>3</v>
      </c>
    </row>
    <row r="52" spans="1:6" x14ac:dyDescent="0.25">
      <c r="A52">
        <v>51</v>
      </c>
      <c r="B52" t="s">
        <v>494</v>
      </c>
      <c r="C52" t="s">
        <v>495</v>
      </c>
      <c r="D52">
        <v>53</v>
      </c>
      <c r="E52">
        <v>0</v>
      </c>
      <c r="F52">
        <v>7</v>
      </c>
    </row>
    <row r="53" spans="1:6" x14ac:dyDescent="0.25">
      <c r="A53">
        <v>52</v>
      </c>
      <c r="B53" t="s">
        <v>496</v>
      </c>
      <c r="C53" t="s">
        <v>497</v>
      </c>
      <c r="D53">
        <v>7</v>
      </c>
      <c r="E53">
        <v>0</v>
      </c>
      <c r="F53">
        <v>5</v>
      </c>
    </row>
    <row r="54" spans="1:6" x14ac:dyDescent="0.25">
      <c r="A54">
        <v>53</v>
      </c>
      <c r="B54" t="s">
        <v>498</v>
      </c>
      <c r="C54" t="s">
        <v>499</v>
      </c>
      <c r="D54">
        <v>32.799999999999997</v>
      </c>
      <c r="E54">
        <v>1</v>
      </c>
      <c r="F54">
        <v>6</v>
      </c>
    </row>
    <row r="55" spans="1:6" x14ac:dyDescent="0.25">
      <c r="A55">
        <v>54</v>
      </c>
      <c r="B55" t="s">
        <v>500</v>
      </c>
      <c r="C55" t="s">
        <v>501</v>
      </c>
      <c r="D55">
        <v>7.45</v>
      </c>
      <c r="E55">
        <v>0</v>
      </c>
      <c r="F55">
        <v>6</v>
      </c>
    </row>
    <row r="56" spans="1:6" x14ac:dyDescent="0.25">
      <c r="A56">
        <v>55</v>
      </c>
      <c r="B56" t="s">
        <v>502</v>
      </c>
      <c r="C56" t="s">
        <v>503</v>
      </c>
      <c r="D56">
        <v>24</v>
      </c>
      <c r="E56">
        <v>0</v>
      </c>
      <c r="F56">
        <v>6</v>
      </c>
    </row>
    <row r="57" spans="1:6" x14ac:dyDescent="0.25">
      <c r="A57">
        <v>56</v>
      </c>
      <c r="B57" t="s">
        <v>504</v>
      </c>
      <c r="C57" t="s">
        <v>505</v>
      </c>
      <c r="D57">
        <v>38</v>
      </c>
      <c r="E57">
        <v>0</v>
      </c>
      <c r="F57">
        <v>5</v>
      </c>
    </row>
    <row r="58" spans="1:6" x14ac:dyDescent="0.25">
      <c r="A58">
        <v>57</v>
      </c>
      <c r="B58" t="s">
        <v>506</v>
      </c>
      <c r="C58" t="s">
        <v>505</v>
      </c>
      <c r="D58">
        <v>19.5</v>
      </c>
      <c r="E58">
        <v>0</v>
      </c>
      <c r="F58">
        <v>5</v>
      </c>
    </row>
    <row r="59" spans="1:6" x14ac:dyDescent="0.25">
      <c r="A59">
        <v>58</v>
      </c>
      <c r="B59" t="s">
        <v>507</v>
      </c>
      <c r="C59" t="s">
        <v>508</v>
      </c>
      <c r="D59">
        <v>13.25</v>
      </c>
      <c r="E59">
        <v>0</v>
      </c>
      <c r="F59">
        <v>8</v>
      </c>
    </row>
    <row r="60" spans="1:6" x14ac:dyDescent="0.25">
      <c r="A60">
        <v>59</v>
      </c>
      <c r="B60" t="s">
        <v>509</v>
      </c>
      <c r="C60" t="s">
        <v>510</v>
      </c>
      <c r="D60">
        <v>55</v>
      </c>
      <c r="E60">
        <v>0</v>
      </c>
      <c r="F60">
        <v>4</v>
      </c>
    </row>
    <row r="61" spans="1:6" x14ac:dyDescent="0.25">
      <c r="A61">
        <v>60</v>
      </c>
      <c r="B61" t="s">
        <v>511</v>
      </c>
      <c r="C61" t="s">
        <v>512</v>
      </c>
      <c r="D61">
        <v>34</v>
      </c>
      <c r="E61">
        <v>0</v>
      </c>
      <c r="F61">
        <v>4</v>
      </c>
    </row>
    <row r="62" spans="1:6" x14ac:dyDescent="0.25">
      <c r="A62">
        <v>61</v>
      </c>
      <c r="B62" t="s">
        <v>513</v>
      </c>
      <c r="C62" t="s">
        <v>514</v>
      </c>
      <c r="D62">
        <v>28.5</v>
      </c>
      <c r="E62">
        <v>0</v>
      </c>
      <c r="F62">
        <v>2</v>
      </c>
    </row>
    <row r="63" spans="1:6" x14ac:dyDescent="0.25">
      <c r="A63">
        <v>62</v>
      </c>
      <c r="B63" t="s">
        <v>515</v>
      </c>
      <c r="C63" t="s">
        <v>516</v>
      </c>
      <c r="D63">
        <v>49.3</v>
      </c>
      <c r="E63">
        <v>0</v>
      </c>
      <c r="F63">
        <v>3</v>
      </c>
    </row>
    <row r="64" spans="1:6" x14ac:dyDescent="0.25">
      <c r="A64">
        <v>63</v>
      </c>
      <c r="B64" t="s">
        <v>517</v>
      </c>
      <c r="C64" t="s">
        <v>518</v>
      </c>
      <c r="D64">
        <v>43.9</v>
      </c>
      <c r="E64">
        <v>0</v>
      </c>
      <c r="F64">
        <v>2</v>
      </c>
    </row>
    <row r="65" spans="1:6" x14ac:dyDescent="0.25">
      <c r="A65">
        <v>64</v>
      </c>
      <c r="B65" t="s">
        <v>519</v>
      </c>
      <c r="C65" t="s">
        <v>520</v>
      </c>
      <c r="D65">
        <v>33.25</v>
      </c>
      <c r="E65">
        <v>0</v>
      </c>
      <c r="F65">
        <v>5</v>
      </c>
    </row>
    <row r="66" spans="1:6" x14ac:dyDescent="0.25">
      <c r="A66">
        <v>65</v>
      </c>
      <c r="B66" t="s">
        <v>521</v>
      </c>
      <c r="C66" t="s">
        <v>522</v>
      </c>
      <c r="D66">
        <v>21.05</v>
      </c>
      <c r="E66">
        <v>0</v>
      </c>
      <c r="F66">
        <v>2</v>
      </c>
    </row>
    <row r="67" spans="1:6" x14ac:dyDescent="0.25">
      <c r="A67">
        <v>66</v>
      </c>
      <c r="B67" t="s">
        <v>523</v>
      </c>
      <c r="C67" t="s">
        <v>524</v>
      </c>
      <c r="D67">
        <v>17</v>
      </c>
      <c r="E67">
        <v>0</v>
      </c>
      <c r="F67">
        <v>2</v>
      </c>
    </row>
    <row r="68" spans="1:6" x14ac:dyDescent="0.25">
      <c r="A68">
        <v>67</v>
      </c>
      <c r="B68" t="s">
        <v>525</v>
      </c>
      <c r="C68" t="s">
        <v>399</v>
      </c>
      <c r="D68">
        <v>14</v>
      </c>
      <c r="E68">
        <v>0</v>
      </c>
      <c r="F68">
        <v>1</v>
      </c>
    </row>
    <row r="69" spans="1:6" x14ac:dyDescent="0.25">
      <c r="A69">
        <v>68</v>
      </c>
      <c r="B69" t="s">
        <v>526</v>
      </c>
      <c r="C69" t="s">
        <v>527</v>
      </c>
      <c r="D69">
        <v>12.5</v>
      </c>
      <c r="E69">
        <v>0</v>
      </c>
      <c r="F69">
        <v>3</v>
      </c>
    </row>
    <row r="70" spans="1:6" x14ac:dyDescent="0.25">
      <c r="A70">
        <v>69</v>
      </c>
      <c r="B70" t="s">
        <v>528</v>
      </c>
      <c r="C70" t="s">
        <v>529</v>
      </c>
      <c r="D70">
        <v>36</v>
      </c>
      <c r="E70">
        <v>0</v>
      </c>
      <c r="F70">
        <v>4</v>
      </c>
    </row>
    <row r="71" spans="1:6" x14ac:dyDescent="0.25">
      <c r="A71">
        <v>70</v>
      </c>
      <c r="B71" t="s">
        <v>530</v>
      </c>
      <c r="C71" t="s">
        <v>531</v>
      </c>
      <c r="D71">
        <v>15</v>
      </c>
      <c r="E71">
        <v>0</v>
      </c>
      <c r="F71">
        <v>1</v>
      </c>
    </row>
    <row r="72" spans="1:6" x14ac:dyDescent="0.25">
      <c r="A72">
        <v>71</v>
      </c>
      <c r="B72" t="s">
        <v>532</v>
      </c>
      <c r="C72" t="s">
        <v>419</v>
      </c>
      <c r="D72">
        <v>21.5</v>
      </c>
      <c r="E72">
        <v>0</v>
      </c>
      <c r="F72">
        <v>4</v>
      </c>
    </row>
    <row r="73" spans="1:6" x14ac:dyDescent="0.25">
      <c r="A73">
        <v>72</v>
      </c>
      <c r="B73" t="s">
        <v>533</v>
      </c>
      <c r="C73" t="s">
        <v>459</v>
      </c>
      <c r="D73">
        <v>34.799999999999997</v>
      </c>
      <c r="E73">
        <v>0</v>
      </c>
      <c r="F73">
        <v>4</v>
      </c>
    </row>
    <row r="74" spans="1:6" x14ac:dyDescent="0.25">
      <c r="A74">
        <v>73</v>
      </c>
      <c r="B74" t="s">
        <v>534</v>
      </c>
      <c r="C74" t="s">
        <v>535</v>
      </c>
      <c r="D74">
        <v>15</v>
      </c>
      <c r="E74">
        <v>0</v>
      </c>
      <c r="F74">
        <v>8</v>
      </c>
    </row>
    <row r="75" spans="1:6" x14ac:dyDescent="0.25">
      <c r="A75">
        <v>74</v>
      </c>
      <c r="B75" t="s">
        <v>536</v>
      </c>
      <c r="C75" t="s">
        <v>510</v>
      </c>
      <c r="D75">
        <v>10</v>
      </c>
      <c r="E75">
        <v>0</v>
      </c>
      <c r="F75">
        <v>7</v>
      </c>
    </row>
    <row r="76" spans="1:6" x14ac:dyDescent="0.25">
      <c r="A76">
        <v>75</v>
      </c>
      <c r="B76" t="s">
        <v>537</v>
      </c>
      <c r="C76" t="s">
        <v>538</v>
      </c>
      <c r="D76">
        <v>7.75</v>
      </c>
      <c r="E76">
        <v>0</v>
      </c>
      <c r="F76">
        <v>1</v>
      </c>
    </row>
    <row r="77" spans="1:6" x14ac:dyDescent="0.25">
      <c r="A77">
        <v>76</v>
      </c>
      <c r="B77" t="s">
        <v>539</v>
      </c>
      <c r="C77" t="s">
        <v>540</v>
      </c>
      <c r="D77">
        <v>18</v>
      </c>
      <c r="E77">
        <v>0</v>
      </c>
      <c r="F77">
        <v>1</v>
      </c>
    </row>
    <row r="78" spans="1:6" x14ac:dyDescent="0.25">
      <c r="A78">
        <v>77</v>
      </c>
      <c r="B78" t="s">
        <v>541</v>
      </c>
      <c r="C78" t="s">
        <v>542</v>
      </c>
      <c r="D78">
        <v>13</v>
      </c>
      <c r="E78">
        <v>0</v>
      </c>
      <c r="F78">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C12" sqref="C12"/>
    </sheetView>
  </sheetViews>
  <sheetFormatPr defaultRowHeight="15" x14ac:dyDescent="0.25"/>
  <cols>
    <col min="1" max="1" width="10.42578125" bestFit="1" customWidth="1"/>
    <col min="2" max="2" width="15.5703125" bestFit="1" customWidth="1"/>
    <col min="3" max="3" width="54.5703125" bestFit="1" customWidth="1"/>
  </cols>
  <sheetData>
    <row r="1" spans="1:3" x14ac:dyDescent="0.25">
      <c r="A1" t="s">
        <v>395</v>
      </c>
      <c r="B1" t="s">
        <v>543</v>
      </c>
      <c r="C1" t="s">
        <v>544</v>
      </c>
    </row>
    <row r="2" spans="1:3" x14ac:dyDescent="0.25">
      <c r="A2">
        <v>1</v>
      </c>
      <c r="B2" t="s">
        <v>545</v>
      </c>
      <c r="C2" t="s">
        <v>546</v>
      </c>
    </row>
    <row r="3" spans="1:3" x14ac:dyDescent="0.25">
      <c r="A3">
        <v>2</v>
      </c>
      <c r="B3" t="s">
        <v>547</v>
      </c>
      <c r="C3" t="s">
        <v>548</v>
      </c>
    </row>
    <row r="4" spans="1:3" x14ac:dyDescent="0.25">
      <c r="A4">
        <v>3</v>
      </c>
      <c r="B4" t="s">
        <v>549</v>
      </c>
      <c r="C4" t="s">
        <v>550</v>
      </c>
    </row>
    <row r="5" spans="1:3" x14ac:dyDescent="0.25">
      <c r="A5">
        <v>4</v>
      </c>
      <c r="B5" t="s">
        <v>551</v>
      </c>
      <c r="C5" t="s">
        <v>552</v>
      </c>
    </row>
    <row r="6" spans="1:3" x14ac:dyDescent="0.25">
      <c r="A6">
        <v>5</v>
      </c>
      <c r="B6" t="s">
        <v>553</v>
      </c>
      <c r="C6" t="s">
        <v>554</v>
      </c>
    </row>
    <row r="7" spans="1:3" x14ac:dyDescent="0.25">
      <c r="A7">
        <v>6</v>
      </c>
      <c r="B7" t="s">
        <v>555</v>
      </c>
      <c r="C7" t="s">
        <v>556</v>
      </c>
    </row>
    <row r="8" spans="1:3" x14ac:dyDescent="0.25">
      <c r="A8">
        <v>7</v>
      </c>
      <c r="B8" t="s">
        <v>557</v>
      </c>
      <c r="C8" t="s">
        <v>558</v>
      </c>
    </row>
    <row r="9" spans="1:3" x14ac:dyDescent="0.25">
      <c r="A9">
        <v>8</v>
      </c>
      <c r="B9" t="s">
        <v>559</v>
      </c>
      <c r="C9" t="s">
        <v>560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heetViews>
  <sheetFormatPr defaultRowHeight="15" x14ac:dyDescent="0.25"/>
  <cols>
    <col min="1" max="1" width="11.85546875" bestFit="1" customWidth="1"/>
    <col min="2" max="2" width="16.7109375" bestFit="1" customWidth="1"/>
    <col min="3" max="3" width="19.85546875" bestFit="1" customWidth="1"/>
    <col min="4" max="4" width="9.42578125" bestFit="1" customWidth="1"/>
    <col min="5" max="5" width="7.7109375" bestFit="1" customWidth="1"/>
    <col min="6" max="6" width="9.5703125" bestFit="1" customWidth="1"/>
  </cols>
  <sheetData>
    <row r="1" spans="1:6" x14ac:dyDescent="0.25">
      <c r="A1" t="s">
        <v>2</v>
      </c>
      <c r="B1" t="s">
        <v>561</v>
      </c>
      <c r="C1" t="s">
        <v>562</v>
      </c>
      <c r="D1" t="s">
        <v>104</v>
      </c>
      <c r="E1" t="s">
        <v>105</v>
      </c>
      <c r="F1" t="s">
        <v>563</v>
      </c>
    </row>
    <row r="2" spans="1:6" x14ac:dyDescent="0.25">
      <c r="A2">
        <v>1</v>
      </c>
      <c r="B2" t="s">
        <v>564</v>
      </c>
      <c r="C2" t="s">
        <v>108</v>
      </c>
      <c r="D2" t="s">
        <v>565</v>
      </c>
      <c r="E2" t="s">
        <v>218</v>
      </c>
      <c r="F2">
        <v>8</v>
      </c>
    </row>
    <row r="3" spans="1:6" x14ac:dyDescent="0.25">
      <c r="A3">
        <v>2</v>
      </c>
      <c r="B3" t="s">
        <v>566</v>
      </c>
      <c r="C3" t="s">
        <v>567</v>
      </c>
      <c r="D3" t="s">
        <v>565</v>
      </c>
      <c r="E3" t="s">
        <v>218</v>
      </c>
    </row>
    <row r="4" spans="1:6" x14ac:dyDescent="0.25">
      <c r="A4">
        <v>3</v>
      </c>
      <c r="B4" t="s">
        <v>568</v>
      </c>
      <c r="C4" t="s">
        <v>108</v>
      </c>
      <c r="D4" t="s">
        <v>565</v>
      </c>
      <c r="E4" t="s">
        <v>218</v>
      </c>
      <c r="F4">
        <v>8</v>
      </c>
    </row>
    <row r="5" spans="1:6" x14ac:dyDescent="0.25">
      <c r="A5">
        <v>4</v>
      </c>
      <c r="B5" t="s">
        <v>569</v>
      </c>
      <c r="C5" t="s">
        <v>108</v>
      </c>
      <c r="D5" t="s">
        <v>565</v>
      </c>
      <c r="E5" t="s">
        <v>218</v>
      </c>
      <c r="F5">
        <v>8</v>
      </c>
    </row>
    <row r="6" spans="1:6" x14ac:dyDescent="0.25">
      <c r="A6">
        <v>5</v>
      </c>
      <c r="B6" t="s">
        <v>570</v>
      </c>
      <c r="C6" t="s">
        <v>177</v>
      </c>
      <c r="D6" t="s">
        <v>120</v>
      </c>
      <c r="E6" t="s">
        <v>121</v>
      </c>
      <c r="F6">
        <v>2</v>
      </c>
    </row>
    <row r="7" spans="1:6" x14ac:dyDescent="0.25">
      <c r="A7">
        <v>6</v>
      </c>
      <c r="B7" t="s">
        <v>571</v>
      </c>
      <c r="C7" t="s">
        <v>108</v>
      </c>
      <c r="D7" t="s">
        <v>120</v>
      </c>
      <c r="E7" t="s">
        <v>121</v>
      </c>
      <c r="F7">
        <v>5</v>
      </c>
    </row>
    <row r="8" spans="1:6" x14ac:dyDescent="0.25">
      <c r="A8">
        <v>7</v>
      </c>
      <c r="B8" t="s">
        <v>572</v>
      </c>
      <c r="C8" t="s">
        <v>108</v>
      </c>
      <c r="D8" t="s">
        <v>120</v>
      </c>
      <c r="E8" t="s">
        <v>121</v>
      </c>
      <c r="F8">
        <v>5</v>
      </c>
    </row>
    <row r="9" spans="1:6" x14ac:dyDescent="0.25">
      <c r="A9">
        <v>8</v>
      </c>
      <c r="B9" t="s">
        <v>573</v>
      </c>
      <c r="C9" t="s">
        <v>177</v>
      </c>
      <c r="D9" t="s">
        <v>565</v>
      </c>
      <c r="E9" t="s">
        <v>218</v>
      </c>
      <c r="F9">
        <v>2</v>
      </c>
    </row>
    <row r="10" spans="1:6" x14ac:dyDescent="0.25">
      <c r="A10">
        <v>9</v>
      </c>
      <c r="B10" t="s">
        <v>574</v>
      </c>
      <c r="C10" t="s">
        <v>108</v>
      </c>
      <c r="D10" t="s">
        <v>120</v>
      </c>
      <c r="E10" t="s">
        <v>121</v>
      </c>
      <c r="F10">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heetViews>
  <sheetFormatPr defaultRowHeight="15" x14ac:dyDescent="0.25"/>
  <cols>
    <col min="1" max="1" width="9.5703125" bestFit="1" customWidth="1"/>
    <col min="2" max="2" width="16" bestFit="1" customWidth="1"/>
  </cols>
  <sheetData>
    <row r="1" spans="1:2" x14ac:dyDescent="0.25">
      <c r="A1" t="s">
        <v>6</v>
      </c>
      <c r="B1" t="s">
        <v>101</v>
      </c>
    </row>
    <row r="2" spans="1:2" x14ac:dyDescent="0.25">
      <c r="A2">
        <v>1</v>
      </c>
      <c r="B2" t="s">
        <v>575</v>
      </c>
    </row>
    <row r="3" spans="1:2" x14ac:dyDescent="0.25">
      <c r="A3">
        <v>2</v>
      </c>
      <c r="B3" t="s">
        <v>576</v>
      </c>
    </row>
    <row r="4" spans="1:2" x14ac:dyDescent="0.25">
      <c r="A4">
        <v>3</v>
      </c>
      <c r="B4" t="s">
        <v>577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election activeCell="D1" sqref="D1:E13"/>
    </sheetView>
  </sheetViews>
  <sheetFormatPr defaultRowHeight="15" x14ac:dyDescent="0.25"/>
  <cols>
    <col min="7" max="7" width="14.7109375" customWidth="1"/>
    <col min="10" max="10" width="23.7109375" customWidth="1"/>
    <col min="16" max="16" width="17" customWidth="1"/>
  </cols>
  <sheetData>
    <row r="1" spans="1:17" x14ac:dyDescent="0.25">
      <c r="A1" s="5" t="s">
        <v>585</v>
      </c>
      <c r="B1" s="5" t="s">
        <v>580</v>
      </c>
      <c r="D1" s="5" t="s">
        <v>586</v>
      </c>
      <c r="E1" s="5" t="s">
        <v>587</v>
      </c>
      <c r="G1" s="5" t="s">
        <v>589</v>
      </c>
      <c r="H1" s="5" t="s">
        <v>580</v>
      </c>
      <c r="J1" s="5" t="s">
        <v>590</v>
      </c>
      <c r="K1" s="5" t="s">
        <v>580</v>
      </c>
      <c r="M1" s="5" t="s">
        <v>592</v>
      </c>
      <c r="N1" s="5" t="s">
        <v>580</v>
      </c>
      <c r="P1" s="5" t="s">
        <v>593</v>
      </c>
      <c r="Q1" s="5" t="s">
        <v>580</v>
      </c>
    </row>
    <row r="2" spans="1:17" x14ac:dyDescent="0.25">
      <c r="A2">
        <v>2013</v>
      </c>
      <c r="B2">
        <f>SUMIF(order_details!G2:G2156,2013,order_details!F2:F2156)</f>
        <v>208083.97000000003</v>
      </c>
      <c r="D2">
        <v>1</v>
      </c>
      <c r="E2">
        <f>COUNTIF(order_details!H2:H2156,D2)</f>
        <v>237</v>
      </c>
      <c r="G2" t="s">
        <v>545</v>
      </c>
      <c r="H2">
        <f>SUMIF(order_details!I2:I2156,G2,order_details!F2:F2156)</f>
        <v>267868.17999999993</v>
      </c>
      <c r="J2" t="s">
        <v>468</v>
      </c>
      <c r="K2">
        <v>141396</v>
      </c>
      <c r="M2" t="s">
        <v>134</v>
      </c>
      <c r="N2">
        <f>SUMIF(order_details!J$2:J$2156,M2,order_details!F$2:F$2156)</f>
        <v>81358.32249999998</v>
      </c>
      <c r="P2" t="s">
        <v>564</v>
      </c>
      <c r="Q2">
        <f>SUMIF(order_details!K$2:K$2156,P2,order_details!F$2:F$2156)</f>
        <v>192107.60450000007</v>
      </c>
    </row>
    <row r="3" spans="1:17" x14ac:dyDescent="0.25">
      <c r="A3">
        <v>2014</v>
      </c>
      <c r="B3">
        <f>SUMIF(order_details!G2:G2156,2014,order_details!F2:F2156)</f>
        <v>617085.20349999995</v>
      </c>
      <c r="D3">
        <v>2</v>
      </c>
      <c r="E3">
        <f>COUNTIF(order_details!H3:H2157,D3)</f>
        <v>201</v>
      </c>
      <c r="G3" t="s">
        <v>547</v>
      </c>
      <c r="H3">
        <f>SUMIF(order_details!I3:I2157,G3,order_details!F3:F2157)</f>
        <v>106047.08500000002</v>
      </c>
      <c r="J3" t="s">
        <v>452</v>
      </c>
      <c r="K3">
        <v>80368</v>
      </c>
      <c r="M3" t="s">
        <v>110</v>
      </c>
      <c r="N3">
        <f>SUMIF(order_details!J$2:J$2156,M3,order_details!F$2:F$2156)</f>
        <v>230284.6335</v>
      </c>
      <c r="P3" t="s">
        <v>566</v>
      </c>
      <c r="Q3">
        <f>SUMIF(order_details!K$2:K$2156,P3,order_details!F$2:F$2156)</f>
        <v>166537.755</v>
      </c>
    </row>
    <row r="4" spans="1:17" x14ac:dyDescent="0.25">
      <c r="A4">
        <v>2015</v>
      </c>
      <c r="B4">
        <f>SUMIF(order_details!G2:G2156,2015,order_details!F2:F2156)</f>
        <v>440623.86599999992</v>
      </c>
      <c r="D4">
        <v>3</v>
      </c>
      <c r="E4">
        <f>COUNTIF(order_details!H4:H2158,D4)</f>
        <v>255</v>
      </c>
      <c r="G4" t="s">
        <v>549</v>
      </c>
      <c r="H4">
        <f>SUMIF(order_details!I4:I2158,G4,order_details!F4:F2158)</f>
        <v>167357.22499999995</v>
      </c>
      <c r="J4" t="s">
        <v>509</v>
      </c>
      <c r="K4">
        <v>71155</v>
      </c>
      <c r="M4" t="s">
        <v>218</v>
      </c>
      <c r="N4">
        <f>SUMIF(order_details!J$2:J$2156,M4,order_details!F$2:F$2156)</f>
        <v>245584.61050000007</v>
      </c>
      <c r="P4" t="s">
        <v>568</v>
      </c>
      <c r="Q4">
        <f>SUMIF(order_details!K$2:K$2156,P4,order_details!F$2:F$2156)</f>
        <v>202812.84299999996</v>
      </c>
    </row>
    <row r="5" spans="1:17" x14ac:dyDescent="0.25">
      <c r="D5">
        <v>4</v>
      </c>
      <c r="E5">
        <f>COUNTIF(order_details!H5:H2159,D5)</f>
        <v>261</v>
      </c>
      <c r="G5" t="s">
        <v>551</v>
      </c>
      <c r="H5">
        <f>SUMIF(order_details!I5:I2159,G5,order_details!F5:F2159)</f>
        <v>234165.285</v>
      </c>
      <c r="J5" t="s">
        <v>511</v>
      </c>
      <c r="K5">
        <v>49827</v>
      </c>
      <c r="M5" t="s">
        <v>164</v>
      </c>
      <c r="N5">
        <f>SUMIF(order_details!J$2:J$2156,M5,order_details!F$2:F$2156)</f>
        <v>106925.77650000002</v>
      </c>
      <c r="P5" t="s">
        <v>569</v>
      </c>
      <c r="Q5">
        <f>SUMIF(order_details!K$2:K$2156,P5,order_details!F$2:F$2156)</f>
        <v>232890.84600000005</v>
      </c>
    </row>
    <row r="6" spans="1:17" x14ac:dyDescent="0.25">
      <c r="D6">
        <v>5</v>
      </c>
      <c r="E6">
        <f>COUNTIF(order_details!H6:H2160,D6)</f>
        <v>155</v>
      </c>
      <c r="G6" t="s">
        <v>553</v>
      </c>
      <c r="H6">
        <f>SUMIF(order_details!I6:I2160,G6,order_details!F6:F2160)</f>
        <v>95646.587500000009</v>
      </c>
      <c r="J6" t="s">
        <v>515</v>
      </c>
      <c r="K6">
        <v>47234</v>
      </c>
      <c r="M6" t="s">
        <v>121</v>
      </c>
      <c r="N6">
        <f>SUMIF(order_details!J$2:J$2156,M6,order_details!F$2:F$2156)</f>
        <v>58971.310000000005</v>
      </c>
      <c r="P6" t="s">
        <v>570</v>
      </c>
      <c r="Q6">
        <f>SUMIF(order_details!K$2:K$2156,P6,order_details!F$2:F$2156)</f>
        <v>68792.282500000001</v>
      </c>
    </row>
    <row r="7" spans="1:17" x14ac:dyDescent="0.25">
      <c r="D7">
        <v>6</v>
      </c>
      <c r="E7">
        <f>COUNTIF(order_details!H7:H2161,D7)</f>
        <v>76</v>
      </c>
      <c r="G7" t="s">
        <v>555</v>
      </c>
      <c r="H7">
        <f>SUMIF(order_details!I7:I2161,G7,order_details!F7:F2161)</f>
        <v>163022.35949999999</v>
      </c>
      <c r="J7" t="s">
        <v>504</v>
      </c>
      <c r="K7">
        <v>42593</v>
      </c>
      <c r="M7" t="s">
        <v>146</v>
      </c>
      <c r="N7">
        <f>SUMIF(order_details!J$2:J$2156,M7,order_details!F$2:F$2156)</f>
        <v>50196.29</v>
      </c>
      <c r="P7" t="s">
        <v>571</v>
      </c>
      <c r="Q7">
        <f>SUMIF(order_details!K$2:K$2156,P7,order_details!F$2:F$2156)</f>
        <v>73913.12950000001</v>
      </c>
    </row>
    <row r="8" spans="1:17" x14ac:dyDescent="0.25">
      <c r="D8">
        <v>7</v>
      </c>
      <c r="E8">
        <f>COUNTIF(order_details!H8:H2162,D8)</f>
        <v>130</v>
      </c>
      <c r="G8" t="s">
        <v>557</v>
      </c>
      <c r="H8">
        <f>SUMIF(order_details!I8:I2162,G8,order_details!F8:F2162)</f>
        <v>98121.18</v>
      </c>
      <c r="J8" t="s">
        <v>494</v>
      </c>
      <c r="K8">
        <v>41819</v>
      </c>
      <c r="M8" t="s">
        <v>179</v>
      </c>
      <c r="N8">
        <f>SUMIF(order_details!J$2:J$2156,M8,order_details!F$2:F$2156)</f>
        <v>128003.83850000001</v>
      </c>
      <c r="P8" t="s">
        <v>572</v>
      </c>
      <c r="Q8">
        <f>SUMIF(order_details!K$2:K$2156,P8,order_details!F$2:F$2156)</f>
        <v>124568.23500000002</v>
      </c>
    </row>
    <row r="9" spans="1:17" x14ac:dyDescent="0.25">
      <c r="D9">
        <v>8</v>
      </c>
      <c r="E9">
        <f>COUNTIF(order_details!H9:H2163,D9)</f>
        <v>153</v>
      </c>
      <c r="G9" t="s">
        <v>559</v>
      </c>
      <c r="H9">
        <f>SUMIF(order_details!I9:I2163,G9,order_details!F9:F2163)</f>
        <v>131184.73750000002</v>
      </c>
      <c r="J9" t="s">
        <v>428</v>
      </c>
      <c r="K9">
        <v>32698</v>
      </c>
      <c r="M9" t="s">
        <v>126</v>
      </c>
      <c r="N9">
        <f>SUMIF(order_details!J$2:J$2156,M9,order_details!F$2:F$2156)</f>
        <v>54495.139999999992</v>
      </c>
      <c r="P9" t="s">
        <v>573</v>
      </c>
      <c r="Q9">
        <f>SUMIF(order_details!K$2:K$2156,P9,order_details!F$2:F$2156)</f>
        <v>126862.27749999995</v>
      </c>
    </row>
    <row r="10" spans="1:17" x14ac:dyDescent="0.25">
      <c r="D10">
        <v>9</v>
      </c>
      <c r="E10">
        <f>COUNTIF(order_details!H10:H2164,D10)</f>
        <v>152</v>
      </c>
      <c r="J10" t="s">
        <v>430</v>
      </c>
      <c r="K10">
        <v>29171</v>
      </c>
      <c r="M10" t="s">
        <v>222</v>
      </c>
      <c r="N10">
        <f>SUMIF(order_details!J$2:J$2156,M10,order_details!F$2:F$2156)</f>
        <v>56810.628999999986</v>
      </c>
      <c r="P10" t="s">
        <v>574</v>
      </c>
      <c r="Q10">
        <f>SUMIF(order_details!K$2:K$2156,P10,order_details!F$2:F$2156)</f>
        <v>77308.066500000015</v>
      </c>
    </row>
    <row r="11" spans="1:17" x14ac:dyDescent="0.25">
      <c r="D11">
        <v>10</v>
      </c>
      <c r="E11">
        <f>COUNTIF(order_details!H11:H2165,D11)</f>
        <v>179</v>
      </c>
      <c r="J11" t="s">
        <v>450</v>
      </c>
      <c r="K11">
        <v>25696</v>
      </c>
      <c r="M11" t="s">
        <v>115</v>
      </c>
      <c r="N11">
        <f>SUMIF(order_details!J$2:J$2156,M11,order_details!F$2:F$2156)</f>
        <v>23582.077500000003</v>
      </c>
    </row>
    <row r="12" spans="1:17" x14ac:dyDescent="0.25">
      <c r="D12">
        <v>11</v>
      </c>
      <c r="E12">
        <f>COUNTIF(order_details!H12:H2166,D12)</f>
        <v>155</v>
      </c>
    </row>
    <row r="13" spans="1:17" x14ac:dyDescent="0.25">
      <c r="D13">
        <v>12</v>
      </c>
      <c r="E13">
        <f>COUNTIF(order_details!H13:H2167,D13)</f>
        <v>195</v>
      </c>
    </row>
  </sheetData>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I16"/>
  <sheetViews>
    <sheetView topLeftCell="A2" workbookViewId="0">
      <selection activeCell="K23" sqref="K23"/>
    </sheetView>
  </sheetViews>
  <sheetFormatPr defaultRowHeight="15" x14ac:dyDescent="0.25"/>
  <cols>
    <col min="1" max="1" width="13.140625" customWidth="1"/>
    <col min="2" max="2" width="15.5703125" customWidth="1"/>
    <col min="3" max="8" width="16.28515625" bestFit="1" customWidth="1"/>
    <col min="9" max="9" width="11.28515625" customWidth="1"/>
    <col min="10" max="10" width="13.7109375" customWidth="1"/>
    <col min="11" max="11" width="16.28515625" customWidth="1"/>
    <col min="12" max="20" width="16.28515625" bestFit="1" customWidth="1"/>
    <col min="21" max="21" width="11.28515625" customWidth="1"/>
    <col min="22" max="1165" width="16.28515625" bestFit="1" customWidth="1"/>
    <col min="1166" max="1166" width="11.28515625" bestFit="1" customWidth="1"/>
  </cols>
  <sheetData>
    <row r="5" spans="1:9" x14ac:dyDescent="0.25">
      <c r="A5" s="2" t="s">
        <v>578</v>
      </c>
      <c r="B5" t="s">
        <v>594</v>
      </c>
    </row>
    <row r="6" spans="1:9" x14ac:dyDescent="0.25">
      <c r="A6" s="3">
        <v>2014</v>
      </c>
      <c r="B6" s="4">
        <v>835.19999999999993</v>
      </c>
    </row>
    <row r="7" spans="1:9" x14ac:dyDescent="0.25">
      <c r="A7" s="3" t="s">
        <v>579</v>
      </c>
      <c r="B7" s="4">
        <v>835.19999999999993</v>
      </c>
    </row>
    <row r="15" spans="1:9" x14ac:dyDescent="0.25">
      <c r="I15" s="14" t="s">
        <v>595</v>
      </c>
    </row>
    <row r="16" spans="1:9" x14ac:dyDescent="0.25">
      <c r="I16" s="13">
        <v>78</v>
      </c>
    </row>
  </sheetData>
  <pageMargins left="0.7" right="0.7" top="0.75" bottom="0.75" header="0.3" footer="0.3"/>
  <pageSetup orientation="portrait" horizontalDpi="0" verticalDpi="0"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7"/>
  <sheetViews>
    <sheetView showGridLines="0" workbookViewId="0">
      <selection activeCell="R14" sqref="R14"/>
    </sheetView>
  </sheetViews>
  <sheetFormatPr defaultRowHeight="15" x14ac:dyDescent="0.25"/>
  <cols>
    <col min="1" max="1" width="15.85546875" style="7" customWidth="1"/>
    <col min="2" max="2" width="21.7109375" style="7" bestFit="1" customWidth="1"/>
    <col min="3" max="16384" width="9.140625" style="7"/>
  </cols>
  <sheetData>
    <row r="2" spans="2:6" ht="46.5" x14ac:dyDescent="0.7">
      <c r="B2" s="6"/>
    </row>
    <row r="4" spans="2:6" ht="18.75" x14ac:dyDescent="0.3">
      <c r="B4" s="8" t="s">
        <v>581</v>
      </c>
    </row>
    <row r="6" spans="2:6" ht="18.75" x14ac:dyDescent="0.3">
      <c r="B6" s="8" t="s">
        <v>582</v>
      </c>
      <c r="D6" s="8" t="s">
        <v>583</v>
      </c>
      <c r="F6" s="8" t="s">
        <v>584</v>
      </c>
    </row>
    <row r="7" spans="2:6" ht="21" x14ac:dyDescent="0.35">
      <c r="B7" s="10">
        <f>SUM(order_details!F2:F2156)</f>
        <v>1265793.0395000004</v>
      </c>
      <c r="D7" s="9">
        <f>COUNTA([1]order!A2:A1000)</f>
        <v>999</v>
      </c>
      <c r="F7" s="9">
        <f>COUNTA(customers!A2:A1000)</f>
        <v>91</v>
      </c>
    </row>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
  <sheetViews>
    <sheetView showGridLines="0" workbookViewId="0">
      <selection activeCell="H29" sqref="H29"/>
    </sheetView>
  </sheetViews>
  <sheetFormatPr defaultRowHeight="15" x14ac:dyDescent="0.25"/>
  <cols>
    <col min="1" max="16384" width="9.140625" style="7"/>
  </cols>
  <sheetData>
    <row r="2" spans="2:2" ht="63.75" customHeight="1" x14ac:dyDescent="0.25"/>
    <row r="4" spans="2:2" ht="21" x14ac:dyDescent="0.35">
      <c r="B4" s="9" t="s">
        <v>588</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
  <sheetViews>
    <sheetView showGridLines="0" workbookViewId="0">
      <selection activeCell="U21" sqref="U21"/>
    </sheetView>
  </sheetViews>
  <sheetFormatPr defaultRowHeight="15" x14ac:dyDescent="0.25"/>
  <cols>
    <col min="1" max="16384" width="9.140625" style="11"/>
  </cols>
  <sheetData>
    <row r="2" spans="2:2" ht="77.25" customHeight="1" x14ac:dyDescent="0.25"/>
    <row r="4" spans="2:2" ht="18.75" x14ac:dyDescent="0.3">
      <c r="B4" s="12" t="s">
        <v>591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orders</vt:lpstr>
      <vt:lpstr>order_details</vt:lpstr>
      <vt:lpstr>customers</vt:lpstr>
      <vt:lpstr>products</vt:lpstr>
      <vt:lpstr>categories</vt:lpstr>
      <vt:lpstr>employees</vt:lpstr>
      <vt:lpstr>shippers</vt:lpstr>
      <vt:lpstr>Data_Page1</vt:lpstr>
      <vt:lpstr>Pivot table 1</vt:lpstr>
      <vt:lpstr>Dashboard_Page1</vt:lpstr>
      <vt:lpstr>Dashboard_Page2</vt:lpstr>
      <vt:lpstr>Dashboard_Page3</vt:lpstr>
      <vt:lpstr>categories!categories</vt:lpstr>
      <vt:lpstr>customers!customers</vt:lpstr>
      <vt:lpstr>employees!employees</vt:lpstr>
      <vt:lpstr>orders!orders</vt:lpstr>
      <vt:lpstr>products!products</vt:lpstr>
      <vt:lpstr>shippers!shippers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2026-04-28T09:15:23Z</dcterms:created>
  <dcterms:modified xsi:type="dcterms:W3CDTF">2026-04-29T04:05:47Z</dcterms:modified>
</cp:coreProperties>
</file>